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BASE CERTIFICACIONES" sheetId="1" r:id="rId1"/>
    <sheet name="FORMULA" sheetId="2" r:id="rId2"/>
    <sheet name="SEGUIMIENTO DE TRAMITES UCN" sheetId="3" r:id="rId3"/>
  </sheets>
  <definedNames>
    <definedName name="_xlnm._FilterDatabase" localSheetId="0" hidden="1">'BASE CERTIFICACIONES'!$A$9:$X$257</definedName>
  </definedNames>
  <calcPr calcId="162913"/>
</workbook>
</file>

<file path=xl/calcChain.xml><?xml version="1.0" encoding="utf-8"?>
<calcChain xmlns="http://schemas.openxmlformats.org/spreadsheetml/2006/main">
  <c r="P2081" i="1" l="1"/>
  <c r="W2081" i="1" s="1"/>
  <c r="X2081" i="1" s="1"/>
  <c r="P2080" i="1"/>
  <c r="W2080" i="1" s="1"/>
  <c r="X2080" i="1" s="1"/>
  <c r="P2079" i="1"/>
  <c r="W2079" i="1" s="1"/>
  <c r="X2079" i="1" s="1"/>
  <c r="P2078" i="1"/>
  <c r="W2078" i="1" s="1"/>
  <c r="X2078" i="1" s="1"/>
  <c r="P2077" i="1"/>
  <c r="W2077" i="1" s="1"/>
  <c r="X2077" i="1" s="1"/>
  <c r="W2076" i="1"/>
  <c r="X2076" i="1" s="1"/>
  <c r="P2076" i="1"/>
  <c r="P2075" i="1"/>
  <c r="W2075" i="1" s="1"/>
  <c r="X2075" i="1" s="1"/>
  <c r="W2074" i="1"/>
  <c r="X2074" i="1" s="1"/>
  <c r="P2074" i="1"/>
  <c r="P2073" i="1"/>
  <c r="W2073" i="1" s="1"/>
  <c r="X2073" i="1" s="1"/>
  <c r="P2072" i="1"/>
  <c r="W2072" i="1" s="1"/>
  <c r="X2072" i="1" s="1"/>
  <c r="P2071" i="1"/>
  <c r="W2071" i="1" s="1"/>
  <c r="X2071" i="1" s="1"/>
  <c r="P2070" i="1"/>
  <c r="W2070" i="1" s="1"/>
  <c r="X2070" i="1" s="1"/>
  <c r="P2069" i="1"/>
  <c r="W2069" i="1" s="1"/>
  <c r="X2069" i="1" s="1"/>
  <c r="P2068" i="1"/>
  <c r="W2068" i="1" s="1"/>
  <c r="X2068" i="1" s="1"/>
  <c r="P2067" i="1"/>
  <c r="W2067" i="1" s="1"/>
  <c r="X2067" i="1" s="1"/>
  <c r="P2066" i="1"/>
  <c r="W2066" i="1" s="1"/>
  <c r="X2066" i="1" s="1"/>
  <c r="P2065" i="1"/>
  <c r="W2065" i="1" s="1"/>
  <c r="X2065" i="1" s="1"/>
  <c r="P2064" i="1"/>
  <c r="W2064" i="1" s="1"/>
  <c r="X2064" i="1" s="1"/>
  <c r="P2063" i="1"/>
  <c r="W2063" i="1" s="1"/>
  <c r="X2063" i="1" s="1"/>
  <c r="P2062" i="1"/>
  <c r="W2062" i="1" s="1"/>
  <c r="X2062" i="1" s="1"/>
  <c r="P2061" i="1"/>
  <c r="W2061" i="1" s="1"/>
  <c r="X2061" i="1" s="1"/>
  <c r="P2060" i="1"/>
  <c r="W2060" i="1" s="1"/>
  <c r="X2060" i="1" s="1"/>
  <c r="P2059" i="1"/>
  <c r="W2059" i="1" s="1"/>
  <c r="X2059" i="1" s="1"/>
  <c r="W2058" i="1"/>
  <c r="X2058" i="1" s="1"/>
  <c r="P2058" i="1"/>
  <c r="P2057" i="1"/>
  <c r="W2057" i="1" s="1"/>
  <c r="X2057" i="1" s="1"/>
  <c r="W2056" i="1"/>
  <c r="X2056" i="1" s="1"/>
  <c r="P2056" i="1"/>
  <c r="P2055" i="1"/>
  <c r="W2055" i="1" s="1"/>
  <c r="X2055" i="1" s="1"/>
  <c r="P2054" i="1"/>
  <c r="W2054" i="1" s="1"/>
  <c r="X2054" i="1" s="1"/>
  <c r="P2053" i="1"/>
  <c r="W2053" i="1" s="1"/>
  <c r="X2053" i="1" s="1"/>
  <c r="P2052" i="1"/>
  <c r="W2052" i="1" s="1"/>
  <c r="X2052" i="1" s="1"/>
  <c r="P2051" i="1"/>
  <c r="W2051" i="1" s="1"/>
  <c r="X2051" i="1" s="1"/>
  <c r="P2050" i="1"/>
  <c r="W2050" i="1" s="1"/>
  <c r="X2050" i="1" s="1"/>
  <c r="P2049" i="1"/>
  <c r="W2049" i="1" s="1"/>
  <c r="X2049" i="1" s="1"/>
  <c r="W2048" i="1"/>
  <c r="X2048" i="1" s="1"/>
  <c r="P2048" i="1"/>
  <c r="P2047" i="1"/>
  <c r="W2047" i="1" s="1"/>
  <c r="X2047" i="1" s="1"/>
  <c r="W2046" i="1"/>
  <c r="X2046" i="1" s="1"/>
  <c r="P2046" i="1"/>
  <c r="P2045" i="1"/>
  <c r="W2045" i="1" s="1"/>
  <c r="X2045" i="1" s="1"/>
  <c r="P2044" i="1"/>
  <c r="W2044" i="1" s="1"/>
  <c r="X2044" i="1" s="1"/>
  <c r="X2043" i="1"/>
  <c r="P2043" i="1"/>
  <c r="W2043" i="1" s="1"/>
  <c r="W2042" i="1"/>
  <c r="X2042" i="1" s="1"/>
  <c r="P2042" i="1"/>
  <c r="P2041" i="1"/>
  <c r="W2041" i="1" s="1"/>
  <c r="X2041" i="1" s="1"/>
  <c r="P2040" i="1"/>
  <c r="W2040" i="1" s="1"/>
  <c r="X2040" i="1" s="1"/>
  <c r="X2039" i="1"/>
  <c r="P2039" i="1"/>
  <c r="W2039" i="1" s="1"/>
  <c r="W2038" i="1"/>
  <c r="X2038" i="1" s="1"/>
  <c r="P2038" i="1"/>
  <c r="P2037" i="1"/>
  <c r="W2037" i="1" s="1"/>
  <c r="X2037" i="1" s="1"/>
  <c r="P2036" i="1"/>
  <c r="W2036" i="1" s="1"/>
  <c r="X2036" i="1" s="1"/>
  <c r="P2035" i="1"/>
  <c r="W2035" i="1" s="1"/>
  <c r="X2035" i="1" s="1"/>
  <c r="W2034" i="1"/>
  <c r="X2034" i="1" s="1"/>
  <c r="P2034" i="1"/>
  <c r="P2033" i="1"/>
  <c r="W2033" i="1" s="1"/>
  <c r="X2033" i="1" s="1"/>
  <c r="P2032" i="1"/>
  <c r="W2032" i="1" s="1"/>
  <c r="X2032" i="1" s="1"/>
  <c r="P2031" i="1"/>
  <c r="W2031" i="1" s="1"/>
  <c r="X2031" i="1" s="1"/>
  <c r="W2030" i="1"/>
  <c r="X2030" i="1" s="1"/>
  <c r="P2030" i="1"/>
  <c r="P2029" i="1"/>
  <c r="W2029" i="1" s="1"/>
  <c r="X2029" i="1" s="1"/>
  <c r="P2028" i="1"/>
  <c r="W2028" i="1" s="1"/>
  <c r="X2028" i="1" s="1"/>
  <c r="P2027" i="1"/>
  <c r="W2027" i="1" s="1"/>
  <c r="X2027" i="1" s="1"/>
  <c r="W2026" i="1"/>
  <c r="X2026" i="1" s="1"/>
  <c r="P2026" i="1"/>
  <c r="P2025" i="1"/>
  <c r="W2025" i="1" s="1"/>
  <c r="X2025" i="1" s="1"/>
  <c r="P2024" i="1"/>
  <c r="W2024" i="1" s="1"/>
  <c r="X2024" i="1" s="1"/>
  <c r="P2023" i="1"/>
  <c r="W2023" i="1" s="1"/>
  <c r="X2023" i="1" s="1"/>
  <c r="W2022" i="1"/>
  <c r="X2022" i="1" s="1"/>
  <c r="P2022" i="1"/>
  <c r="P2021" i="1"/>
  <c r="W2021" i="1" s="1"/>
  <c r="X2021" i="1" s="1"/>
  <c r="P2020" i="1"/>
  <c r="W2020" i="1" s="1"/>
  <c r="X2020" i="1" s="1"/>
  <c r="P2019" i="1"/>
  <c r="W2019" i="1" s="1"/>
  <c r="X2019" i="1" s="1"/>
  <c r="W2018" i="1"/>
  <c r="X2018" i="1" s="1"/>
  <c r="P2018" i="1"/>
  <c r="P2017" i="1"/>
  <c r="W2017" i="1" s="1"/>
  <c r="X2017" i="1" s="1"/>
  <c r="P2016" i="1"/>
  <c r="W2016" i="1" s="1"/>
  <c r="X2016" i="1" s="1"/>
  <c r="P2015" i="1"/>
  <c r="W2015" i="1" s="1"/>
  <c r="X2015" i="1" s="1"/>
  <c r="W2014" i="1"/>
  <c r="X2014" i="1" s="1"/>
  <c r="P2014" i="1"/>
  <c r="P2013" i="1"/>
  <c r="W2013" i="1" s="1"/>
  <c r="X2013" i="1" s="1"/>
  <c r="P2012" i="1"/>
  <c r="W2012" i="1" s="1"/>
  <c r="X2012" i="1" s="1"/>
  <c r="P2011" i="1"/>
  <c r="W2011" i="1" s="1"/>
  <c r="X2011" i="1" s="1"/>
  <c r="W2010" i="1"/>
  <c r="X2010" i="1" s="1"/>
  <c r="P2010" i="1"/>
  <c r="P2009" i="1"/>
  <c r="W2009" i="1" s="1"/>
  <c r="X2009" i="1" s="1"/>
  <c r="P2008" i="1"/>
  <c r="W2008" i="1" s="1"/>
  <c r="X2008" i="1" s="1"/>
  <c r="P2007" i="1"/>
  <c r="W2007" i="1" s="1"/>
  <c r="X2007" i="1" s="1"/>
  <c r="W2006" i="1"/>
  <c r="X2006" i="1" s="1"/>
  <c r="P2006" i="1"/>
  <c r="P2005" i="1"/>
  <c r="W2005" i="1" s="1"/>
  <c r="X2005" i="1" s="1"/>
  <c r="P2004" i="1"/>
  <c r="W2004" i="1" s="1"/>
  <c r="X2004" i="1" s="1"/>
  <c r="P2003" i="1"/>
  <c r="W2003" i="1" s="1"/>
  <c r="X2003" i="1" s="1"/>
  <c r="W2002" i="1"/>
  <c r="X2002" i="1" s="1"/>
  <c r="P2002" i="1"/>
  <c r="P2001" i="1"/>
  <c r="W2001" i="1" s="1"/>
  <c r="X2001" i="1" s="1"/>
  <c r="P2000" i="1"/>
  <c r="W2000" i="1" s="1"/>
  <c r="X2000" i="1" s="1"/>
  <c r="P1999" i="1"/>
  <c r="W1999" i="1" s="1"/>
  <c r="X1999" i="1" s="1"/>
  <c r="W1998" i="1"/>
  <c r="X1998" i="1" s="1"/>
  <c r="P1998" i="1"/>
  <c r="P1997" i="1"/>
  <c r="W1997" i="1" s="1"/>
  <c r="X1997" i="1" s="1"/>
  <c r="P1996" i="1"/>
  <c r="W1996" i="1" s="1"/>
  <c r="X1996" i="1" s="1"/>
  <c r="W1995" i="1"/>
  <c r="X1995" i="1" s="1"/>
  <c r="P1995" i="1"/>
  <c r="P1994" i="1"/>
  <c r="W1994" i="1" s="1"/>
  <c r="X1994" i="1" s="1"/>
  <c r="W1993" i="1"/>
  <c r="X1993" i="1" s="1"/>
  <c r="P1993" i="1"/>
  <c r="P1992" i="1"/>
  <c r="W1992" i="1" s="1"/>
  <c r="X1992" i="1" s="1"/>
  <c r="W1991" i="1"/>
  <c r="X1991" i="1" s="1"/>
  <c r="P1991" i="1"/>
  <c r="P1990" i="1"/>
  <c r="W1990" i="1" s="1"/>
  <c r="X1990" i="1" s="1"/>
  <c r="P1989" i="1"/>
  <c r="W1989" i="1" s="1"/>
  <c r="X1989" i="1" s="1"/>
  <c r="P1988" i="1"/>
  <c r="W1988" i="1" s="1"/>
  <c r="X1988" i="1" s="1"/>
  <c r="W1987" i="1"/>
  <c r="X1987" i="1" s="1"/>
  <c r="P1987" i="1"/>
  <c r="P1986" i="1"/>
  <c r="W1986" i="1" s="1"/>
  <c r="X1986" i="1" s="1"/>
  <c r="P1985" i="1"/>
  <c r="W1985" i="1" s="1"/>
  <c r="X1985" i="1" s="1"/>
  <c r="P1984" i="1"/>
  <c r="W1984" i="1" s="1"/>
  <c r="X1984" i="1" s="1"/>
  <c r="P1983" i="1"/>
  <c r="W1983" i="1" s="1"/>
  <c r="X1983" i="1" s="1"/>
  <c r="P1982" i="1"/>
  <c r="W1982" i="1" s="1"/>
  <c r="X1982" i="1" s="1"/>
  <c r="P1981" i="1"/>
  <c r="W1981" i="1" s="1"/>
  <c r="X1981" i="1" s="1"/>
  <c r="P1980" i="1"/>
  <c r="W1980" i="1" s="1"/>
  <c r="X1980" i="1" s="1"/>
  <c r="W1979" i="1"/>
  <c r="X1979" i="1" s="1"/>
  <c r="P1979" i="1"/>
  <c r="P1978" i="1"/>
  <c r="W1978" i="1" s="1"/>
  <c r="X1978" i="1" s="1"/>
  <c r="W1977" i="1"/>
  <c r="X1977" i="1" s="1"/>
  <c r="P1977" i="1"/>
  <c r="P1976" i="1"/>
  <c r="W1976" i="1" s="1"/>
  <c r="X1976" i="1" s="1"/>
  <c r="W1975" i="1"/>
  <c r="X1975" i="1" s="1"/>
  <c r="P1975" i="1"/>
  <c r="P1974" i="1"/>
  <c r="W1974" i="1" s="1"/>
  <c r="X1974" i="1" s="1"/>
  <c r="P1973" i="1"/>
  <c r="W1973" i="1" s="1"/>
  <c r="X1973" i="1" s="1"/>
  <c r="P1972" i="1"/>
  <c r="W1972" i="1" s="1"/>
  <c r="X1972" i="1" s="1"/>
  <c r="P1971" i="1"/>
  <c r="W1971" i="1" s="1"/>
  <c r="X1971" i="1" s="1"/>
  <c r="P1970" i="1"/>
  <c r="W1970" i="1" s="1"/>
  <c r="X1970" i="1" s="1"/>
  <c r="P1969" i="1"/>
  <c r="W1969" i="1" s="1"/>
  <c r="X1969" i="1" s="1"/>
  <c r="P1968" i="1"/>
  <c r="W1968" i="1" s="1"/>
  <c r="X1968" i="1" s="1"/>
  <c r="P1967" i="1"/>
  <c r="W1967" i="1" s="1"/>
  <c r="X1967" i="1" s="1"/>
  <c r="P1966" i="1"/>
  <c r="W1966" i="1" s="1"/>
  <c r="X1966" i="1" s="1"/>
  <c r="P1965" i="1"/>
  <c r="W1965" i="1" s="1"/>
  <c r="X1965" i="1" s="1"/>
  <c r="P1964" i="1"/>
  <c r="W1964" i="1" s="1"/>
  <c r="X1964" i="1" s="1"/>
  <c r="W1963" i="1"/>
  <c r="X1963" i="1" s="1"/>
  <c r="P1963" i="1"/>
  <c r="P1962" i="1"/>
  <c r="W1962" i="1" s="1"/>
  <c r="X1962" i="1" s="1"/>
  <c r="W1961" i="1"/>
  <c r="X1961" i="1" s="1"/>
  <c r="P1961" i="1"/>
  <c r="P1960" i="1"/>
  <c r="W1960" i="1" s="1"/>
  <c r="X1960" i="1" s="1"/>
  <c r="W1959" i="1"/>
  <c r="X1959" i="1" s="1"/>
  <c r="P1959" i="1"/>
  <c r="P1958" i="1"/>
  <c r="W1958" i="1" s="1"/>
  <c r="X1958" i="1" s="1"/>
  <c r="P1957" i="1"/>
  <c r="W1957" i="1" s="1"/>
  <c r="X1957" i="1" s="1"/>
  <c r="P1956" i="1"/>
  <c r="W1956" i="1" s="1"/>
  <c r="X1956" i="1" s="1"/>
  <c r="W1955" i="1"/>
  <c r="X1955" i="1" s="1"/>
  <c r="P1955" i="1"/>
  <c r="P1954" i="1"/>
  <c r="W1954" i="1" s="1"/>
  <c r="X1954" i="1" s="1"/>
  <c r="P1953" i="1"/>
  <c r="W1953" i="1" s="1"/>
  <c r="X1953" i="1" s="1"/>
  <c r="P1952" i="1"/>
  <c r="W1952" i="1" s="1"/>
  <c r="X1952" i="1" s="1"/>
  <c r="P1951" i="1"/>
  <c r="W1951" i="1" s="1"/>
  <c r="X1951" i="1" s="1"/>
  <c r="P1950" i="1"/>
  <c r="W1950" i="1" s="1"/>
  <c r="X1950" i="1" s="1"/>
  <c r="P1949" i="1"/>
  <c r="W1949" i="1" s="1"/>
  <c r="X1949" i="1" s="1"/>
  <c r="P1948" i="1"/>
  <c r="W1948" i="1" s="1"/>
  <c r="X1948" i="1" s="1"/>
  <c r="W1947" i="1"/>
  <c r="X1947" i="1" s="1"/>
  <c r="P1947" i="1"/>
  <c r="P1946" i="1"/>
  <c r="W1946" i="1" s="1"/>
  <c r="X1946" i="1" s="1"/>
  <c r="W1945" i="1"/>
  <c r="X1945" i="1" s="1"/>
  <c r="P1945" i="1"/>
  <c r="P1944" i="1"/>
  <c r="W1944" i="1" s="1"/>
  <c r="X1944" i="1" s="1"/>
  <c r="W1943" i="1"/>
  <c r="X1943" i="1" s="1"/>
  <c r="P1943" i="1"/>
  <c r="P1942" i="1"/>
  <c r="W1942" i="1" s="1"/>
  <c r="X1942" i="1" s="1"/>
  <c r="P1941" i="1"/>
  <c r="W1941" i="1" s="1"/>
  <c r="X1941" i="1" s="1"/>
  <c r="P1940" i="1"/>
  <c r="W1940" i="1" s="1"/>
  <c r="X1940" i="1" s="1"/>
  <c r="W1939" i="1"/>
  <c r="X1939" i="1" s="1"/>
  <c r="P1939" i="1"/>
  <c r="P1938" i="1"/>
  <c r="W1938" i="1" s="1"/>
  <c r="X1938" i="1" s="1"/>
  <c r="P1937" i="1"/>
  <c r="W1937" i="1" s="1"/>
  <c r="X1937" i="1" s="1"/>
  <c r="P1936" i="1"/>
  <c r="W1936" i="1" s="1"/>
  <c r="X1936" i="1" s="1"/>
  <c r="P1935" i="1"/>
  <c r="W1935" i="1" s="1"/>
  <c r="X1935" i="1" s="1"/>
  <c r="P1934" i="1"/>
  <c r="W1934" i="1" s="1"/>
  <c r="X1934" i="1" s="1"/>
  <c r="P1933" i="1"/>
  <c r="W1933" i="1" s="1"/>
  <c r="X1933" i="1" s="1"/>
  <c r="P1932" i="1"/>
  <c r="W1932" i="1" s="1"/>
  <c r="X1932" i="1" s="1"/>
  <c r="W1931" i="1"/>
  <c r="X1931" i="1" s="1"/>
  <c r="P1931" i="1"/>
  <c r="P1930" i="1"/>
  <c r="W1930" i="1" s="1"/>
  <c r="X1930" i="1" s="1"/>
  <c r="W1929" i="1"/>
  <c r="X1929" i="1" s="1"/>
  <c r="P1929" i="1"/>
  <c r="P1928" i="1"/>
  <c r="W1928" i="1" s="1"/>
  <c r="X1928" i="1" s="1"/>
  <c r="W1927" i="1"/>
  <c r="X1927" i="1" s="1"/>
  <c r="P1927" i="1"/>
  <c r="P1926" i="1"/>
  <c r="W1926" i="1" s="1"/>
  <c r="X1926" i="1" s="1"/>
  <c r="P1925" i="1"/>
  <c r="W1925" i="1" s="1"/>
  <c r="X1925" i="1" s="1"/>
  <c r="P1924" i="1"/>
  <c r="W1924" i="1" s="1"/>
  <c r="X1924" i="1" s="1"/>
  <c r="W1923" i="1"/>
  <c r="X1923" i="1" s="1"/>
  <c r="P1923" i="1"/>
  <c r="P1922" i="1"/>
  <c r="W1922" i="1" s="1"/>
  <c r="X1922" i="1" s="1"/>
  <c r="P1921" i="1"/>
  <c r="W1921" i="1" s="1"/>
  <c r="X1921" i="1" s="1"/>
  <c r="P1920" i="1"/>
  <c r="W1920" i="1" s="1"/>
  <c r="X1920" i="1" s="1"/>
  <c r="P1919" i="1"/>
  <c r="W1919" i="1" s="1"/>
  <c r="X1919" i="1" s="1"/>
  <c r="P1918" i="1"/>
  <c r="W1918" i="1" s="1"/>
  <c r="X1918" i="1" s="1"/>
  <c r="P1917" i="1"/>
  <c r="W1917" i="1" s="1"/>
  <c r="X1917" i="1" s="1"/>
  <c r="P1916" i="1"/>
  <c r="W1916" i="1" s="1"/>
  <c r="X1916" i="1" s="1"/>
  <c r="W1915" i="1"/>
  <c r="X1915" i="1" s="1"/>
  <c r="P1915" i="1"/>
  <c r="P1914" i="1"/>
  <c r="W1914" i="1" s="1"/>
  <c r="X1914" i="1" s="1"/>
  <c r="W1913" i="1"/>
  <c r="X1913" i="1" s="1"/>
  <c r="P1913" i="1"/>
  <c r="P1912" i="1"/>
  <c r="W1912" i="1" s="1"/>
  <c r="X1912" i="1" s="1"/>
  <c r="W1911" i="1"/>
  <c r="X1911" i="1" s="1"/>
  <c r="P1911" i="1"/>
  <c r="P1910" i="1"/>
  <c r="W1910" i="1" s="1"/>
  <c r="X1910" i="1" s="1"/>
  <c r="P1909" i="1"/>
  <c r="W1909" i="1" s="1"/>
  <c r="X1909" i="1" s="1"/>
  <c r="P1908" i="1"/>
  <c r="W1908" i="1" s="1"/>
  <c r="X1908" i="1" s="1"/>
  <c r="W1907" i="1"/>
  <c r="X1907" i="1" s="1"/>
  <c r="P1907" i="1"/>
  <c r="P1906" i="1"/>
  <c r="W1906" i="1" s="1"/>
  <c r="X1906" i="1" s="1"/>
  <c r="P1905" i="1"/>
  <c r="W1905" i="1" s="1"/>
  <c r="X1905" i="1" s="1"/>
  <c r="P1904" i="1"/>
  <c r="W1904" i="1" s="1"/>
  <c r="X1904" i="1" s="1"/>
  <c r="P1903" i="1"/>
  <c r="W1903" i="1" s="1"/>
  <c r="X1903" i="1" s="1"/>
  <c r="P1902" i="1"/>
  <c r="W1902" i="1" s="1"/>
  <c r="X1902" i="1" s="1"/>
  <c r="P1901" i="1"/>
  <c r="W1901" i="1" s="1"/>
  <c r="X1901" i="1" s="1"/>
  <c r="P1900" i="1"/>
  <c r="W1900" i="1" s="1"/>
  <c r="X1900" i="1" s="1"/>
  <c r="W1899" i="1"/>
  <c r="X1899" i="1" s="1"/>
  <c r="P1899" i="1"/>
  <c r="P1898" i="1"/>
  <c r="W1898" i="1" s="1"/>
  <c r="X1898" i="1" s="1"/>
  <c r="W1897" i="1"/>
  <c r="X1897" i="1" s="1"/>
  <c r="P1897" i="1"/>
  <c r="P1896" i="1"/>
  <c r="W1896" i="1" s="1"/>
  <c r="X1896" i="1" s="1"/>
  <c r="W1895" i="1"/>
  <c r="X1895" i="1" s="1"/>
  <c r="P1895" i="1"/>
  <c r="P1894" i="1"/>
  <c r="W1894" i="1" s="1"/>
  <c r="X1894" i="1" s="1"/>
  <c r="P1893" i="1"/>
  <c r="W1893" i="1" s="1"/>
  <c r="X1893" i="1" s="1"/>
  <c r="P1892" i="1"/>
  <c r="W1892" i="1" s="1"/>
  <c r="X1892" i="1" s="1"/>
  <c r="W1891" i="1"/>
  <c r="X1891" i="1" s="1"/>
  <c r="P1891" i="1"/>
  <c r="P1890" i="1"/>
  <c r="W1890" i="1" s="1"/>
  <c r="X1890" i="1" s="1"/>
  <c r="P1889" i="1"/>
  <c r="W1889" i="1" s="1"/>
  <c r="X1889" i="1" s="1"/>
  <c r="P1888" i="1"/>
  <c r="W1888" i="1" s="1"/>
  <c r="X1888" i="1" s="1"/>
  <c r="P1887" i="1"/>
  <c r="W1887" i="1" s="1"/>
  <c r="X1887" i="1" s="1"/>
  <c r="P1886" i="1"/>
  <c r="W1886" i="1" s="1"/>
  <c r="X1886" i="1" s="1"/>
  <c r="P1885" i="1"/>
  <c r="W1885" i="1" s="1"/>
  <c r="X1885" i="1" s="1"/>
  <c r="P1884" i="1"/>
  <c r="W1884" i="1" s="1"/>
  <c r="X1884" i="1" s="1"/>
  <c r="W1883" i="1"/>
  <c r="X1883" i="1" s="1"/>
  <c r="P1883" i="1"/>
  <c r="P1882" i="1"/>
  <c r="W1882" i="1" s="1"/>
  <c r="X1882" i="1" s="1"/>
  <c r="W1881" i="1"/>
  <c r="X1881" i="1" s="1"/>
  <c r="P1881" i="1"/>
  <c r="P1880" i="1"/>
  <c r="W1880" i="1" s="1"/>
  <c r="X1880" i="1" s="1"/>
  <c r="W1879" i="1"/>
  <c r="X1879" i="1" s="1"/>
  <c r="P1879" i="1"/>
  <c r="P1878" i="1"/>
  <c r="W1878" i="1" s="1"/>
  <c r="X1878" i="1" s="1"/>
  <c r="P1877" i="1"/>
  <c r="W1877" i="1" s="1"/>
  <c r="X1877" i="1" s="1"/>
  <c r="P1876" i="1"/>
  <c r="W1876" i="1" s="1"/>
  <c r="X1876" i="1" s="1"/>
  <c r="W1875" i="1"/>
  <c r="X1875" i="1" s="1"/>
  <c r="P1875" i="1"/>
  <c r="P1874" i="1"/>
  <c r="W1874" i="1" s="1"/>
  <c r="X1874" i="1" s="1"/>
  <c r="P1873" i="1"/>
  <c r="W1873" i="1" s="1"/>
  <c r="X1873" i="1" s="1"/>
  <c r="P1872" i="1"/>
  <c r="W1872" i="1" s="1"/>
  <c r="X1872" i="1" s="1"/>
  <c r="P1871" i="1"/>
  <c r="W1871" i="1" s="1"/>
  <c r="X1871" i="1" s="1"/>
  <c r="P1870" i="1"/>
  <c r="W1870" i="1" s="1"/>
  <c r="X1870" i="1" s="1"/>
  <c r="P1869" i="1"/>
  <c r="W1869" i="1" s="1"/>
  <c r="X1869" i="1" s="1"/>
  <c r="P1868" i="1"/>
  <c r="W1868" i="1" s="1"/>
  <c r="X1868" i="1" s="1"/>
  <c r="W1867" i="1"/>
  <c r="X1867" i="1" s="1"/>
  <c r="P1867" i="1"/>
  <c r="P1866" i="1"/>
  <c r="W1866" i="1" s="1"/>
  <c r="X1866" i="1" s="1"/>
  <c r="W1865" i="1"/>
  <c r="X1865" i="1" s="1"/>
  <c r="P1865" i="1"/>
  <c r="P1864" i="1"/>
  <c r="W1864" i="1" s="1"/>
  <c r="X1864" i="1" s="1"/>
  <c r="W1863" i="1"/>
  <c r="X1863" i="1" s="1"/>
  <c r="P1863" i="1"/>
  <c r="P1862" i="1"/>
  <c r="W1862" i="1" s="1"/>
  <c r="X1862" i="1" s="1"/>
  <c r="P1861" i="1"/>
  <c r="W1861" i="1" s="1"/>
  <c r="X1861" i="1" s="1"/>
  <c r="P1860" i="1"/>
  <c r="W1860" i="1" s="1"/>
  <c r="X1860" i="1" s="1"/>
  <c r="W1859" i="1"/>
  <c r="X1859" i="1" s="1"/>
  <c r="P1859" i="1"/>
  <c r="P1858" i="1"/>
  <c r="W1858" i="1" s="1"/>
  <c r="X1858" i="1" s="1"/>
  <c r="P1857" i="1"/>
  <c r="W1857" i="1" s="1"/>
  <c r="X1857" i="1" s="1"/>
  <c r="P1856" i="1"/>
  <c r="W1856" i="1" s="1"/>
  <c r="X1856" i="1" s="1"/>
  <c r="P1855" i="1"/>
  <c r="W1855" i="1" s="1"/>
  <c r="X1855" i="1" s="1"/>
  <c r="P1854" i="1"/>
  <c r="W1854" i="1" s="1"/>
  <c r="X1854" i="1" s="1"/>
  <c r="P1853" i="1"/>
  <c r="W1853" i="1" s="1"/>
  <c r="X1853" i="1" s="1"/>
  <c r="P1852" i="1"/>
  <c r="W1852" i="1" s="1"/>
  <c r="P1851" i="1"/>
  <c r="W1851" i="1" s="1"/>
  <c r="X1851" i="1" s="1"/>
  <c r="P1850" i="1"/>
  <c r="W1850" i="1" s="1"/>
  <c r="X1850" i="1" s="1"/>
  <c r="X1849" i="1"/>
  <c r="P1849" i="1"/>
  <c r="W1849" i="1" s="1"/>
  <c r="W1848" i="1"/>
  <c r="X1848" i="1" s="1"/>
  <c r="P1848" i="1"/>
  <c r="X1847" i="1"/>
  <c r="P1847" i="1"/>
  <c r="W1847" i="1" s="1"/>
  <c r="P1846" i="1"/>
  <c r="W1846" i="1" s="1"/>
  <c r="X1846" i="1" s="1"/>
  <c r="X1845" i="1"/>
  <c r="P1845" i="1"/>
  <c r="W1845" i="1" s="1"/>
  <c r="W1844" i="1"/>
  <c r="X1844" i="1" s="1"/>
  <c r="P1844" i="1"/>
  <c r="X1843" i="1"/>
  <c r="P1843" i="1"/>
  <c r="W1843" i="1" s="1"/>
  <c r="P1842" i="1"/>
  <c r="W1842" i="1" s="1"/>
  <c r="X1842" i="1" s="1"/>
  <c r="P1841" i="1"/>
  <c r="W1841" i="1" s="1"/>
  <c r="X1841" i="1" s="1"/>
  <c r="P1734" i="1"/>
  <c r="W1734" i="1" s="1"/>
  <c r="X1734" i="1" s="1"/>
  <c r="P1840" i="1" l="1"/>
  <c r="W1840" i="1" s="1"/>
  <c r="X1840" i="1" s="1"/>
  <c r="P1839" i="1"/>
  <c r="W1839" i="1" s="1"/>
  <c r="X1839" i="1" s="1"/>
  <c r="P1838" i="1"/>
  <c r="W1838" i="1" s="1"/>
  <c r="X1838" i="1" s="1"/>
  <c r="P1837" i="1"/>
  <c r="W1837" i="1" s="1"/>
  <c r="X1837" i="1" s="1"/>
  <c r="P1836" i="1"/>
  <c r="W1836" i="1" s="1"/>
  <c r="X1836" i="1" s="1"/>
  <c r="P1835" i="1"/>
  <c r="W1835" i="1" s="1"/>
  <c r="X1835" i="1" s="1"/>
  <c r="P1834" i="1"/>
  <c r="W1834" i="1" s="1"/>
  <c r="X1834" i="1" s="1"/>
  <c r="P1833" i="1"/>
  <c r="W1833" i="1" s="1"/>
  <c r="X1833" i="1" s="1"/>
  <c r="P1832" i="1"/>
  <c r="W1832" i="1" s="1"/>
  <c r="X1832" i="1" s="1"/>
  <c r="P1831" i="1"/>
  <c r="W1831" i="1" s="1"/>
  <c r="X1831" i="1" s="1"/>
  <c r="P1830" i="1"/>
  <c r="W1830" i="1" s="1"/>
  <c r="X1830" i="1" s="1"/>
  <c r="P1829" i="1"/>
  <c r="W1829" i="1" s="1"/>
  <c r="X1829" i="1" s="1"/>
  <c r="P1828" i="1"/>
  <c r="W1828" i="1" s="1"/>
  <c r="X1828" i="1" s="1"/>
  <c r="P1827" i="1"/>
  <c r="W1827" i="1" s="1"/>
  <c r="X1827" i="1" s="1"/>
  <c r="P1826" i="1"/>
  <c r="W1826" i="1" s="1"/>
  <c r="X1826" i="1" s="1"/>
  <c r="P1825" i="1"/>
  <c r="W1825" i="1" s="1"/>
  <c r="X1825" i="1" s="1"/>
  <c r="P1824" i="1"/>
  <c r="W1824" i="1" s="1"/>
  <c r="X1824" i="1" s="1"/>
  <c r="P1823" i="1"/>
  <c r="W1823" i="1" s="1"/>
  <c r="X1823" i="1" s="1"/>
  <c r="P1822" i="1"/>
  <c r="W1822" i="1" s="1"/>
  <c r="X1822" i="1" s="1"/>
  <c r="P1821" i="1"/>
  <c r="W1821" i="1" s="1"/>
  <c r="X1821" i="1" s="1"/>
  <c r="W1820" i="1"/>
  <c r="X1820" i="1" s="1"/>
  <c r="P1820" i="1"/>
  <c r="P1819" i="1"/>
  <c r="W1819" i="1" s="1"/>
  <c r="X1819" i="1" s="1"/>
  <c r="P1818" i="1"/>
  <c r="W1818" i="1" s="1"/>
  <c r="X1818" i="1" s="1"/>
  <c r="P1817" i="1"/>
  <c r="W1817" i="1" s="1"/>
  <c r="X1817" i="1" s="1"/>
  <c r="W1816" i="1"/>
  <c r="X1816" i="1" s="1"/>
  <c r="P1816" i="1"/>
  <c r="P1815" i="1"/>
  <c r="W1815" i="1" s="1"/>
  <c r="X1815" i="1" s="1"/>
  <c r="W1814" i="1"/>
  <c r="X1814" i="1" s="1"/>
  <c r="P1814" i="1"/>
  <c r="P1813" i="1"/>
  <c r="W1813" i="1" s="1"/>
  <c r="X1813" i="1" s="1"/>
  <c r="P1812" i="1"/>
  <c r="W1812" i="1" s="1"/>
  <c r="X1812" i="1" s="1"/>
  <c r="W1811" i="1"/>
  <c r="X1811" i="1" s="1"/>
  <c r="P1811" i="1"/>
  <c r="P1810" i="1"/>
  <c r="W1810" i="1" s="1"/>
  <c r="X1810" i="1" s="1"/>
  <c r="P1809" i="1"/>
  <c r="W1809" i="1" s="1"/>
  <c r="X1809" i="1" s="1"/>
  <c r="P1808" i="1"/>
  <c r="W1808" i="1" s="1"/>
  <c r="X1808" i="1" s="1"/>
  <c r="P1807" i="1"/>
  <c r="W1807" i="1" s="1"/>
  <c r="X1807" i="1" s="1"/>
  <c r="W1806" i="1"/>
  <c r="X1806" i="1" s="1"/>
  <c r="P1806" i="1"/>
  <c r="P1805" i="1"/>
  <c r="W1805" i="1" s="1"/>
  <c r="X1805" i="1" s="1"/>
  <c r="P1804" i="1"/>
  <c r="W1804" i="1" s="1"/>
  <c r="X1804" i="1" s="1"/>
  <c r="P1803" i="1"/>
  <c r="W1803" i="1" s="1"/>
  <c r="X1803" i="1" s="1"/>
  <c r="P1802" i="1"/>
  <c r="W1802" i="1" s="1"/>
  <c r="X1802" i="1" s="1"/>
  <c r="P1801" i="1"/>
  <c r="W1801" i="1" s="1"/>
  <c r="X1801" i="1" s="1"/>
  <c r="W1800" i="1"/>
  <c r="X1800" i="1" s="1"/>
  <c r="P1800" i="1"/>
  <c r="P1799" i="1"/>
  <c r="W1799" i="1" s="1"/>
  <c r="X1799" i="1" s="1"/>
  <c r="W1798" i="1"/>
  <c r="X1798" i="1" s="1"/>
  <c r="P1798" i="1"/>
  <c r="P1797" i="1"/>
  <c r="W1797" i="1" s="1"/>
  <c r="X1797" i="1" s="1"/>
  <c r="P1796" i="1"/>
  <c r="W1796" i="1" s="1"/>
  <c r="X1796" i="1" s="1"/>
  <c r="W1795" i="1"/>
  <c r="X1795" i="1" s="1"/>
  <c r="P1795" i="1"/>
  <c r="P1794" i="1"/>
  <c r="W1794" i="1" s="1"/>
  <c r="X1794" i="1" s="1"/>
  <c r="P1793" i="1"/>
  <c r="W1793" i="1" s="1"/>
  <c r="X1793" i="1" s="1"/>
  <c r="P1792" i="1"/>
  <c r="W1792" i="1" s="1"/>
  <c r="X1792" i="1" s="1"/>
  <c r="P1791" i="1"/>
  <c r="W1791" i="1" s="1"/>
  <c r="X1791" i="1" s="1"/>
  <c r="W1790" i="1"/>
  <c r="X1790" i="1" s="1"/>
  <c r="P1790" i="1"/>
  <c r="P1789" i="1"/>
  <c r="W1789" i="1" s="1"/>
  <c r="X1789" i="1" s="1"/>
  <c r="P1788" i="1"/>
  <c r="W1788" i="1" s="1"/>
  <c r="X1788" i="1" s="1"/>
  <c r="W1787" i="1"/>
  <c r="X1787" i="1" s="1"/>
  <c r="P1787" i="1"/>
  <c r="P1786" i="1"/>
  <c r="W1786" i="1" s="1"/>
  <c r="X1786" i="1" s="1"/>
  <c r="P1785" i="1"/>
  <c r="W1785" i="1" s="1"/>
  <c r="X1785" i="1" s="1"/>
  <c r="W1784" i="1"/>
  <c r="X1784" i="1" s="1"/>
  <c r="P1784" i="1"/>
  <c r="P1783" i="1"/>
  <c r="W1783" i="1" s="1"/>
  <c r="X1783" i="1" s="1"/>
  <c r="W1782" i="1"/>
  <c r="X1782" i="1" s="1"/>
  <c r="P1782" i="1"/>
  <c r="P1781" i="1"/>
  <c r="W1781" i="1" s="1"/>
  <c r="X1781" i="1" s="1"/>
  <c r="P1780" i="1"/>
  <c r="W1780" i="1" s="1"/>
  <c r="X1780" i="1" s="1"/>
  <c r="W1779" i="1"/>
  <c r="X1779" i="1" s="1"/>
  <c r="P1779" i="1"/>
  <c r="P1778" i="1"/>
  <c r="W1778" i="1" s="1"/>
  <c r="X1778" i="1" s="1"/>
  <c r="P1777" i="1"/>
  <c r="W1777" i="1" s="1"/>
  <c r="X1777" i="1" s="1"/>
  <c r="W1776" i="1"/>
  <c r="X1776" i="1" s="1"/>
  <c r="P1776" i="1"/>
  <c r="P1775" i="1"/>
  <c r="W1775" i="1" s="1"/>
  <c r="X1775" i="1" s="1"/>
  <c r="W1774" i="1"/>
  <c r="X1774" i="1" s="1"/>
  <c r="P1774" i="1"/>
  <c r="P1773" i="1"/>
  <c r="W1773" i="1" s="1"/>
  <c r="X1773" i="1" s="1"/>
  <c r="P1772" i="1"/>
  <c r="W1772" i="1" s="1"/>
  <c r="X1772" i="1" s="1"/>
  <c r="W1771" i="1"/>
  <c r="X1771" i="1" s="1"/>
  <c r="P1771" i="1"/>
  <c r="P1770" i="1"/>
  <c r="W1770" i="1" s="1"/>
  <c r="X1770" i="1" s="1"/>
  <c r="P1769" i="1"/>
  <c r="W1769" i="1" s="1"/>
  <c r="X1769" i="1" s="1"/>
  <c r="W1768" i="1"/>
  <c r="X1768" i="1" s="1"/>
  <c r="P1768" i="1"/>
  <c r="P1767" i="1"/>
  <c r="W1767" i="1" s="1"/>
  <c r="X1767" i="1" s="1"/>
  <c r="W1766" i="1"/>
  <c r="X1766" i="1" s="1"/>
  <c r="P1766" i="1"/>
  <c r="P1765" i="1"/>
  <c r="W1765" i="1" s="1"/>
  <c r="X1765" i="1" s="1"/>
  <c r="P1764" i="1"/>
  <c r="W1764" i="1" s="1"/>
  <c r="X1764" i="1" s="1"/>
  <c r="W1763" i="1"/>
  <c r="X1763" i="1" s="1"/>
  <c r="P1763" i="1"/>
  <c r="P1762" i="1"/>
  <c r="W1762" i="1" s="1"/>
  <c r="X1762" i="1" s="1"/>
  <c r="P1761" i="1"/>
  <c r="W1761" i="1" s="1"/>
  <c r="X1761" i="1" s="1"/>
  <c r="W1760" i="1"/>
  <c r="X1760" i="1" s="1"/>
  <c r="P1760" i="1"/>
  <c r="P1759" i="1"/>
  <c r="W1759" i="1" s="1"/>
  <c r="X1759" i="1" s="1"/>
  <c r="W1758" i="1"/>
  <c r="X1758" i="1" s="1"/>
  <c r="P1758" i="1"/>
  <c r="P1757" i="1"/>
  <c r="W1757" i="1" s="1"/>
  <c r="X1757" i="1" s="1"/>
  <c r="X1756" i="1"/>
  <c r="P1756" i="1"/>
  <c r="W1756" i="1" s="1"/>
  <c r="P1755" i="1"/>
  <c r="W1755" i="1" s="1"/>
  <c r="X1755" i="1" s="1"/>
  <c r="W1754" i="1"/>
  <c r="X1754" i="1" s="1"/>
  <c r="P1754" i="1"/>
  <c r="P1753" i="1"/>
  <c r="W1753" i="1" s="1"/>
  <c r="X1753" i="1" s="1"/>
  <c r="W1752" i="1"/>
  <c r="X1752" i="1" s="1"/>
  <c r="P1752" i="1"/>
  <c r="P1751" i="1"/>
  <c r="W1751" i="1" s="1"/>
  <c r="X1751" i="1" s="1"/>
  <c r="W1750" i="1"/>
  <c r="X1750" i="1" s="1"/>
  <c r="P1750" i="1"/>
  <c r="P1749" i="1"/>
  <c r="W1749" i="1" s="1"/>
  <c r="X1749" i="1" s="1"/>
  <c r="X1748" i="1"/>
  <c r="P1748" i="1"/>
  <c r="W1748" i="1" s="1"/>
  <c r="P1747" i="1"/>
  <c r="W1747" i="1" s="1"/>
  <c r="X1747" i="1" s="1"/>
  <c r="W1746" i="1"/>
  <c r="X1746" i="1" s="1"/>
  <c r="P1746" i="1"/>
  <c r="P1745" i="1"/>
  <c r="W1745" i="1" s="1"/>
  <c r="X1745" i="1" s="1"/>
  <c r="P1744" i="1"/>
  <c r="W1744" i="1" s="1"/>
  <c r="X1744" i="1" s="1"/>
  <c r="W1743" i="1"/>
  <c r="X1743" i="1" s="1"/>
  <c r="P1743" i="1"/>
  <c r="P1742" i="1"/>
  <c r="W1742" i="1" s="1"/>
  <c r="X1742" i="1" s="1"/>
  <c r="P1741" i="1"/>
  <c r="W1741" i="1" s="1"/>
  <c r="X1741" i="1" s="1"/>
  <c r="W1740" i="1"/>
  <c r="X1740" i="1" s="1"/>
  <c r="P1740" i="1"/>
  <c r="P1739" i="1"/>
  <c r="W1739" i="1" s="1"/>
  <c r="X1739" i="1" s="1"/>
  <c r="W1738" i="1"/>
  <c r="X1738" i="1" s="1"/>
  <c r="P1738" i="1"/>
  <c r="P1737" i="1"/>
  <c r="W1737" i="1" s="1"/>
  <c r="X1737" i="1" s="1"/>
  <c r="P1736" i="1"/>
  <c r="W1736" i="1" s="1"/>
  <c r="X1736" i="1" s="1"/>
  <c r="P1735" i="1"/>
  <c r="W1735" i="1" s="1"/>
  <c r="X1735" i="1" s="1"/>
  <c r="P1733" i="1"/>
  <c r="W1733" i="1" s="1"/>
  <c r="X1733" i="1" s="1"/>
  <c r="W1732" i="1"/>
  <c r="X1732" i="1" s="1"/>
  <c r="P1732" i="1"/>
  <c r="P1731" i="1"/>
  <c r="W1731" i="1" s="1"/>
  <c r="X1731" i="1" s="1"/>
  <c r="W1730" i="1"/>
  <c r="X1730" i="1" s="1"/>
  <c r="P1730" i="1"/>
  <c r="P1729" i="1"/>
  <c r="W1729" i="1" s="1"/>
  <c r="X1729" i="1" s="1"/>
  <c r="P1728" i="1"/>
  <c r="W1728" i="1" s="1"/>
  <c r="X1728" i="1" s="1"/>
  <c r="W1727" i="1"/>
  <c r="X1727" i="1" s="1"/>
  <c r="P1727" i="1"/>
  <c r="P1726" i="1"/>
  <c r="W1726" i="1" s="1"/>
  <c r="X1726" i="1" s="1"/>
  <c r="P1725" i="1"/>
  <c r="W1725" i="1" s="1"/>
  <c r="X1725" i="1" s="1"/>
  <c r="W1724" i="1"/>
  <c r="X1724" i="1" s="1"/>
  <c r="P1724" i="1"/>
  <c r="P1723" i="1"/>
  <c r="W1723" i="1" s="1"/>
  <c r="X1723" i="1" s="1"/>
  <c r="W1722" i="1"/>
  <c r="X1722" i="1" s="1"/>
  <c r="P1722" i="1"/>
  <c r="P1721" i="1"/>
  <c r="W1721" i="1" s="1"/>
  <c r="X1721" i="1" s="1"/>
  <c r="W1720" i="1"/>
  <c r="X1720" i="1" s="1"/>
  <c r="P1720" i="1"/>
  <c r="P1719" i="1"/>
  <c r="W1719" i="1" s="1"/>
  <c r="X1719" i="1" s="1"/>
  <c r="P1718" i="1"/>
  <c r="W1718" i="1" s="1"/>
  <c r="X1718" i="1" s="1"/>
  <c r="P1717" i="1"/>
  <c r="W1717" i="1" s="1"/>
  <c r="X1717" i="1" s="1"/>
  <c r="P1716" i="1"/>
  <c r="W1716" i="1" s="1"/>
  <c r="X1716" i="1" s="1"/>
  <c r="P1715" i="1"/>
  <c r="W1715" i="1" s="1"/>
  <c r="X1715" i="1" s="1"/>
  <c r="P1714" i="1"/>
  <c r="W1714" i="1" s="1"/>
  <c r="X1714" i="1" s="1"/>
  <c r="P1713" i="1"/>
  <c r="W1713" i="1" s="1"/>
  <c r="X1713" i="1" s="1"/>
  <c r="W1712" i="1"/>
  <c r="X1712" i="1" s="1"/>
  <c r="P1712" i="1"/>
  <c r="P1711" i="1"/>
  <c r="W1711" i="1" s="1"/>
  <c r="X1711" i="1" s="1"/>
  <c r="P1710" i="1"/>
  <c r="W1710" i="1" s="1"/>
  <c r="X1710" i="1" s="1"/>
  <c r="P1709" i="1"/>
  <c r="W1709" i="1" s="1"/>
  <c r="X1709" i="1" s="1"/>
  <c r="P1708" i="1"/>
  <c r="W1708" i="1" s="1"/>
  <c r="X1708" i="1" s="1"/>
  <c r="P1707" i="1"/>
  <c r="W1707" i="1" s="1"/>
  <c r="X1707" i="1" s="1"/>
  <c r="P1706" i="1"/>
  <c r="W1706" i="1" s="1"/>
  <c r="X1706" i="1" s="1"/>
  <c r="P1705" i="1"/>
  <c r="W1705" i="1" s="1"/>
  <c r="X1705" i="1" s="1"/>
  <c r="W1704" i="1"/>
  <c r="X1704" i="1" s="1"/>
  <c r="P1704" i="1"/>
  <c r="P1703" i="1"/>
  <c r="W1703" i="1" s="1"/>
  <c r="X1703" i="1" s="1"/>
  <c r="P1702" i="1"/>
  <c r="W1702" i="1" s="1"/>
  <c r="X1702" i="1" s="1"/>
  <c r="P1701" i="1"/>
  <c r="W1701" i="1" s="1"/>
  <c r="X1701" i="1" s="1"/>
  <c r="P1700" i="1"/>
  <c r="W1700" i="1" s="1"/>
  <c r="X1700" i="1" s="1"/>
  <c r="P1699" i="1"/>
  <c r="W1699" i="1" s="1"/>
  <c r="X1699" i="1" s="1"/>
  <c r="P1698" i="1"/>
  <c r="W1698" i="1" s="1"/>
  <c r="X1698" i="1" s="1"/>
  <c r="P1697" i="1"/>
  <c r="W1697" i="1" s="1"/>
  <c r="X1697" i="1" s="1"/>
  <c r="W1696" i="1"/>
  <c r="X1696" i="1" s="1"/>
  <c r="P1696" i="1"/>
  <c r="P1695" i="1"/>
  <c r="W1695" i="1" s="1"/>
  <c r="X1695" i="1" s="1"/>
  <c r="P1694" i="1"/>
  <c r="W1694" i="1" s="1"/>
  <c r="X1694" i="1" s="1"/>
  <c r="P1693" i="1"/>
  <c r="W1693" i="1" s="1"/>
  <c r="X1693" i="1" s="1"/>
  <c r="P1692" i="1"/>
  <c r="W1692" i="1" s="1"/>
  <c r="X1692" i="1" s="1"/>
  <c r="P1691" i="1"/>
  <c r="W1691" i="1" s="1"/>
  <c r="X1691" i="1" s="1"/>
  <c r="P1690" i="1"/>
  <c r="W1690" i="1" s="1"/>
  <c r="X1690" i="1" s="1"/>
  <c r="P1689" i="1"/>
  <c r="W1689" i="1" s="1"/>
  <c r="X1689" i="1" s="1"/>
  <c r="W1688" i="1"/>
  <c r="X1688" i="1" s="1"/>
  <c r="P1688" i="1"/>
  <c r="P1687" i="1"/>
  <c r="W1687" i="1" s="1"/>
  <c r="X1687" i="1" s="1"/>
  <c r="P1686" i="1"/>
  <c r="W1686" i="1" s="1"/>
  <c r="X1686" i="1" s="1"/>
  <c r="P1685" i="1"/>
  <c r="W1685" i="1" s="1"/>
  <c r="X1685" i="1" s="1"/>
  <c r="P1684" i="1"/>
  <c r="W1684" i="1" s="1"/>
  <c r="X1684" i="1" s="1"/>
  <c r="P1683" i="1"/>
  <c r="W1683" i="1" s="1"/>
  <c r="X1683" i="1" s="1"/>
  <c r="W1682" i="1"/>
  <c r="X1682" i="1" s="1"/>
  <c r="P1682" i="1"/>
  <c r="P1681" i="1"/>
  <c r="W1681" i="1" s="1"/>
  <c r="X1681" i="1" s="1"/>
  <c r="P1680" i="1"/>
  <c r="W1680" i="1" s="1"/>
  <c r="X1680" i="1" s="1"/>
  <c r="W1679" i="1"/>
  <c r="X1679" i="1" s="1"/>
  <c r="P1679" i="1"/>
  <c r="P1678" i="1"/>
  <c r="W1678" i="1" s="1"/>
  <c r="X1678" i="1" s="1"/>
  <c r="P1677" i="1"/>
  <c r="W1677" i="1" s="1"/>
  <c r="X1677" i="1" s="1"/>
  <c r="P1676" i="1"/>
  <c r="W1676" i="1" s="1"/>
  <c r="X1676" i="1" s="1"/>
  <c r="W1675" i="1"/>
  <c r="X1675" i="1" s="1"/>
  <c r="P1675" i="1"/>
  <c r="P1674" i="1"/>
  <c r="W1674" i="1" s="1"/>
  <c r="X1674" i="1" s="1"/>
  <c r="W1673" i="1"/>
  <c r="X1673" i="1" s="1"/>
  <c r="P1673" i="1"/>
  <c r="P1672" i="1"/>
  <c r="W1672" i="1" s="1"/>
  <c r="X1672" i="1" s="1"/>
  <c r="W1671" i="1"/>
  <c r="X1671" i="1" s="1"/>
  <c r="P1671" i="1"/>
  <c r="P1670" i="1"/>
  <c r="W1670" i="1" s="1"/>
  <c r="X1670" i="1" s="1"/>
  <c r="W1669" i="1"/>
  <c r="X1669" i="1" s="1"/>
  <c r="P1669" i="1"/>
  <c r="P1668" i="1"/>
  <c r="W1668" i="1" s="1"/>
  <c r="X1668" i="1" s="1"/>
  <c r="P1667" i="1"/>
  <c r="W1667" i="1" s="1"/>
  <c r="X1667" i="1" s="1"/>
  <c r="W1666" i="1"/>
  <c r="X1666" i="1" s="1"/>
  <c r="P1666" i="1"/>
  <c r="P1665" i="1"/>
  <c r="W1665" i="1" s="1"/>
  <c r="X1665" i="1" s="1"/>
  <c r="P1664" i="1"/>
  <c r="W1664" i="1" s="1"/>
  <c r="X1664" i="1" s="1"/>
  <c r="W1663" i="1"/>
  <c r="X1663" i="1" s="1"/>
  <c r="P1663" i="1"/>
  <c r="P1662" i="1"/>
  <c r="W1662" i="1" s="1"/>
  <c r="X1662" i="1" s="1"/>
  <c r="W1661" i="1"/>
  <c r="X1661" i="1" s="1"/>
  <c r="P1661" i="1"/>
  <c r="P1660" i="1"/>
  <c r="W1660" i="1" s="1"/>
  <c r="X1660" i="1" s="1"/>
  <c r="P1659" i="1"/>
  <c r="W1659" i="1" s="1"/>
  <c r="X1659" i="1" s="1"/>
  <c r="W1658" i="1"/>
  <c r="X1658" i="1" s="1"/>
  <c r="P1658" i="1"/>
  <c r="P1657" i="1"/>
  <c r="W1657" i="1" s="1"/>
  <c r="X1657" i="1" s="1"/>
  <c r="P1656" i="1"/>
  <c r="W1656" i="1" s="1"/>
  <c r="X1656" i="1" s="1"/>
  <c r="W1655" i="1"/>
  <c r="X1655" i="1" s="1"/>
  <c r="P1655" i="1"/>
  <c r="P1654" i="1"/>
  <c r="W1654" i="1" s="1"/>
  <c r="X1654" i="1" s="1"/>
  <c r="W1653" i="1"/>
  <c r="X1653" i="1" s="1"/>
  <c r="P1653" i="1"/>
  <c r="P1652" i="1"/>
  <c r="W1652" i="1" s="1"/>
  <c r="X1652" i="1" s="1"/>
  <c r="P1651" i="1"/>
  <c r="W1651" i="1" s="1"/>
  <c r="X1651" i="1" s="1"/>
  <c r="W1650" i="1"/>
  <c r="X1650" i="1" s="1"/>
  <c r="P1650" i="1"/>
  <c r="P1649" i="1"/>
  <c r="W1649" i="1" s="1"/>
  <c r="X1649" i="1" s="1"/>
  <c r="P1648" i="1"/>
  <c r="W1648" i="1" s="1"/>
  <c r="X1648" i="1" s="1"/>
  <c r="W1647" i="1"/>
  <c r="X1647" i="1" s="1"/>
  <c r="P1647" i="1"/>
  <c r="P1646" i="1"/>
  <c r="W1646" i="1" s="1"/>
  <c r="X1646" i="1" s="1"/>
  <c r="W1645" i="1"/>
  <c r="X1645" i="1" s="1"/>
  <c r="P1645" i="1"/>
  <c r="P1644" i="1"/>
  <c r="W1644" i="1" s="1"/>
  <c r="X1644" i="1" s="1"/>
  <c r="P1643" i="1"/>
  <c r="W1643" i="1" s="1"/>
  <c r="X1643" i="1" s="1"/>
  <c r="W1642" i="1"/>
  <c r="X1642" i="1" s="1"/>
  <c r="P1642" i="1"/>
  <c r="P1641" i="1"/>
  <c r="W1641" i="1" s="1"/>
  <c r="X1641" i="1" s="1"/>
  <c r="P1640" i="1"/>
  <c r="W1640" i="1" s="1"/>
  <c r="X1640" i="1" s="1"/>
  <c r="W1639" i="1"/>
  <c r="X1639" i="1" s="1"/>
  <c r="P1639" i="1"/>
  <c r="P1638" i="1"/>
  <c r="W1638" i="1" s="1"/>
  <c r="X1638" i="1" s="1"/>
  <c r="W1637" i="1"/>
  <c r="X1637" i="1" s="1"/>
  <c r="P1637" i="1"/>
  <c r="P1636" i="1"/>
  <c r="W1636" i="1" s="1"/>
  <c r="X1636" i="1" s="1"/>
  <c r="P1635" i="1"/>
  <c r="W1635" i="1" s="1"/>
  <c r="X1635" i="1" s="1"/>
  <c r="W1634" i="1"/>
  <c r="X1634" i="1" s="1"/>
  <c r="P1634" i="1"/>
  <c r="P1633" i="1"/>
  <c r="W1633" i="1" s="1"/>
  <c r="X1633" i="1" s="1"/>
  <c r="P1632" i="1"/>
  <c r="W1632" i="1" s="1"/>
  <c r="X1632" i="1" s="1"/>
  <c r="W1631" i="1"/>
  <c r="X1631" i="1" s="1"/>
  <c r="P1631" i="1"/>
  <c r="P1630" i="1"/>
  <c r="W1630" i="1" s="1"/>
  <c r="X1630" i="1" s="1"/>
  <c r="W1629" i="1"/>
  <c r="X1629" i="1" s="1"/>
  <c r="P1629" i="1"/>
  <c r="P1628" i="1"/>
  <c r="W1628" i="1" s="1"/>
  <c r="X1628" i="1" s="1"/>
  <c r="P1627" i="1"/>
  <c r="W1627" i="1" s="1"/>
  <c r="X1627" i="1" s="1"/>
  <c r="W1626" i="1"/>
  <c r="X1626" i="1" s="1"/>
  <c r="P1626" i="1"/>
  <c r="P1625" i="1"/>
  <c r="W1625" i="1" s="1"/>
  <c r="X1625" i="1" s="1"/>
  <c r="P1624" i="1"/>
  <c r="W1624" i="1" s="1"/>
  <c r="X1624" i="1" s="1"/>
  <c r="W1623" i="1"/>
  <c r="X1623" i="1" s="1"/>
  <c r="P1623" i="1"/>
  <c r="P1622" i="1"/>
  <c r="W1622" i="1" s="1"/>
  <c r="X1622" i="1" s="1"/>
  <c r="W1621" i="1"/>
  <c r="X1621" i="1" s="1"/>
  <c r="P1621" i="1"/>
  <c r="P1620" i="1"/>
  <c r="W1620" i="1" s="1"/>
  <c r="X1620" i="1" s="1"/>
  <c r="P1619" i="1"/>
  <c r="W1619" i="1" s="1"/>
  <c r="X1619" i="1" s="1"/>
  <c r="W1618" i="1"/>
  <c r="X1618" i="1" s="1"/>
  <c r="P1618" i="1"/>
  <c r="P1617" i="1"/>
  <c r="W1617" i="1" s="1"/>
  <c r="X1617" i="1" s="1"/>
  <c r="P1616" i="1"/>
  <c r="W1616" i="1" s="1"/>
  <c r="X1616" i="1" s="1"/>
  <c r="W1615" i="1"/>
  <c r="X1615" i="1" s="1"/>
  <c r="P1615" i="1"/>
  <c r="P1614" i="1"/>
  <c r="W1614" i="1" s="1"/>
  <c r="X1614" i="1" s="1"/>
  <c r="P1613" i="1"/>
  <c r="W1613" i="1" s="1"/>
  <c r="X1613" i="1" s="1"/>
  <c r="P1612" i="1"/>
  <c r="W1612" i="1" s="1"/>
  <c r="X1612" i="1" s="1"/>
  <c r="P1611" i="1"/>
  <c r="W1611" i="1" s="1"/>
  <c r="X1611" i="1" s="1"/>
  <c r="P1610" i="1"/>
  <c r="W1610" i="1" s="1"/>
  <c r="X1610" i="1" s="1"/>
  <c r="P1609" i="1"/>
  <c r="W1609" i="1" s="1"/>
  <c r="X1609" i="1" s="1"/>
  <c r="W1608" i="1"/>
  <c r="X1608" i="1" s="1"/>
  <c r="P1608" i="1"/>
  <c r="P1607" i="1"/>
  <c r="W1607" i="1" s="1"/>
  <c r="X1607" i="1" s="1"/>
  <c r="P1606" i="1"/>
  <c r="W1606" i="1" s="1"/>
  <c r="X1606" i="1" s="1"/>
  <c r="P1605" i="1"/>
  <c r="W1605" i="1" s="1"/>
  <c r="X1605" i="1" s="1"/>
  <c r="P1604" i="1"/>
  <c r="W1604" i="1" s="1"/>
  <c r="X1604" i="1" s="1"/>
  <c r="P1603" i="1"/>
  <c r="W1603" i="1" s="1"/>
  <c r="X1603" i="1" s="1"/>
  <c r="P1602" i="1"/>
  <c r="W1602" i="1" s="1"/>
  <c r="X1602" i="1" s="1"/>
  <c r="P1601" i="1"/>
  <c r="W1601" i="1" s="1"/>
  <c r="X1601" i="1" s="1"/>
  <c r="W1600" i="1"/>
  <c r="X1600" i="1" s="1"/>
  <c r="P1600" i="1"/>
  <c r="P1599" i="1"/>
  <c r="W1599" i="1" s="1"/>
  <c r="X1599" i="1" s="1"/>
  <c r="P1598" i="1"/>
  <c r="W1598" i="1" s="1"/>
  <c r="X1598" i="1" s="1"/>
  <c r="P1597" i="1"/>
  <c r="W1597" i="1" s="1"/>
  <c r="X1597" i="1" s="1"/>
  <c r="P1596" i="1"/>
  <c r="W1596" i="1" s="1"/>
  <c r="X1596" i="1" s="1"/>
  <c r="P1595" i="1"/>
  <c r="W1595" i="1" s="1"/>
  <c r="X1595" i="1" s="1"/>
  <c r="X1594" i="1"/>
  <c r="P1594" i="1"/>
  <c r="W1594" i="1" s="1"/>
  <c r="P1593" i="1"/>
  <c r="W1593" i="1" s="1"/>
  <c r="X1593" i="1" s="1"/>
  <c r="W1592" i="1"/>
  <c r="X1592" i="1" s="1"/>
  <c r="P1592" i="1"/>
  <c r="P1591" i="1"/>
  <c r="W1591" i="1" s="1"/>
  <c r="X1591" i="1" s="1"/>
  <c r="W1590" i="1"/>
  <c r="X1590" i="1" s="1"/>
  <c r="P1590" i="1"/>
  <c r="P1589" i="1"/>
  <c r="W1589" i="1" s="1"/>
  <c r="X1589" i="1" s="1"/>
  <c r="P1588" i="1"/>
  <c r="W1588" i="1" s="1"/>
  <c r="X1588" i="1" s="1"/>
  <c r="P1587" i="1"/>
  <c r="W1587" i="1" s="1"/>
  <c r="X1587" i="1" s="1"/>
  <c r="P1586" i="1"/>
  <c r="W1586" i="1" s="1"/>
  <c r="X1586" i="1" s="1"/>
  <c r="W1585" i="1"/>
  <c r="X1585" i="1" s="1"/>
  <c r="P1585" i="1"/>
  <c r="P1584" i="1"/>
  <c r="W1584" i="1" s="1"/>
  <c r="X1584" i="1" s="1"/>
  <c r="P1583" i="1"/>
  <c r="W1583" i="1" s="1"/>
  <c r="X1583" i="1" s="1"/>
  <c r="P1582" i="1"/>
  <c r="W1582" i="1" s="1"/>
  <c r="X1582" i="1" s="1"/>
  <c r="P1581" i="1"/>
  <c r="W1581" i="1" s="1"/>
  <c r="X1581" i="1" s="1"/>
  <c r="P1580" i="1"/>
  <c r="W1580" i="1" s="1"/>
  <c r="X1580" i="1" s="1"/>
  <c r="P1579" i="1"/>
  <c r="W1579" i="1" s="1"/>
  <c r="X1579" i="1" s="1"/>
  <c r="X1578" i="1"/>
  <c r="P1578" i="1"/>
  <c r="W1578" i="1" s="1"/>
  <c r="P1577" i="1"/>
  <c r="W1577" i="1" s="1"/>
  <c r="X1577" i="1" s="1"/>
  <c r="W1576" i="1"/>
  <c r="X1576" i="1" s="1"/>
  <c r="P1576" i="1"/>
  <c r="P1575" i="1"/>
  <c r="W1575" i="1" s="1"/>
  <c r="X1575" i="1" s="1"/>
  <c r="W1574" i="1"/>
  <c r="X1574" i="1" s="1"/>
  <c r="P1574" i="1"/>
  <c r="P1573" i="1"/>
  <c r="W1573" i="1" s="1"/>
  <c r="X1573" i="1" s="1"/>
  <c r="P1572" i="1"/>
  <c r="W1572" i="1" s="1"/>
  <c r="X1572" i="1" s="1"/>
  <c r="W1571" i="1"/>
  <c r="X1571" i="1" s="1"/>
  <c r="P1571" i="1"/>
  <c r="P1570" i="1"/>
  <c r="W1570" i="1" s="1"/>
  <c r="X1570" i="1" s="1"/>
  <c r="P1569" i="1"/>
  <c r="W1569" i="1" s="1"/>
  <c r="X1569" i="1" s="1"/>
  <c r="P1568" i="1"/>
  <c r="W1568" i="1" s="1"/>
  <c r="X1568" i="1" s="1"/>
  <c r="P1567" i="1"/>
  <c r="W1567" i="1" s="1"/>
  <c r="X1567" i="1" s="1"/>
  <c r="P1566" i="1"/>
  <c r="W1566" i="1" s="1"/>
  <c r="X1566" i="1" s="1"/>
  <c r="W1565" i="1"/>
  <c r="X1565" i="1" s="1"/>
  <c r="P1565" i="1"/>
  <c r="P1564" i="1"/>
  <c r="W1564" i="1" s="1"/>
  <c r="X1564" i="1" s="1"/>
  <c r="P1563" i="1"/>
  <c r="W1563" i="1" s="1"/>
  <c r="X1563" i="1" s="1"/>
  <c r="P1562" i="1"/>
  <c r="W1562" i="1" s="1"/>
  <c r="X1562" i="1" s="1"/>
  <c r="P1561" i="1"/>
  <c r="W1561" i="1" s="1"/>
  <c r="X1561" i="1" s="1"/>
  <c r="P1560" i="1"/>
  <c r="W1560" i="1" s="1"/>
  <c r="X1560" i="1" s="1"/>
  <c r="P1559" i="1"/>
  <c r="W1559" i="1" s="1"/>
  <c r="X1559" i="1" s="1"/>
  <c r="X1558" i="1"/>
  <c r="P1558" i="1"/>
  <c r="W1558" i="1" s="1"/>
  <c r="P1557" i="1"/>
  <c r="W1557" i="1" s="1"/>
  <c r="X1557" i="1" s="1"/>
  <c r="W1556" i="1"/>
  <c r="X1556" i="1" s="1"/>
  <c r="P1556" i="1"/>
  <c r="P1555" i="1"/>
  <c r="W1555" i="1" s="1"/>
  <c r="X1555" i="1" s="1"/>
  <c r="W1554" i="1"/>
  <c r="X1554" i="1" s="1"/>
  <c r="P1554" i="1"/>
  <c r="P1553" i="1"/>
  <c r="W1553" i="1" s="1"/>
  <c r="X1553" i="1" s="1"/>
  <c r="P1552" i="1"/>
  <c r="W1552" i="1" s="1"/>
  <c r="X1552" i="1" s="1"/>
  <c r="W1551" i="1"/>
  <c r="X1551" i="1" s="1"/>
  <c r="P1551" i="1"/>
  <c r="P1550" i="1"/>
  <c r="W1550" i="1" s="1"/>
  <c r="X1550" i="1" s="1"/>
  <c r="W1549" i="1"/>
  <c r="X1549" i="1" s="1"/>
  <c r="P1549" i="1"/>
  <c r="P1548" i="1"/>
  <c r="W1548" i="1" s="1"/>
  <c r="X1548" i="1" s="1"/>
  <c r="P1547" i="1"/>
  <c r="W1547" i="1" s="1"/>
  <c r="X1547" i="1" s="1"/>
  <c r="W1546" i="1"/>
  <c r="X1546" i="1" s="1"/>
  <c r="P1546" i="1"/>
  <c r="P1201" i="1"/>
  <c r="W1201" i="1" s="1"/>
  <c r="X1201" i="1" s="1"/>
  <c r="W1545" i="1"/>
  <c r="X1545" i="1" s="1"/>
  <c r="P1545" i="1"/>
  <c r="P1544" i="1"/>
  <c r="W1544" i="1" s="1"/>
  <c r="X1544" i="1" s="1"/>
  <c r="P1543" i="1"/>
  <c r="W1543" i="1" s="1"/>
  <c r="X1543" i="1" s="1"/>
  <c r="P1542" i="1"/>
  <c r="W1542" i="1" s="1"/>
  <c r="X1542" i="1" s="1"/>
  <c r="W1541" i="1"/>
  <c r="X1541" i="1" s="1"/>
  <c r="P1541" i="1"/>
  <c r="P1540" i="1"/>
  <c r="W1540" i="1" s="1"/>
  <c r="X1540" i="1" s="1"/>
  <c r="X1539" i="1"/>
  <c r="P1539" i="1"/>
  <c r="W1539" i="1" s="1"/>
  <c r="P1538" i="1"/>
  <c r="W1538" i="1" s="1"/>
  <c r="X1538" i="1" s="1"/>
  <c r="P1537" i="1"/>
  <c r="W1537" i="1" s="1"/>
  <c r="X1537" i="1" s="1"/>
  <c r="W1536" i="1"/>
  <c r="X1536" i="1" s="1"/>
  <c r="P1536" i="1"/>
  <c r="P1535" i="1"/>
  <c r="W1535" i="1" s="1"/>
  <c r="X1535" i="1" s="1"/>
  <c r="W1534" i="1"/>
  <c r="X1534" i="1" s="1"/>
  <c r="P1534" i="1"/>
  <c r="P1533" i="1"/>
  <c r="W1533" i="1" s="1"/>
  <c r="X1533" i="1" s="1"/>
  <c r="W1532" i="1"/>
  <c r="X1532" i="1" s="1"/>
  <c r="P1532" i="1"/>
  <c r="P1531" i="1"/>
  <c r="W1531" i="1" s="1"/>
  <c r="X1531" i="1" s="1"/>
  <c r="P1530" i="1"/>
  <c r="W1530" i="1" s="1"/>
  <c r="X1530" i="1" s="1"/>
  <c r="W1529" i="1"/>
  <c r="X1529" i="1" s="1"/>
  <c r="P1529" i="1"/>
  <c r="P1528" i="1"/>
  <c r="W1528" i="1" s="1"/>
  <c r="X1528" i="1" s="1"/>
  <c r="P1527" i="1"/>
  <c r="W1527" i="1" s="1"/>
  <c r="X1527" i="1" s="1"/>
  <c r="P1526" i="1"/>
  <c r="W1526" i="1" s="1"/>
  <c r="X1526" i="1" s="1"/>
  <c r="W1525" i="1"/>
  <c r="X1525" i="1" s="1"/>
  <c r="P1525" i="1"/>
  <c r="P1524" i="1"/>
  <c r="W1524" i="1" s="1"/>
  <c r="X1524" i="1" s="1"/>
  <c r="P1523" i="1"/>
  <c r="W1523" i="1" s="1"/>
  <c r="X1523" i="1" s="1"/>
  <c r="W1522" i="1"/>
  <c r="X1522" i="1" s="1"/>
  <c r="P1522" i="1"/>
  <c r="P1521" i="1"/>
  <c r="W1521" i="1" s="1"/>
  <c r="X1521" i="1" s="1"/>
  <c r="W1520" i="1"/>
  <c r="X1520" i="1" s="1"/>
  <c r="P1520" i="1"/>
  <c r="P1519" i="1"/>
  <c r="W1519" i="1" s="1"/>
  <c r="X1519" i="1" s="1"/>
  <c r="W1518" i="1"/>
  <c r="X1518" i="1" s="1"/>
  <c r="P1518" i="1"/>
  <c r="P1517" i="1"/>
  <c r="W1517" i="1" s="1"/>
  <c r="X1517" i="1" s="1"/>
  <c r="W1516" i="1"/>
  <c r="X1516" i="1" s="1"/>
  <c r="P1516" i="1"/>
  <c r="P1515" i="1"/>
  <c r="W1515" i="1" s="1"/>
  <c r="X1515" i="1" s="1"/>
  <c r="P1514" i="1"/>
  <c r="W1514" i="1" s="1"/>
  <c r="X1514" i="1" s="1"/>
  <c r="W1513" i="1"/>
  <c r="X1513" i="1" s="1"/>
  <c r="P1513" i="1"/>
  <c r="P1512" i="1"/>
  <c r="W1512" i="1" s="1"/>
  <c r="X1512" i="1" s="1"/>
  <c r="P1511" i="1"/>
  <c r="W1511" i="1" s="1"/>
  <c r="X1511" i="1" s="1"/>
  <c r="P1510" i="1"/>
  <c r="W1510" i="1" s="1"/>
  <c r="X1510" i="1" s="1"/>
  <c r="W1509" i="1"/>
  <c r="X1509" i="1" s="1"/>
  <c r="P1509" i="1"/>
  <c r="P1508" i="1"/>
  <c r="W1508" i="1" s="1"/>
  <c r="X1508" i="1" s="1"/>
  <c r="P1507" i="1"/>
  <c r="W1507" i="1" s="1"/>
  <c r="X1507" i="1" s="1"/>
  <c r="W1506" i="1"/>
  <c r="X1506" i="1" s="1"/>
  <c r="P1506" i="1"/>
  <c r="P1505" i="1"/>
  <c r="W1505" i="1" s="1"/>
  <c r="X1505" i="1" s="1"/>
  <c r="W1504" i="1"/>
  <c r="X1504" i="1" s="1"/>
  <c r="P1504" i="1"/>
  <c r="P1503" i="1"/>
  <c r="W1503" i="1" s="1"/>
  <c r="X1503" i="1" s="1"/>
  <c r="W1502" i="1"/>
  <c r="X1502" i="1" s="1"/>
  <c r="P1502" i="1"/>
  <c r="P1501" i="1"/>
  <c r="W1501" i="1" s="1"/>
  <c r="X1501" i="1" s="1"/>
  <c r="W1500" i="1"/>
  <c r="X1500" i="1" s="1"/>
  <c r="P1500" i="1"/>
  <c r="P1499" i="1"/>
  <c r="W1499" i="1" s="1"/>
  <c r="X1499" i="1" s="1"/>
  <c r="P1498" i="1"/>
  <c r="W1498" i="1" s="1"/>
  <c r="X1498" i="1" s="1"/>
  <c r="W1497" i="1"/>
  <c r="X1497" i="1" s="1"/>
  <c r="P1497" i="1"/>
  <c r="P1496" i="1"/>
  <c r="W1496" i="1" s="1"/>
  <c r="X1496" i="1" s="1"/>
  <c r="P1495" i="1"/>
  <c r="W1495" i="1" s="1"/>
  <c r="X1495" i="1" s="1"/>
  <c r="P1494" i="1"/>
  <c r="W1494" i="1" s="1"/>
  <c r="X1494" i="1" s="1"/>
  <c r="W1493" i="1"/>
  <c r="X1493" i="1" s="1"/>
  <c r="P1493" i="1"/>
  <c r="P1492" i="1"/>
  <c r="W1492" i="1" s="1"/>
  <c r="X1492" i="1" s="1"/>
  <c r="P1491" i="1"/>
  <c r="W1491" i="1" s="1"/>
  <c r="X1491" i="1" s="1"/>
  <c r="W1490" i="1"/>
  <c r="X1490" i="1" s="1"/>
  <c r="P1490" i="1"/>
  <c r="P1489" i="1"/>
  <c r="W1489" i="1" s="1"/>
  <c r="X1489" i="1" s="1"/>
  <c r="W1488" i="1"/>
  <c r="X1488" i="1" s="1"/>
  <c r="P1488" i="1"/>
  <c r="P1487" i="1"/>
  <c r="W1487" i="1" s="1"/>
  <c r="X1487" i="1" s="1"/>
  <c r="W1486" i="1"/>
  <c r="X1486" i="1" s="1"/>
  <c r="P1486" i="1"/>
  <c r="W1485" i="1"/>
  <c r="X1485" i="1" s="1"/>
  <c r="P1485" i="1"/>
  <c r="W1484" i="1"/>
  <c r="X1484" i="1" s="1"/>
  <c r="P1484" i="1"/>
  <c r="P1483" i="1"/>
  <c r="W1483" i="1" s="1"/>
  <c r="X1483" i="1" s="1"/>
  <c r="P1482" i="1"/>
  <c r="W1482" i="1" s="1"/>
  <c r="X1482" i="1" s="1"/>
  <c r="W1481" i="1"/>
  <c r="X1481" i="1" s="1"/>
  <c r="P1481" i="1"/>
  <c r="P1480" i="1"/>
  <c r="W1480" i="1" s="1"/>
  <c r="X1480" i="1" s="1"/>
  <c r="P1479" i="1"/>
  <c r="W1479" i="1" s="1"/>
  <c r="X1479" i="1" s="1"/>
  <c r="P1478" i="1"/>
  <c r="W1478" i="1" s="1"/>
  <c r="X1478" i="1" s="1"/>
  <c r="W1477" i="1"/>
  <c r="X1477" i="1" s="1"/>
  <c r="P1477" i="1"/>
  <c r="W1476" i="1"/>
  <c r="X1476" i="1" s="1"/>
  <c r="P1476" i="1"/>
  <c r="P1475" i="1"/>
  <c r="W1475" i="1" s="1"/>
  <c r="X1475" i="1" s="1"/>
  <c r="W1474" i="1"/>
  <c r="X1474" i="1" s="1"/>
  <c r="P1474" i="1"/>
  <c r="P1473" i="1"/>
  <c r="W1473" i="1" s="1"/>
  <c r="X1473" i="1" s="1"/>
  <c r="W1472" i="1"/>
  <c r="X1472" i="1" s="1"/>
  <c r="P1472" i="1"/>
  <c r="P1471" i="1"/>
  <c r="W1471" i="1" s="1"/>
  <c r="X1471" i="1" s="1"/>
  <c r="W1470" i="1"/>
  <c r="X1470" i="1" s="1"/>
  <c r="P1470" i="1"/>
  <c r="P1469" i="1"/>
  <c r="W1469" i="1" s="1"/>
  <c r="X1469" i="1" s="1"/>
  <c r="W1468" i="1"/>
  <c r="X1468" i="1" s="1"/>
  <c r="P1468" i="1"/>
  <c r="P1467" i="1"/>
  <c r="W1467" i="1" s="1"/>
  <c r="X1467" i="1" s="1"/>
  <c r="P1466" i="1"/>
  <c r="W1466" i="1" s="1"/>
  <c r="X1466" i="1" s="1"/>
  <c r="W1465" i="1"/>
  <c r="X1465" i="1" s="1"/>
  <c r="P1465" i="1"/>
  <c r="P1464" i="1"/>
  <c r="W1464" i="1" s="1"/>
  <c r="X1464" i="1" s="1"/>
  <c r="P1463" i="1"/>
  <c r="W1463" i="1" s="1"/>
  <c r="X1463" i="1" s="1"/>
  <c r="W1462" i="1"/>
  <c r="X1462" i="1" s="1"/>
  <c r="P1462" i="1"/>
  <c r="W1461" i="1"/>
  <c r="X1461" i="1" s="1"/>
  <c r="P1461" i="1"/>
  <c r="P1460" i="1"/>
  <c r="W1460" i="1" s="1"/>
  <c r="X1460" i="1" s="1"/>
  <c r="P1459" i="1"/>
  <c r="W1459" i="1" s="1"/>
  <c r="X1459" i="1" s="1"/>
  <c r="W1458" i="1"/>
  <c r="X1458" i="1" s="1"/>
  <c r="P1458" i="1"/>
  <c r="P1457" i="1"/>
  <c r="W1457" i="1" s="1"/>
  <c r="X1457" i="1" s="1"/>
  <c r="W1456" i="1"/>
  <c r="X1456" i="1" s="1"/>
  <c r="P1456" i="1"/>
  <c r="P1455" i="1"/>
  <c r="W1455" i="1" s="1"/>
  <c r="X1455" i="1" s="1"/>
  <c r="W1454" i="1"/>
  <c r="X1454" i="1" s="1"/>
  <c r="P1454" i="1"/>
  <c r="W1453" i="1"/>
  <c r="X1453" i="1" s="1"/>
  <c r="P1453" i="1"/>
  <c r="W1452" i="1"/>
  <c r="X1452" i="1" s="1"/>
  <c r="P1452" i="1"/>
  <c r="P1451" i="1"/>
  <c r="W1451" i="1" s="1"/>
  <c r="X1451" i="1" s="1"/>
  <c r="P1450" i="1"/>
  <c r="W1450" i="1" s="1"/>
  <c r="X1450" i="1" s="1"/>
  <c r="W1449" i="1"/>
  <c r="X1449" i="1" s="1"/>
  <c r="P1449" i="1"/>
  <c r="P1448" i="1"/>
  <c r="W1448" i="1" s="1"/>
  <c r="X1448" i="1" s="1"/>
  <c r="P1447" i="1"/>
  <c r="W1447" i="1" s="1"/>
  <c r="X1447" i="1" s="1"/>
  <c r="P1446" i="1"/>
  <c r="W1446" i="1" s="1"/>
  <c r="X1446" i="1" s="1"/>
  <c r="W1445" i="1"/>
  <c r="X1445" i="1" s="1"/>
  <c r="P1445" i="1"/>
  <c r="W1444" i="1"/>
  <c r="X1444" i="1" s="1"/>
  <c r="P1444" i="1"/>
  <c r="P1443" i="1"/>
  <c r="W1443" i="1" s="1"/>
  <c r="X1443" i="1" s="1"/>
  <c r="W1442" i="1"/>
  <c r="X1442" i="1" s="1"/>
  <c r="P1442" i="1"/>
  <c r="P1441" i="1"/>
  <c r="W1441" i="1" s="1"/>
  <c r="X1441" i="1" s="1"/>
  <c r="W1440" i="1"/>
  <c r="X1440" i="1" s="1"/>
  <c r="P1440" i="1"/>
  <c r="P1439" i="1"/>
  <c r="W1439" i="1" s="1"/>
  <c r="X1439" i="1" s="1"/>
  <c r="W1438" i="1"/>
  <c r="X1438" i="1" s="1"/>
  <c r="P1438" i="1"/>
  <c r="P1437" i="1"/>
  <c r="W1437" i="1" s="1"/>
  <c r="X1437" i="1" s="1"/>
  <c r="W1436" i="1"/>
  <c r="X1436" i="1" s="1"/>
  <c r="P1436" i="1"/>
  <c r="P1435" i="1"/>
  <c r="W1435" i="1" s="1"/>
  <c r="X1435" i="1" s="1"/>
  <c r="P1434" i="1"/>
  <c r="W1434" i="1" s="1"/>
  <c r="X1434" i="1" s="1"/>
  <c r="W1433" i="1"/>
  <c r="X1433" i="1" s="1"/>
  <c r="P1433" i="1"/>
  <c r="P1432" i="1"/>
  <c r="W1432" i="1" s="1"/>
  <c r="X1432" i="1" s="1"/>
  <c r="P1431" i="1"/>
  <c r="W1431" i="1" s="1"/>
  <c r="X1431" i="1" s="1"/>
  <c r="W1430" i="1"/>
  <c r="X1430" i="1" s="1"/>
  <c r="P1430" i="1"/>
  <c r="W1429" i="1"/>
  <c r="X1429" i="1" s="1"/>
  <c r="P1429" i="1"/>
  <c r="P1428" i="1"/>
  <c r="W1428" i="1" s="1"/>
  <c r="X1428" i="1" s="1"/>
  <c r="P1427" i="1"/>
  <c r="W1427" i="1" s="1"/>
  <c r="X1427" i="1" s="1"/>
  <c r="W1426" i="1"/>
  <c r="X1426" i="1" s="1"/>
  <c r="P1426" i="1"/>
  <c r="P1425" i="1"/>
  <c r="W1425" i="1" s="1"/>
  <c r="X1425" i="1" s="1"/>
  <c r="W1424" i="1"/>
  <c r="X1424" i="1" s="1"/>
  <c r="P1424" i="1"/>
  <c r="P1423" i="1"/>
  <c r="W1423" i="1" s="1"/>
  <c r="X1423" i="1" s="1"/>
  <c r="W1422" i="1"/>
  <c r="X1422" i="1" s="1"/>
  <c r="P1422" i="1"/>
  <c r="W1421" i="1"/>
  <c r="X1421" i="1" s="1"/>
  <c r="P1421" i="1"/>
  <c r="W1420" i="1"/>
  <c r="X1420" i="1" s="1"/>
  <c r="P1420" i="1"/>
  <c r="P1419" i="1"/>
  <c r="W1419" i="1" s="1"/>
  <c r="X1419" i="1" s="1"/>
  <c r="P1418" i="1"/>
  <c r="W1418" i="1" s="1"/>
  <c r="X1418" i="1" s="1"/>
  <c r="W1417" i="1"/>
  <c r="X1417" i="1" s="1"/>
  <c r="P1417" i="1"/>
  <c r="P1416" i="1"/>
  <c r="W1416" i="1" s="1"/>
  <c r="X1416" i="1" s="1"/>
  <c r="P1415" i="1"/>
  <c r="W1415" i="1" s="1"/>
  <c r="X1415" i="1" s="1"/>
  <c r="P1414" i="1"/>
  <c r="W1414" i="1" s="1"/>
  <c r="X1414" i="1" s="1"/>
  <c r="W1413" i="1"/>
  <c r="X1413" i="1" s="1"/>
  <c r="P1413" i="1"/>
  <c r="W1412" i="1"/>
  <c r="X1412" i="1" s="1"/>
  <c r="P1412" i="1"/>
  <c r="P1411" i="1"/>
  <c r="W1411" i="1" s="1"/>
  <c r="X1411" i="1" s="1"/>
  <c r="W1410" i="1"/>
  <c r="X1410" i="1" s="1"/>
  <c r="P1410" i="1"/>
  <c r="P1409" i="1"/>
  <c r="W1409" i="1" s="1"/>
  <c r="X1409" i="1" s="1"/>
  <c r="W1408" i="1"/>
  <c r="X1408" i="1" s="1"/>
  <c r="P1408" i="1"/>
  <c r="P1407" i="1"/>
  <c r="W1407" i="1" s="1"/>
  <c r="X1407" i="1" s="1"/>
  <c r="W1406" i="1"/>
  <c r="X1406" i="1" s="1"/>
  <c r="P1406" i="1"/>
  <c r="P1405" i="1"/>
  <c r="W1405" i="1" s="1"/>
  <c r="X1405" i="1" s="1"/>
  <c r="W1404" i="1"/>
  <c r="X1404" i="1" s="1"/>
  <c r="P1404" i="1"/>
  <c r="P1403" i="1"/>
  <c r="W1403" i="1" s="1"/>
  <c r="X1403" i="1" s="1"/>
  <c r="P1402" i="1"/>
  <c r="W1402" i="1" s="1"/>
  <c r="X1402" i="1" s="1"/>
  <c r="W1401" i="1"/>
  <c r="X1401" i="1" s="1"/>
  <c r="P1401" i="1"/>
  <c r="P1400" i="1"/>
  <c r="W1400" i="1" s="1"/>
  <c r="X1400" i="1" s="1"/>
  <c r="P1399" i="1"/>
  <c r="W1399" i="1" s="1"/>
  <c r="X1399" i="1" s="1"/>
  <c r="W1398" i="1"/>
  <c r="X1398" i="1" s="1"/>
  <c r="P1398" i="1"/>
  <c r="W1397" i="1"/>
  <c r="X1397" i="1" s="1"/>
  <c r="P1397" i="1"/>
  <c r="P1396" i="1"/>
  <c r="W1396" i="1" s="1"/>
  <c r="X1396" i="1" s="1"/>
  <c r="P1395" i="1"/>
  <c r="W1395" i="1" s="1"/>
  <c r="X1395" i="1" s="1"/>
  <c r="W1394" i="1"/>
  <c r="X1394" i="1" s="1"/>
  <c r="P1394" i="1"/>
  <c r="P1393" i="1"/>
  <c r="W1393" i="1" s="1"/>
  <c r="X1393" i="1" s="1"/>
  <c r="W1392" i="1"/>
  <c r="X1392" i="1" s="1"/>
  <c r="P1392" i="1"/>
  <c r="P1391" i="1"/>
  <c r="W1391" i="1" s="1"/>
  <c r="X1391" i="1" s="1"/>
  <c r="W1390" i="1"/>
  <c r="X1390" i="1" s="1"/>
  <c r="P1390" i="1"/>
  <c r="W1389" i="1"/>
  <c r="X1389" i="1" s="1"/>
  <c r="P1389" i="1"/>
  <c r="W1388" i="1"/>
  <c r="X1388" i="1" s="1"/>
  <c r="P1388" i="1"/>
  <c r="P1387" i="1"/>
  <c r="W1387" i="1" s="1"/>
  <c r="X1387" i="1" s="1"/>
  <c r="P1386" i="1"/>
  <c r="W1386" i="1" s="1"/>
  <c r="X1386" i="1" s="1"/>
  <c r="W1385" i="1"/>
  <c r="X1385" i="1" s="1"/>
  <c r="P1385" i="1"/>
  <c r="P1384" i="1"/>
  <c r="W1384" i="1" s="1"/>
  <c r="X1384" i="1" s="1"/>
  <c r="P1383" i="1"/>
  <c r="W1383" i="1" s="1"/>
  <c r="X1383" i="1" s="1"/>
  <c r="P1382" i="1"/>
  <c r="W1382" i="1" s="1"/>
  <c r="X1382" i="1" s="1"/>
  <c r="W1381" i="1"/>
  <c r="X1381" i="1" s="1"/>
  <c r="P1381" i="1"/>
  <c r="W1380" i="1"/>
  <c r="X1380" i="1" s="1"/>
  <c r="P1380" i="1"/>
  <c r="P1379" i="1"/>
  <c r="W1379" i="1" s="1"/>
  <c r="X1379" i="1" s="1"/>
  <c r="W1378" i="1"/>
  <c r="X1378" i="1" s="1"/>
  <c r="P1378" i="1"/>
  <c r="P1377" i="1"/>
  <c r="W1377" i="1" s="1"/>
  <c r="X1377" i="1" s="1"/>
  <c r="W1376" i="1"/>
  <c r="X1376" i="1" s="1"/>
  <c r="P1376" i="1"/>
  <c r="P1375" i="1"/>
  <c r="W1375" i="1" s="1"/>
  <c r="X1375" i="1" s="1"/>
  <c r="W1374" i="1"/>
  <c r="X1374" i="1" s="1"/>
  <c r="P1374" i="1"/>
  <c r="P1373" i="1"/>
  <c r="W1373" i="1" s="1"/>
  <c r="X1373" i="1" s="1"/>
  <c r="W1372" i="1"/>
  <c r="X1372" i="1" s="1"/>
  <c r="P1372" i="1"/>
  <c r="P1371" i="1"/>
  <c r="W1371" i="1" s="1"/>
  <c r="X1371" i="1" s="1"/>
  <c r="P1370" i="1"/>
  <c r="W1370" i="1" s="1"/>
  <c r="X1370" i="1" s="1"/>
  <c r="W1369" i="1"/>
  <c r="X1369" i="1" s="1"/>
  <c r="P1369" i="1"/>
  <c r="P1368" i="1"/>
  <c r="W1368" i="1" s="1"/>
  <c r="X1368" i="1" s="1"/>
  <c r="P1367" i="1"/>
  <c r="W1367" i="1" s="1"/>
  <c r="X1367" i="1" s="1"/>
  <c r="W1366" i="1"/>
  <c r="X1366" i="1" s="1"/>
  <c r="P1366" i="1"/>
  <c r="W1365" i="1"/>
  <c r="X1365" i="1" s="1"/>
  <c r="P1365" i="1"/>
  <c r="P1364" i="1"/>
  <c r="W1364" i="1" s="1"/>
  <c r="X1364" i="1" s="1"/>
  <c r="P1363" i="1"/>
  <c r="W1363" i="1" s="1"/>
  <c r="X1363" i="1" s="1"/>
  <c r="W1362" i="1"/>
  <c r="X1362" i="1" s="1"/>
  <c r="P1362" i="1"/>
  <c r="P1361" i="1"/>
  <c r="W1361" i="1" s="1"/>
  <c r="X1361" i="1" s="1"/>
  <c r="W1360" i="1"/>
  <c r="X1360" i="1" s="1"/>
  <c r="P1360" i="1"/>
  <c r="P1359" i="1"/>
  <c r="W1359" i="1" s="1"/>
  <c r="X1359" i="1" s="1"/>
  <c r="W1358" i="1"/>
  <c r="X1358" i="1" s="1"/>
  <c r="P1358" i="1"/>
  <c r="W1357" i="1"/>
  <c r="X1357" i="1" s="1"/>
  <c r="P1357" i="1"/>
  <c r="W1356" i="1"/>
  <c r="X1356" i="1" s="1"/>
  <c r="P1356" i="1"/>
  <c r="P1355" i="1"/>
  <c r="W1355" i="1" s="1"/>
  <c r="X1355" i="1" s="1"/>
  <c r="P1354" i="1"/>
  <c r="W1354" i="1" s="1"/>
  <c r="X1354" i="1" s="1"/>
  <c r="W1353" i="1"/>
  <c r="X1353" i="1" s="1"/>
  <c r="P1353" i="1"/>
  <c r="P1352" i="1"/>
  <c r="W1352" i="1" s="1"/>
  <c r="X1352" i="1" s="1"/>
  <c r="P1351" i="1"/>
  <c r="W1351" i="1" s="1"/>
  <c r="X1351" i="1" s="1"/>
  <c r="P1350" i="1"/>
  <c r="W1350" i="1" s="1"/>
  <c r="X1350" i="1" s="1"/>
  <c r="W1349" i="1"/>
  <c r="X1349" i="1" s="1"/>
  <c r="P1349" i="1"/>
  <c r="W1348" i="1"/>
  <c r="X1348" i="1" s="1"/>
  <c r="P1348" i="1"/>
  <c r="P1347" i="1"/>
  <c r="W1347" i="1" s="1"/>
  <c r="X1347" i="1" s="1"/>
  <c r="W1346" i="1"/>
  <c r="X1346" i="1" s="1"/>
  <c r="P1346" i="1"/>
  <c r="P1345" i="1"/>
  <c r="W1345" i="1" s="1"/>
  <c r="X1345" i="1" s="1"/>
  <c r="W1344" i="1"/>
  <c r="X1344" i="1" s="1"/>
  <c r="P1344" i="1"/>
  <c r="P1343" i="1"/>
  <c r="W1343" i="1" s="1"/>
  <c r="X1343" i="1" s="1"/>
  <c r="W1342" i="1"/>
  <c r="X1342" i="1" s="1"/>
  <c r="P1342" i="1"/>
  <c r="P1341" i="1"/>
  <c r="W1341" i="1" s="1"/>
  <c r="X1341" i="1" s="1"/>
  <c r="W1340" i="1"/>
  <c r="X1340" i="1" s="1"/>
  <c r="P1340" i="1"/>
  <c r="P1339" i="1"/>
  <c r="W1339" i="1" s="1"/>
  <c r="X1339" i="1" s="1"/>
  <c r="P1338" i="1"/>
  <c r="W1338" i="1" s="1"/>
  <c r="X1338" i="1" s="1"/>
  <c r="W1337" i="1"/>
  <c r="X1337" i="1" s="1"/>
  <c r="P1337" i="1"/>
  <c r="P1336" i="1"/>
  <c r="W1336" i="1" s="1"/>
  <c r="X1336" i="1" s="1"/>
  <c r="P1335" i="1"/>
  <c r="W1335" i="1" s="1"/>
  <c r="X1335" i="1" s="1"/>
  <c r="W1334" i="1"/>
  <c r="X1334" i="1" s="1"/>
  <c r="P1334" i="1"/>
  <c r="W1333" i="1"/>
  <c r="X1333" i="1" s="1"/>
  <c r="P1333" i="1"/>
  <c r="P1332" i="1"/>
  <c r="W1332" i="1" s="1"/>
  <c r="X1332" i="1" s="1"/>
  <c r="P1331" i="1"/>
  <c r="W1331" i="1" s="1"/>
  <c r="X1331" i="1" s="1"/>
  <c r="W1330" i="1"/>
  <c r="X1330" i="1" s="1"/>
  <c r="P1330" i="1"/>
  <c r="P1329" i="1"/>
  <c r="W1329" i="1" s="1"/>
  <c r="X1329" i="1" s="1"/>
  <c r="W1328" i="1"/>
  <c r="X1328" i="1" s="1"/>
  <c r="P1328" i="1"/>
  <c r="P1327" i="1"/>
  <c r="W1327" i="1" s="1"/>
  <c r="X1327" i="1" s="1"/>
  <c r="W1326" i="1"/>
  <c r="X1326" i="1" s="1"/>
  <c r="P1326" i="1"/>
  <c r="W1325" i="1"/>
  <c r="X1325" i="1" s="1"/>
  <c r="P1325" i="1"/>
  <c r="W1324" i="1"/>
  <c r="X1324" i="1" s="1"/>
  <c r="P1324" i="1"/>
  <c r="P1323" i="1"/>
  <c r="W1323" i="1" s="1"/>
  <c r="X1323" i="1" s="1"/>
  <c r="P1322" i="1"/>
  <c r="W1322" i="1" s="1"/>
  <c r="X1322" i="1" s="1"/>
  <c r="W1321" i="1"/>
  <c r="X1321" i="1" s="1"/>
  <c r="P1321" i="1"/>
  <c r="P1320" i="1"/>
  <c r="W1320" i="1" s="1"/>
  <c r="X1320" i="1" s="1"/>
  <c r="P1319" i="1"/>
  <c r="W1319" i="1" s="1"/>
  <c r="X1319" i="1" s="1"/>
  <c r="P1318" i="1"/>
  <c r="W1318" i="1" s="1"/>
  <c r="X1318" i="1" s="1"/>
  <c r="W1317" i="1"/>
  <c r="X1317" i="1" s="1"/>
  <c r="P1317" i="1"/>
  <c r="W1316" i="1"/>
  <c r="X1316" i="1" s="1"/>
  <c r="P1316" i="1"/>
  <c r="P1315" i="1"/>
  <c r="W1315" i="1" s="1"/>
  <c r="X1315" i="1" s="1"/>
  <c r="W1314" i="1"/>
  <c r="X1314" i="1" s="1"/>
  <c r="P1314" i="1"/>
  <c r="P1313" i="1"/>
  <c r="W1313" i="1" s="1"/>
  <c r="X1313" i="1" s="1"/>
  <c r="W1312" i="1"/>
  <c r="X1312" i="1" s="1"/>
  <c r="P1312" i="1"/>
  <c r="P1311" i="1"/>
  <c r="W1311" i="1" s="1"/>
  <c r="X1311" i="1" s="1"/>
  <c r="W1310" i="1"/>
  <c r="X1310" i="1" s="1"/>
  <c r="P1310" i="1"/>
  <c r="P1309" i="1"/>
  <c r="W1309" i="1" s="1"/>
  <c r="X1309" i="1" s="1"/>
  <c r="W1308" i="1"/>
  <c r="X1308" i="1" s="1"/>
  <c r="P1308" i="1"/>
  <c r="P1307" i="1"/>
  <c r="W1307" i="1" s="1"/>
  <c r="X1307" i="1" s="1"/>
  <c r="P1306" i="1"/>
  <c r="W1306" i="1" s="1"/>
  <c r="X1306" i="1" s="1"/>
  <c r="W1305" i="1"/>
  <c r="X1305" i="1" s="1"/>
  <c r="P1305" i="1"/>
  <c r="P1304" i="1"/>
  <c r="W1304" i="1" s="1"/>
  <c r="X1304" i="1" s="1"/>
  <c r="P1303" i="1"/>
  <c r="W1303" i="1" s="1"/>
  <c r="X1303" i="1" s="1"/>
  <c r="W1302" i="1"/>
  <c r="X1302" i="1" s="1"/>
  <c r="P1302" i="1"/>
  <c r="W1301" i="1"/>
  <c r="X1301" i="1" s="1"/>
  <c r="P1301" i="1"/>
  <c r="P1300" i="1"/>
  <c r="W1300" i="1" s="1"/>
  <c r="X1300" i="1" s="1"/>
  <c r="P1299" i="1"/>
  <c r="W1299" i="1" s="1"/>
  <c r="X1299" i="1" s="1"/>
  <c r="W1298" i="1"/>
  <c r="X1298" i="1" s="1"/>
  <c r="P1298" i="1"/>
  <c r="P1297" i="1"/>
  <c r="W1297" i="1" s="1"/>
  <c r="X1297" i="1" s="1"/>
  <c r="W1296" i="1"/>
  <c r="X1296" i="1" s="1"/>
  <c r="P1296" i="1"/>
  <c r="P1295" i="1"/>
  <c r="W1295" i="1" s="1"/>
  <c r="X1295" i="1" s="1"/>
  <c r="W1294" i="1"/>
  <c r="X1294" i="1" s="1"/>
  <c r="P1294" i="1"/>
  <c r="W1293" i="1"/>
  <c r="X1293" i="1" s="1"/>
  <c r="P1293" i="1"/>
  <c r="W1292" i="1"/>
  <c r="X1292" i="1" s="1"/>
  <c r="P1292" i="1"/>
  <c r="P1291" i="1"/>
  <c r="W1291" i="1" s="1"/>
  <c r="X1291" i="1" s="1"/>
  <c r="P1290" i="1"/>
  <c r="W1290" i="1" s="1"/>
  <c r="X1290" i="1" s="1"/>
  <c r="W1289" i="1"/>
  <c r="X1289" i="1" s="1"/>
  <c r="P1289" i="1"/>
  <c r="P1288" i="1"/>
  <c r="W1288" i="1" s="1"/>
  <c r="X1288" i="1" s="1"/>
  <c r="P1287" i="1"/>
  <c r="W1287" i="1" s="1"/>
  <c r="X1287" i="1" s="1"/>
  <c r="P1286" i="1"/>
  <c r="W1286" i="1" s="1"/>
  <c r="X1286" i="1" s="1"/>
  <c r="W1285" i="1"/>
  <c r="X1285" i="1" s="1"/>
  <c r="P1285" i="1"/>
  <c r="W1284" i="1"/>
  <c r="X1284" i="1" s="1"/>
  <c r="P1284" i="1"/>
  <c r="P1283" i="1"/>
  <c r="W1283" i="1" s="1"/>
  <c r="X1283" i="1" s="1"/>
  <c r="W1282" i="1"/>
  <c r="X1282" i="1" s="1"/>
  <c r="P1282" i="1"/>
  <c r="P1281" i="1"/>
  <c r="W1281" i="1" s="1"/>
  <c r="X1281" i="1" s="1"/>
  <c r="W1280" i="1"/>
  <c r="X1280" i="1" s="1"/>
  <c r="P1280" i="1"/>
  <c r="P1279" i="1"/>
  <c r="W1279" i="1" s="1"/>
  <c r="X1279" i="1" s="1"/>
  <c r="W1278" i="1"/>
  <c r="X1278" i="1" s="1"/>
  <c r="P1278" i="1"/>
  <c r="P1277" i="1"/>
  <c r="W1277" i="1" s="1"/>
  <c r="X1277" i="1" s="1"/>
  <c r="W1276" i="1"/>
  <c r="X1276" i="1" s="1"/>
  <c r="P1276" i="1"/>
  <c r="P1275" i="1"/>
  <c r="W1275" i="1" s="1"/>
  <c r="X1275" i="1" s="1"/>
  <c r="P1274" i="1"/>
  <c r="W1274" i="1" s="1"/>
  <c r="X1274" i="1" s="1"/>
  <c r="W1273" i="1"/>
  <c r="X1273" i="1" s="1"/>
  <c r="P1273" i="1"/>
  <c r="P1272" i="1"/>
  <c r="W1272" i="1" s="1"/>
  <c r="X1272" i="1" s="1"/>
  <c r="P1271" i="1"/>
  <c r="W1271" i="1" s="1"/>
  <c r="X1271" i="1" s="1"/>
  <c r="W1270" i="1"/>
  <c r="X1270" i="1" s="1"/>
  <c r="P1270" i="1"/>
  <c r="W1269" i="1"/>
  <c r="X1269" i="1" s="1"/>
  <c r="P1269" i="1"/>
  <c r="P1268" i="1"/>
  <c r="W1268" i="1" s="1"/>
  <c r="X1268" i="1" s="1"/>
  <c r="P1267" i="1"/>
  <c r="W1267" i="1" s="1"/>
  <c r="X1267" i="1" s="1"/>
  <c r="W1266" i="1"/>
  <c r="X1266" i="1" s="1"/>
  <c r="P1266" i="1"/>
  <c r="P1265" i="1"/>
  <c r="W1265" i="1" s="1"/>
  <c r="X1265" i="1" s="1"/>
  <c r="W1264" i="1"/>
  <c r="X1264" i="1" s="1"/>
  <c r="P1264" i="1"/>
  <c r="P1263" i="1"/>
  <c r="W1263" i="1" s="1"/>
  <c r="X1263" i="1" s="1"/>
  <c r="W1262" i="1"/>
  <c r="X1262" i="1" s="1"/>
  <c r="P1262" i="1"/>
  <c r="W1261" i="1"/>
  <c r="X1261" i="1" s="1"/>
  <c r="P1261" i="1"/>
  <c r="W1260" i="1"/>
  <c r="X1260" i="1" s="1"/>
  <c r="P1260" i="1"/>
  <c r="P1259" i="1"/>
  <c r="W1259" i="1" s="1"/>
  <c r="X1259" i="1" s="1"/>
  <c r="P1258" i="1"/>
  <c r="W1258" i="1" s="1"/>
  <c r="X1258" i="1" s="1"/>
  <c r="W1257" i="1"/>
  <c r="X1257" i="1" s="1"/>
  <c r="P1257" i="1"/>
  <c r="P1256" i="1"/>
  <c r="W1256" i="1" s="1"/>
  <c r="X1256" i="1" s="1"/>
  <c r="P1255" i="1"/>
  <c r="W1255" i="1" s="1"/>
  <c r="X1255" i="1" s="1"/>
  <c r="P1254" i="1"/>
  <c r="W1254" i="1" s="1"/>
  <c r="X1254" i="1" s="1"/>
  <c r="W1253" i="1"/>
  <c r="X1253" i="1" s="1"/>
  <c r="P1253" i="1"/>
  <c r="W1252" i="1"/>
  <c r="X1252" i="1" s="1"/>
  <c r="P1252" i="1"/>
  <c r="P1251" i="1"/>
  <c r="W1251" i="1" s="1"/>
  <c r="X1251" i="1" s="1"/>
  <c r="W1250" i="1"/>
  <c r="X1250" i="1" s="1"/>
  <c r="P1250" i="1"/>
  <c r="P1249" i="1"/>
  <c r="W1249" i="1" s="1"/>
  <c r="X1249" i="1" s="1"/>
  <c r="W1248" i="1"/>
  <c r="X1248" i="1" s="1"/>
  <c r="P1248" i="1"/>
  <c r="P1247" i="1"/>
  <c r="W1247" i="1" s="1"/>
  <c r="X1247" i="1" s="1"/>
  <c r="W1246" i="1"/>
  <c r="X1246" i="1" s="1"/>
  <c r="P1246" i="1"/>
  <c r="P1245" i="1"/>
  <c r="W1245" i="1" s="1"/>
  <c r="X1245" i="1" s="1"/>
  <c r="W1244" i="1"/>
  <c r="X1244" i="1" s="1"/>
  <c r="P1244" i="1"/>
  <c r="P1243" i="1"/>
  <c r="W1243" i="1" s="1"/>
  <c r="X1243" i="1" s="1"/>
  <c r="P1242" i="1"/>
  <c r="W1242" i="1" s="1"/>
  <c r="X1242" i="1" s="1"/>
  <c r="W1241" i="1"/>
  <c r="X1241" i="1" s="1"/>
  <c r="P1241" i="1"/>
  <c r="P1240" i="1"/>
  <c r="W1240" i="1" s="1"/>
  <c r="X1240" i="1" s="1"/>
  <c r="P1239" i="1"/>
  <c r="W1239" i="1" s="1"/>
  <c r="X1239" i="1" s="1"/>
  <c r="W1238" i="1"/>
  <c r="X1238" i="1" s="1"/>
  <c r="P1238" i="1"/>
  <c r="W1237" i="1"/>
  <c r="X1237" i="1" s="1"/>
  <c r="P1237" i="1"/>
  <c r="P1236" i="1"/>
  <c r="W1236" i="1" s="1"/>
  <c r="X1236" i="1" s="1"/>
  <c r="P1235" i="1"/>
  <c r="W1235" i="1" s="1"/>
  <c r="X1235" i="1" s="1"/>
  <c r="W1234" i="1"/>
  <c r="X1234" i="1" s="1"/>
  <c r="P1234" i="1"/>
  <c r="P1233" i="1"/>
  <c r="W1233" i="1" s="1"/>
  <c r="X1233" i="1" s="1"/>
  <c r="W1232" i="1"/>
  <c r="X1232" i="1" s="1"/>
  <c r="P1232" i="1"/>
  <c r="P1231" i="1"/>
  <c r="W1231" i="1" s="1"/>
  <c r="X1231" i="1" s="1"/>
  <c r="W1230" i="1"/>
  <c r="X1230" i="1" s="1"/>
  <c r="P1230" i="1"/>
  <c r="W1229" i="1"/>
  <c r="X1229" i="1" s="1"/>
  <c r="P1229" i="1"/>
  <c r="W1228" i="1"/>
  <c r="X1228" i="1" s="1"/>
  <c r="P1228" i="1"/>
  <c r="P1227" i="1"/>
  <c r="W1227" i="1" s="1"/>
  <c r="X1227" i="1" s="1"/>
  <c r="P1226" i="1"/>
  <c r="W1226" i="1" s="1"/>
  <c r="X1226" i="1" s="1"/>
  <c r="W1225" i="1"/>
  <c r="X1225" i="1" s="1"/>
  <c r="P1225" i="1"/>
  <c r="P1224" i="1"/>
  <c r="W1224" i="1" s="1"/>
  <c r="X1224" i="1" s="1"/>
  <c r="P1223" i="1"/>
  <c r="W1223" i="1" s="1"/>
  <c r="X1223" i="1" s="1"/>
  <c r="P1222" i="1"/>
  <c r="W1222" i="1" s="1"/>
  <c r="X1222" i="1" s="1"/>
  <c r="W1221" i="1"/>
  <c r="X1221" i="1" s="1"/>
  <c r="P1221" i="1"/>
  <c r="W1220" i="1"/>
  <c r="X1220" i="1" s="1"/>
  <c r="P1220" i="1"/>
  <c r="P1219" i="1"/>
  <c r="W1219" i="1" s="1"/>
  <c r="X1219" i="1" s="1"/>
  <c r="W1218" i="1"/>
  <c r="X1218" i="1" s="1"/>
  <c r="P1218" i="1"/>
  <c r="P1217" i="1"/>
  <c r="W1217" i="1" s="1"/>
  <c r="X1217" i="1" s="1"/>
  <c r="W1216" i="1"/>
  <c r="X1216" i="1" s="1"/>
  <c r="P1216" i="1"/>
  <c r="P1215" i="1"/>
  <c r="W1215" i="1" s="1"/>
  <c r="X1215" i="1" s="1"/>
  <c r="W1214" i="1"/>
  <c r="X1214" i="1" s="1"/>
  <c r="P1214" i="1"/>
  <c r="P1213" i="1"/>
  <c r="W1213" i="1" s="1"/>
  <c r="X1213" i="1" s="1"/>
  <c r="W1212" i="1"/>
  <c r="X1212" i="1" s="1"/>
  <c r="P1212" i="1"/>
  <c r="P1211" i="1"/>
  <c r="W1211" i="1" s="1"/>
  <c r="X1211" i="1" s="1"/>
  <c r="P1210" i="1"/>
  <c r="W1210" i="1" s="1"/>
  <c r="X1210" i="1" s="1"/>
  <c r="W1209" i="1"/>
  <c r="X1209" i="1" s="1"/>
  <c r="P1209" i="1"/>
  <c r="P1208" i="1"/>
  <c r="W1208" i="1" s="1"/>
  <c r="X1208" i="1" s="1"/>
  <c r="P1207" i="1"/>
  <c r="W1207" i="1" s="1"/>
  <c r="X1207" i="1" s="1"/>
  <c r="W1206" i="1"/>
  <c r="X1206" i="1" s="1"/>
  <c r="P1206" i="1"/>
  <c r="W1205" i="1"/>
  <c r="X1205" i="1" s="1"/>
  <c r="P1205" i="1"/>
  <c r="P1204" i="1"/>
  <c r="W1204" i="1" s="1"/>
  <c r="X1204" i="1" s="1"/>
  <c r="P1203" i="1"/>
  <c r="W1203" i="1" s="1"/>
  <c r="X1203" i="1" s="1"/>
  <c r="W1202" i="1"/>
  <c r="X1202" i="1" s="1"/>
  <c r="P1202" i="1"/>
  <c r="P1200" i="1"/>
  <c r="W1200" i="1" s="1"/>
  <c r="X1200" i="1" s="1"/>
  <c r="W1199" i="1"/>
  <c r="X1199" i="1" s="1"/>
  <c r="P1199" i="1"/>
  <c r="P1198" i="1"/>
  <c r="W1198" i="1" s="1"/>
  <c r="X1198" i="1" s="1"/>
  <c r="W1197" i="1"/>
  <c r="X1197" i="1" s="1"/>
  <c r="P1197" i="1"/>
  <c r="P1196" i="1"/>
  <c r="W1196" i="1" s="1"/>
  <c r="X1196" i="1" s="1"/>
  <c r="W1195" i="1"/>
  <c r="X1195" i="1" s="1"/>
  <c r="P1195" i="1"/>
  <c r="P1194" i="1"/>
  <c r="W1194" i="1" s="1"/>
  <c r="X1194" i="1" s="1"/>
  <c r="W1193" i="1"/>
  <c r="X1193" i="1" s="1"/>
  <c r="P1193" i="1"/>
  <c r="P1192" i="1"/>
  <c r="W1192" i="1" s="1"/>
  <c r="X1192" i="1" s="1"/>
  <c r="W1191" i="1"/>
  <c r="X1191" i="1" s="1"/>
  <c r="P1191" i="1"/>
  <c r="P1190" i="1"/>
  <c r="W1190" i="1" s="1"/>
  <c r="X1190" i="1" s="1"/>
  <c r="W1189" i="1"/>
  <c r="X1189" i="1" s="1"/>
  <c r="P1189" i="1"/>
  <c r="P1188" i="1"/>
  <c r="W1188" i="1" s="1"/>
  <c r="X1188" i="1" s="1"/>
  <c r="W1187" i="1"/>
  <c r="X1187" i="1" s="1"/>
  <c r="P1187" i="1"/>
  <c r="P1186" i="1"/>
  <c r="W1186" i="1" s="1"/>
  <c r="X1186" i="1" s="1"/>
  <c r="W1185" i="1"/>
  <c r="X1185" i="1" s="1"/>
  <c r="P1185" i="1"/>
  <c r="P1184" i="1"/>
  <c r="W1184" i="1" s="1"/>
  <c r="X1184" i="1" s="1"/>
  <c r="W1183" i="1"/>
  <c r="X1183" i="1" s="1"/>
  <c r="P1183" i="1"/>
  <c r="P1182" i="1"/>
  <c r="W1182" i="1" s="1"/>
  <c r="X1182" i="1" s="1"/>
  <c r="W1181" i="1"/>
  <c r="X1181" i="1" s="1"/>
  <c r="P1181" i="1"/>
  <c r="P1180" i="1"/>
  <c r="W1180" i="1" s="1"/>
  <c r="X1180" i="1" s="1"/>
  <c r="W1179" i="1"/>
  <c r="X1179" i="1" s="1"/>
  <c r="P1179" i="1"/>
  <c r="P1178" i="1"/>
  <c r="W1178" i="1" s="1"/>
  <c r="X1178" i="1" s="1"/>
  <c r="W1177" i="1"/>
  <c r="X1177" i="1" s="1"/>
  <c r="P1177" i="1"/>
  <c r="P1176" i="1"/>
  <c r="W1176" i="1" s="1"/>
  <c r="X1176" i="1" s="1"/>
  <c r="W1175" i="1"/>
  <c r="X1175" i="1" s="1"/>
  <c r="P1175" i="1"/>
  <c r="P1174" i="1"/>
  <c r="W1174" i="1" s="1"/>
  <c r="X1174" i="1" s="1"/>
  <c r="W1173" i="1"/>
  <c r="X1173" i="1" s="1"/>
  <c r="P1173" i="1"/>
  <c r="P1172" i="1"/>
  <c r="W1172" i="1" s="1"/>
  <c r="X1172" i="1" s="1"/>
  <c r="W1171" i="1"/>
  <c r="X1171" i="1" s="1"/>
  <c r="P1171" i="1"/>
  <c r="P1170" i="1"/>
  <c r="W1170" i="1" s="1"/>
  <c r="X1170" i="1" s="1"/>
  <c r="W1169" i="1"/>
  <c r="X1169" i="1" s="1"/>
  <c r="P1169" i="1"/>
  <c r="P1168" i="1"/>
  <c r="W1168" i="1" s="1"/>
  <c r="X1168" i="1" s="1"/>
  <c r="W1167" i="1"/>
  <c r="X1167" i="1" s="1"/>
  <c r="P1167" i="1"/>
  <c r="P1166" i="1"/>
  <c r="W1166" i="1" s="1"/>
  <c r="X1166" i="1" s="1"/>
  <c r="W1165" i="1"/>
  <c r="X1165" i="1" s="1"/>
  <c r="P1165" i="1"/>
  <c r="P1164" i="1"/>
  <c r="W1164" i="1" s="1"/>
  <c r="X1164" i="1" s="1"/>
  <c r="W1163" i="1"/>
  <c r="X1163" i="1" s="1"/>
  <c r="P1163" i="1"/>
  <c r="P1162" i="1"/>
  <c r="W1162" i="1" s="1"/>
  <c r="X1162" i="1" s="1"/>
  <c r="W1161" i="1"/>
  <c r="X1161" i="1" s="1"/>
  <c r="P1161" i="1"/>
  <c r="P1160" i="1"/>
  <c r="W1160" i="1" s="1"/>
  <c r="X1160" i="1" s="1"/>
  <c r="W1159" i="1"/>
  <c r="X1159" i="1" s="1"/>
  <c r="P1159" i="1"/>
  <c r="P1158" i="1"/>
  <c r="W1158" i="1" s="1"/>
  <c r="X1158" i="1" s="1"/>
  <c r="W1157" i="1"/>
  <c r="X1157" i="1" s="1"/>
  <c r="P1157" i="1"/>
  <c r="P1156" i="1"/>
  <c r="W1156" i="1" s="1"/>
  <c r="X1156" i="1" s="1"/>
  <c r="W1155" i="1"/>
  <c r="X1155" i="1" s="1"/>
  <c r="P1155" i="1"/>
  <c r="P1154" i="1"/>
  <c r="W1154" i="1" s="1"/>
  <c r="X1154" i="1" s="1"/>
  <c r="W1153" i="1"/>
  <c r="X1153" i="1" s="1"/>
  <c r="P1153" i="1"/>
  <c r="P1152" i="1"/>
  <c r="W1152" i="1" s="1"/>
  <c r="X1152" i="1" s="1"/>
  <c r="W1151" i="1"/>
  <c r="X1151" i="1" s="1"/>
  <c r="P1151" i="1"/>
  <c r="P1150" i="1"/>
  <c r="W1150" i="1" s="1"/>
  <c r="X1150" i="1" s="1"/>
  <c r="W1149" i="1"/>
  <c r="X1149" i="1" s="1"/>
  <c r="P1149" i="1"/>
  <c r="P1148" i="1"/>
  <c r="W1148" i="1" s="1"/>
  <c r="X1148" i="1" s="1"/>
  <c r="W1147" i="1"/>
  <c r="X1147" i="1" s="1"/>
  <c r="P1147" i="1"/>
  <c r="P1146" i="1"/>
  <c r="W1146" i="1" s="1"/>
  <c r="X1146" i="1" s="1"/>
  <c r="W1145" i="1"/>
  <c r="X1145" i="1" s="1"/>
  <c r="P1145" i="1"/>
  <c r="P1144" i="1"/>
  <c r="W1144" i="1" s="1"/>
  <c r="X1144" i="1" s="1"/>
  <c r="W1143" i="1"/>
  <c r="X1143" i="1" s="1"/>
  <c r="P1143" i="1"/>
  <c r="P1142" i="1"/>
  <c r="W1142" i="1" s="1"/>
  <c r="X1142" i="1" s="1"/>
  <c r="W1141" i="1"/>
  <c r="X1141" i="1" s="1"/>
  <c r="P1141" i="1"/>
  <c r="P1140" i="1"/>
  <c r="W1140" i="1" s="1"/>
  <c r="X1140" i="1" s="1"/>
  <c r="W1139" i="1"/>
  <c r="X1139" i="1" s="1"/>
  <c r="P1139" i="1"/>
  <c r="P1138" i="1"/>
  <c r="W1138" i="1" s="1"/>
  <c r="X1138" i="1" s="1"/>
  <c r="W1137" i="1"/>
  <c r="X1137" i="1" s="1"/>
  <c r="P1137" i="1"/>
  <c r="P1136" i="1"/>
  <c r="W1136" i="1" s="1"/>
  <c r="X1136" i="1" s="1"/>
  <c r="W1135" i="1"/>
  <c r="X1135" i="1" s="1"/>
  <c r="P1135" i="1"/>
  <c r="P1134" i="1"/>
  <c r="W1134" i="1" s="1"/>
  <c r="X1134" i="1" s="1"/>
  <c r="W1133" i="1"/>
  <c r="X1133" i="1" s="1"/>
  <c r="P1133" i="1"/>
  <c r="P1132" i="1"/>
  <c r="W1132" i="1" s="1"/>
  <c r="X1132" i="1" s="1"/>
  <c r="W1131" i="1"/>
  <c r="X1131" i="1" s="1"/>
  <c r="P1131" i="1"/>
  <c r="P1130" i="1"/>
  <c r="W1130" i="1" s="1"/>
  <c r="X1130" i="1" s="1"/>
  <c r="W1129" i="1"/>
  <c r="X1129" i="1" s="1"/>
  <c r="P1129" i="1"/>
  <c r="P1128" i="1"/>
  <c r="W1128" i="1" s="1"/>
  <c r="X1128" i="1" s="1"/>
  <c r="P1127" i="1"/>
  <c r="W1127" i="1" s="1"/>
  <c r="X1127" i="1" s="1"/>
  <c r="P1126" i="1"/>
  <c r="W1126" i="1" s="1"/>
  <c r="X1126" i="1" s="1"/>
  <c r="P1125" i="1"/>
  <c r="W1125" i="1" s="1"/>
  <c r="X1125" i="1" s="1"/>
  <c r="W1124" i="1"/>
  <c r="X1124" i="1" s="1"/>
  <c r="P1124" i="1"/>
  <c r="P1123" i="1"/>
  <c r="W1123" i="1" s="1"/>
  <c r="X1123" i="1" s="1"/>
  <c r="P1122" i="1"/>
  <c r="W1122" i="1" s="1"/>
  <c r="X1122" i="1" s="1"/>
  <c r="P1121" i="1"/>
  <c r="W1121" i="1" s="1"/>
  <c r="X1121" i="1" s="1"/>
  <c r="P1120" i="1"/>
  <c r="W1120" i="1" s="1"/>
  <c r="X1120" i="1" s="1"/>
  <c r="W1119" i="1"/>
  <c r="X1119" i="1" s="1"/>
  <c r="P1119" i="1"/>
  <c r="P1118" i="1"/>
  <c r="W1118" i="1" s="1"/>
  <c r="X1118" i="1" s="1"/>
  <c r="P1117" i="1"/>
  <c r="W1117" i="1" s="1"/>
  <c r="X1117" i="1" s="1"/>
  <c r="W1116" i="1"/>
  <c r="X1116" i="1" s="1"/>
  <c r="P1116" i="1"/>
  <c r="P1115" i="1"/>
  <c r="W1115" i="1" s="1"/>
  <c r="X1115" i="1" s="1"/>
  <c r="P1114" i="1"/>
  <c r="W1114" i="1" s="1"/>
  <c r="X1114" i="1" s="1"/>
  <c r="P1113" i="1"/>
  <c r="W1113" i="1" s="1"/>
  <c r="X1113" i="1" s="1"/>
  <c r="W1112" i="1"/>
  <c r="X1112" i="1" s="1"/>
  <c r="P1112" i="1"/>
  <c r="W1111" i="1"/>
  <c r="X1111" i="1" s="1"/>
  <c r="P1111" i="1"/>
  <c r="P1110" i="1"/>
  <c r="W1110" i="1" s="1"/>
  <c r="X1110" i="1" s="1"/>
  <c r="P1109" i="1"/>
  <c r="W1109" i="1" s="1"/>
  <c r="X1109" i="1" s="1"/>
  <c r="P1108" i="1"/>
  <c r="W1108" i="1" s="1"/>
  <c r="X1108" i="1" s="1"/>
  <c r="W1107" i="1"/>
  <c r="X1107" i="1" s="1"/>
  <c r="P1107" i="1"/>
  <c r="P1106" i="1"/>
  <c r="W1106" i="1" s="1"/>
  <c r="X1106" i="1" s="1"/>
  <c r="P1105" i="1"/>
  <c r="W1105" i="1" s="1"/>
  <c r="X1105" i="1" s="1"/>
  <c r="W1104" i="1"/>
  <c r="X1104" i="1" s="1"/>
  <c r="P1104" i="1"/>
  <c r="P1103" i="1"/>
  <c r="W1103" i="1" s="1"/>
  <c r="X1103" i="1" s="1"/>
  <c r="X1102" i="1"/>
  <c r="P1102" i="1"/>
  <c r="W1102" i="1" s="1"/>
  <c r="P1101" i="1"/>
  <c r="W1101" i="1" s="1"/>
  <c r="X1101" i="1" s="1"/>
  <c r="W1100" i="1"/>
  <c r="X1100" i="1" s="1"/>
  <c r="P1100" i="1"/>
  <c r="W1099" i="1"/>
  <c r="X1099" i="1" s="1"/>
  <c r="P1099" i="1"/>
  <c r="P1098" i="1"/>
  <c r="W1098" i="1" s="1"/>
  <c r="X1098" i="1" s="1"/>
  <c r="P1097" i="1"/>
  <c r="W1097" i="1" s="1"/>
  <c r="X1097" i="1" s="1"/>
  <c r="P1096" i="1"/>
  <c r="W1096" i="1" s="1"/>
  <c r="X1096" i="1" s="1"/>
  <c r="W1095" i="1"/>
  <c r="X1095" i="1" s="1"/>
  <c r="P1095" i="1"/>
  <c r="X1094" i="1"/>
  <c r="P1094" i="1"/>
  <c r="W1094" i="1" s="1"/>
  <c r="P1093" i="1"/>
  <c r="W1093" i="1" s="1"/>
  <c r="X1093" i="1" s="1"/>
  <c r="W1092" i="1"/>
  <c r="X1092" i="1" s="1"/>
  <c r="P1092" i="1"/>
  <c r="P1091" i="1"/>
  <c r="W1091" i="1" s="1"/>
  <c r="X1091" i="1" s="1"/>
  <c r="P1090" i="1"/>
  <c r="W1090" i="1" s="1"/>
  <c r="X1090" i="1" s="1"/>
  <c r="P1089" i="1"/>
  <c r="W1089" i="1" s="1"/>
  <c r="X1089" i="1" s="1"/>
  <c r="P1088" i="1"/>
  <c r="W1088" i="1" s="1"/>
  <c r="X1088" i="1" s="1"/>
  <c r="W1087" i="1"/>
  <c r="X1087" i="1" s="1"/>
  <c r="P1087" i="1"/>
  <c r="P1086" i="1"/>
  <c r="W1086" i="1" s="1"/>
  <c r="X1086" i="1" s="1"/>
  <c r="P1085" i="1"/>
  <c r="W1085" i="1" s="1"/>
  <c r="X1085" i="1" s="1"/>
  <c r="W1084" i="1"/>
  <c r="X1084" i="1" s="1"/>
  <c r="P1084" i="1"/>
  <c r="W1083" i="1"/>
  <c r="X1083" i="1" s="1"/>
  <c r="P1083" i="1"/>
  <c r="P1082" i="1"/>
  <c r="W1082" i="1" s="1"/>
  <c r="X1082" i="1" s="1"/>
  <c r="P1081" i="1"/>
  <c r="W1081" i="1" s="1"/>
  <c r="X1081" i="1" s="1"/>
  <c r="W1080" i="1"/>
  <c r="X1080" i="1" s="1"/>
  <c r="P1080" i="1"/>
  <c r="W1079" i="1"/>
  <c r="X1079" i="1" s="1"/>
  <c r="P1079" i="1"/>
  <c r="X1078" i="1"/>
  <c r="P1078" i="1"/>
  <c r="W1078" i="1" s="1"/>
  <c r="P1077" i="1"/>
  <c r="W1077" i="1" s="1"/>
  <c r="X1077" i="1" s="1"/>
  <c r="P1076" i="1"/>
  <c r="W1076" i="1" s="1"/>
  <c r="X1076" i="1" s="1"/>
  <c r="W1075" i="1"/>
  <c r="X1075" i="1" s="1"/>
  <c r="P1075" i="1"/>
  <c r="P1074" i="1"/>
  <c r="W1074" i="1" s="1"/>
  <c r="X1074" i="1" s="1"/>
  <c r="P1073" i="1"/>
  <c r="W1073" i="1" s="1"/>
  <c r="X1073" i="1" s="1"/>
  <c r="W1072" i="1"/>
  <c r="X1072" i="1" s="1"/>
  <c r="P1072" i="1"/>
  <c r="P1071" i="1"/>
  <c r="W1071" i="1" s="1"/>
  <c r="X1071" i="1" s="1"/>
  <c r="X1070" i="1"/>
  <c r="P1070" i="1"/>
  <c r="W1070" i="1" s="1"/>
  <c r="P1069" i="1"/>
  <c r="W1069" i="1" s="1"/>
  <c r="X1069" i="1" s="1"/>
  <c r="P1068" i="1"/>
  <c r="W1068" i="1" s="1"/>
  <c r="X1068" i="1" s="1"/>
  <c r="P1067" i="1"/>
  <c r="W1067" i="1" s="1"/>
  <c r="X1067" i="1" s="1"/>
  <c r="P1066" i="1"/>
  <c r="W1066" i="1" s="1"/>
  <c r="X1066" i="1" s="1"/>
  <c r="P1065" i="1"/>
  <c r="W1065" i="1" s="1"/>
  <c r="X1065" i="1" s="1"/>
  <c r="W1064" i="1"/>
  <c r="X1064" i="1" s="1"/>
  <c r="P1064" i="1"/>
  <c r="P1063" i="1"/>
  <c r="W1063" i="1" s="1"/>
  <c r="X1063" i="1" s="1"/>
  <c r="P1062" i="1"/>
  <c r="W1062" i="1" s="1"/>
  <c r="X1062" i="1" s="1"/>
  <c r="P1061" i="1"/>
  <c r="W1061" i="1" s="1"/>
  <c r="X1061" i="1" s="1"/>
  <c r="W1060" i="1"/>
  <c r="X1060" i="1" s="1"/>
  <c r="P1060" i="1"/>
  <c r="P1059" i="1"/>
  <c r="W1059" i="1" s="1"/>
  <c r="X1059" i="1" s="1"/>
  <c r="P1058" i="1"/>
  <c r="W1058" i="1" s="1"/>
  <c r="X1058" i="1" s="1"/>
  <c r="P1057" i="1"/>
  <c r="W1057" i="1" s="1"/>
  <c r="X1057" i="1" s="1"/>
  <c r="P1056" i="1"/>
  <c r="W1056" i="1" s="1"/>
  <c r="X1056" i="1" s="1"/>
  <c r="W1055" i="1"/>
  <c r="X1055" i="1" s="1"/>
  <c r="P1055" i="1"/>
  <c r="P1054" i="1"/>
  <c r="W1054" i="1" s="1"/>
  <c r="X1054" i="1" s="1"/>
  <c r="P1053" i="1"/>
  <c r="W1053" i="1" s="1"/>
  <c r="X1053" i="1" s="1"/>
  <c r="W1052" i="1"/>
  <c r="X1052" i="1" s="1"/>
  <c r="P1052" i="1"/>
  <c r="P1051" i="1"/>
  <c r="W1051" i="1" s="1"/>
  <c r="X1051" i="1" s="1"/>
  <c r="P1050" i="1"/>
  <c r="W1050" i="1" s="1"/>
  <c r="X1050" i="1" s="1"/>
  <c r="P1049" i="1"/>
  <c r="W1049" i="1" s="1"/>
  <c r="X1049" i="1" s="1"/>
  <c r="P1048" i="1"/>
  <c r="W1048" i="1" s="1"/>
  <c r="X1048" i="1" s="1"/>
  <c r="W1047" i="1"/>
  <c r="X1047" i="1" s="1"/>
  <c r="P1047" i="1"/>
  <c r="P1046" i="1"/>
  <c r="W1046" i="1" s="1"/>
  <c r="X1046" i="1" s="1"/>
  <c r="P1045" i="1"/>
  <c r="W1045" i="1" s="1"/>
  <c r="P1044" i="1"/>
  <c r="W1044" i="1" s="1"/>
  <c r="X1044" i="1" s="1"/>
  <c r="P1043" i="1"/>
  <c r="W1043" i="1" s="1"/>
  <c r="X1043" i="1" s="1"/>
  <c r="W1042" i="1"/>
  <c r="X1042" i="1" s="1"/>
  <c r="P1042" i="1"/>
  <c r="P1041" i="1"/>
  <c r="W1041" i="1" s="1"/>
  <c r="X1041" i="1" s="1"/>
  <c r="P1040" i="1"/>
  <c r="W1040" i="1" s="1"/>
  <c r="X1040" i="1" s="1"/>
  <c r="P1039" i="1"/>
  <c r="W1039" i="1" s="1"/>
  <c r="X1039" i="1" s="1"/>
  <c r="W1038" i="1"/>
  <c r="X1038" i="1" s="1"/>
  <c r="P1038" i="1"/>
  <c r="P1037" i="1"/>
  <c r="W1037" i="1" s="1"/>
  <c r="X1037" i="1" s="1"/>
  <c r="P1036" i="1"/>
  <c r="W1036" i="1" s="1"/>
  <c r="X1036" i="1" s="1"/>
  <c r="W1035" i="1"/>
  <c r="X1035" i="1" s="1"/>
  <c r="P1035" i="1"/>
  <c r="P1034" i="1"/>
  <c r="W1034" i="1" s="1"/>
  <c r="X1034" i="1" s="1"/>
  <c r="X1033" i="1"/>
  <c r="P1033" i="1"/>
  <c r="W1033" i="1" s="1"/>
  <c r="P1032" i="1"/>
  <c r="W1032" i="1" s="1"/>
  <c r="X1032" i="1" s="1"/>
  <c r="W1031" i="1"/>
  <c r="X1031" i="1" s="1"/>
  <c r="P1031" i="1"/>
  <c r="W1030" i="1"/>
  <c r="X1030" i="1" s="1"/>
  <c r="P1030" i="1"/>
  <c r="P1029" i="1"/>
  <c r="W1029" i="1" s="1"/>
  <c r="X1029" i="1" s="1"/>
  <c r="P1028" i="1"/>
  <c r="W1028" i="1" s="1"/>
  <c r="X1028" i="1" s="1"/>
  <c r="W1027" i="1"/>
  <c r="X1027" i="1" s="1"/>
  <c r="P1027" i="1"/>
  <c r="W1026" i="1"/>
  <c r="X1026" i="1" s="1"/>
  <c r="P1026" i="1"/>
  <c r="X1025" i="1"/>
  <c r="P1025" i="1"/>
  <c r="W1025" i="1" s="1"/>
  <c r="P1024" i="1"/>
  <c r="W1024" i="1" s="1"/>
  <c r="X1024" i="1" s="1"/>
  <c r="W1023" i="1"/>
  <c r="X1023" i="1" s="1"/>
  <c r="P1023" i="1"/>
  <c r="P1022" i="1"/>
  <c r="W1022" i="1" s="1"/>
  <c r="X1022" i="1" s="1"/>
  <c r="P1021" i="1"/>
  <c r="W1021" i="1" s="1"/>
  <c r="X1021" i="1" s="1"/>
  <c r="P1020" i="1"/>
  <c r="W1020" i="1" s="1"/>
  <c r="X1020" i="1" s="1"/>
  <c r="P1019" i="1"/>
  <c r="W1019" i="1" s="1"/>
  <c r="X1019" i="1" s="1"/>
  <c r="W1018" i="1"/>
  <c r="X1018" i="1" s="1"/>
  <c r="P1018" i="1"/>
  <c r="P1017" i="1"/>
  <c r="W1017" i="1" s="1"/>
  <c r="X1017" i="1" s="1"/>
  <c r="P1016" i="1"/>
  <c r="W1016" i="1" s="1"/>
  <c r="X1016" i="1" s="1"/>
  <c r="P1015" i="1"/>
  <c r="W1015" i="1" s="1"/>
  <c r="X1015" i="1" s="1"/>
  <c r="P1014" i="1"/>
  <c r="W1014" i="1" s="1"/>
  <c r="X1014" i="1" s="1"/>
  <c r="P1013" i="1"/>
  <c r="W1013" i="1" s="1"/>
  <c r="X1013" i="1" s="1"/>
  <c r="P1012" i="1"/>
  <c r="W1012" i="1" s="1"/>
  <c r="X1012" i="1" s="1"/>
  <c r="P1011" i="1"/>
  <c r="W1011" i="1" s="1"/>
  <c r="X1011" i="1" s="1"/>
  <c r="W1010" i="1"/>
  <c r="X1010" i="1" s="1"/>
  <c r="P1010" i="1"/>
  <c r="P1009" i="1"/>
  <c r="W1009" i="1" s="1"/>
  <c r="X1009" i="1" s="1"/>
  <c r="P1008" i="1"/>
  <c r="W1008" i="1" s="1"/>
  <c r="X1008" i="1" s="1"/>
  <c r="W1007" i="1"/>
  <c r="X1007" i="1" s="1"/>
  <c r="P1007" i="1"/>
  <c r="P1006" i="1"/>
  <c r="W1006" i="1" s="1"/>
  <c r="X1006" i="1" s="1"/>
  <c r="P1005" i="1"/>
  <c r="W1005" i="1" s="1"/>
  <c r="X1005" i="1" s="1"/>
  <c r="P1004" i="1"/>
  <c r="W1004" i="1" s="1"/>
  <c r="X1004" i="1" s="1"/>
  <c r="P1003" i="1"/>
  <c r="W1003" i="1" s="1"/>
  <c r="X1003" i="1" s="1"/>
  <c r="W1002" i="1"/>
  <c r="X1002" i="1" s="1"/>
  <c r="P1002" i="1"/>
  <c r="P1001" i="1"/>
  <c r="W1001" i="1" s="1"/>
  <c r="X1001" i="1" s="1"/>
  <c r="P1000" i="1"/>
  <c r="W1000" i="1" s="1"/>
  <c r="X1000" i="1" s="1"/>
  <c r="P999" i="1"/>
  <c r="W999" i="1" s="1"/>
  <c r="X999" i="1" s="1"/>
  <c r="P998" i="1"/>
  <c r="W998" i="1" s="1"/>
  <c r="X998" i="1" s="1"/>
  <c r="P997" i="1"/>
  <c r="W997" i="1" s="1"/>
  <c r="X997" i="1" s="1"/>
  <c r="P996" i="1"/>
  <c r="W996" i="1" s="1"/>
  <c r="X996" i="1" s="1"/>
  <c r="P995" i="1"/>
  <c r="W995" i="1" s="1"/>
  <c r="X995" i="1" s="1"/>
  <c r="W994" i="1"/>
  <c r="X994" i="1" s="1"/>
  <c r="P994" i="1"/>
  <c r="P993" i="1"/>
  <c r="W993" i="1" s="1"/>
  <c r="X993" i="1" s="1"/>
  <c r="P992" i="1"/>
  <c r="W992" i="1" s="1"/>
  <c r="X992" i="1" s="1"/>
  <c r="W991" i="1"/>
  <c r="X991" i="1" s="1"/>
  <c r="P991" i="1"/>
  <c r="P990" i="1"/>
  <c r="W990" i="1" s="1"/>
  <c r="X990" i="1" s="1"/>
  <c r="P989" i="1"/>
  <c r="W989" i="1" s="1"/>
  <c r="X989" i="1" s="1"/>
  <c r="P988" i="1"/>
  <c r="W988" i="1" s="1"/>
  <c r="X988" i="1" s="1"/>
  <c r="P987" i="1"/>
  <c r="W987" i="1" s="1"/>
  <c r="X987" i="1" s="1"/>
  <c r="W986" i="1"/>
  <c r="X986" i="1" s="1"/>
  <c r="P986" i="1"/>
  <c r="P985" i="1"/>
  <c r="W985" i="1" s="1"/>
  <c r="X985" i="1" s="1"/>
  <c r="P984" i="1"/>
  <c r="W984" i="1" s="1"/>
  <c r="X984" i="1" s="1"/>
  <c r="P983" i="1"/>
  <c r="W983" i="1" s="1"/>
  <c r="X983" i="1" s="1"/>
  <c r="P982" i="1"/>
  <c r="W982" i="1" s="1"/>
  <c r="X982" i="1" s="1"/>
  <c r="P981" i="1"/>
  <c r="W981" i="1" s="1"/>
  <c r="X981" i="1" s="1"/>
  <c r="P980" i="1"/>
  <c r="W980" i="1" s="1"/>
  <c r="X980" i="1" s="1"/>
  <c r="W979" i="1"/>
  <c r="X979" i="1" s="1"/>
  <c r="P979" i="1"/>
  <c r="W978" i="1"/>
  <c r="X978" i="1" s="1"/>
  <c r="P978" i="1"/>
  <c r="P977" i="1"/>
  <c r="W977" i="1" s="1"/>
  <c r="X977" i="1" s="1"/>
  <c r="P976" i="1"/>
  <c r="W976" i="1" s="1"/>
  <c r="X976" i="1" s="1"/>
  <c r="W975" i="1"/>
  <c r="X975" i="1" s="1"/>
  <c r="P975" i="1"/>
  <c r="W974" i="1"/>
  <c r="X974" i="1" s="1"/>
  <c r="P974" i="1"/>
  <c r="X973" i="1"/>
  <c r="P973" i="1"/>
  <c r="W973" i="1" s="1"/>
  <c r="P972" i="1"/>
  <c r="W972" i="1" s="1"/>
  <c r="X972" i="1" s="1"/>
  <c r="P971" i="1"/>
  <c r="W971" i="1" s="1"/>
  <c r="X971" i="1" s="1"/>
  <c r="P970" i="1"/>
  <c r="W970" i="1" s="1"/>
  <c r="X970" i="1" s="1"/>
  <c r="P969" i="1"/>
  <c r="W969" i="1" s="1"/>
  <c r="X969" i="1" s="1"/>
  <c r="P968" i="1"/>
  <c r="W968" i="1" s="1"/>
  <c r="X968" i="1" s="1"/>
  <c r="P967" i="1"/>
  <c r="W967" i="1" s="1"/>
  <c r="X967" i="1" s="1"/>
  <c r="W966" i="1"/>
  <c r="X966" i="1" s="1"/>
  <c r="P966" i="1"/>
  <c r="P965" i="1"/>
  <c r="W965" i="1" s="1"/>
  <c r="X965" i="1" s="1"/>
  <c r="P964" i="1"/>
  <c r="W964" i="1" s="1"/>
  <c r="X964" i="1" s="1"/>
  <c r="W963" i="1"/>
  <c r="X963" i="1" s="1"/>
  <c r="P963" i="1"/>
  <c r="P962" i="1"/>
  <c r="W962" i="1" s="1"/>
  <c r="X962" i="1" s="1"/>
  <c r="P961" i="1"/>
  <c r="W961" i="1" s="1"/>
  <c r="X961" i="1" s="1"/>
  <c r="P960" i="1"/>
  <c r="W960" i="1" s="1"/>
  <c r="X960" i="1" s="1"/>
  <c r="P959" i="1"/>
  <c r="W959" i="1" s="1"/>
  <c r="X959" i="1" s="1"/>
  <c r="W958" i="1"/>
  <c r="X958" i="1" s="1"/>
  <c r="P958" i="1"/>
  <c r="P957" i="1"/>
  <c r="W957" i="1" s="1"/>
  <c r="X957" i="1" s="1"/>
  <c r="P956" i="1"/>
  <c r="W956" i="1" s="1"/>
  <c r="X956" i="1" s="1"/>
  <c r="P955" i="1"/>
  <c r="W955" i="1" s="1"/>
  <c r="X955" i="1" s="1"/>
  <c r="P954" i="1"/>
  <c r="W954" i="1" s="1"/>
  <c r="X954" i="1" s="1"/>
  <c r="W953" i="1"/>
  <c r="X953" i="1" s="1"/>
  <c r="P952" i="1"/>
  <c r="W952" i="1" s="1"/>
  <c r="X952" i="1" s="1"/>
  <c r="P951" i="1"/>
  <c r="W951" i="1" s="1"/>
  <c r="X951" i="1" s="1"/>
  <c r="P950" i="1"/>
  <c r="W950" i="1" s="1"/>
  <c r="X950" i="1" s="1"/>
  <c r="W949" i="1"/>
  <c r="X949" i="1" s="1"/>
  <c r="P949" i="1"/>
  <c r="P948" i="1"/>
  <c r="W948" i="1" s="1"/>
  <c r="X948" i="1" s="1"/>
  <c r="P947" i="1"/>
  <c r="W947" i="1" s="1"/>
  <c r="X947" i="1" s="1"/>
  <c r="W946" i="1"/>
  <c r="X946" i="1" s="1"/>
  <c r="P946" i="1"/>
  <c r="P945" i="1"/>
  <c r="W945" i="1" s="1"/>
  <c r="X945" i="1" s="1"/>
  <c r="P944" i="1"/>
  <c r="W944" i="1" s="1"/>
  <c r="X944" i="1" s="1"/>
  <c r="P943" i="1"/>
  <c r="W943" i="1" s="1"/>
  <c r="X943" i="1" s="1"/>
  <c r="P942" i="1"/>
  <c r="W942" i="1" s="1"/>
  <c r="X942" i="1" s="1"/>
  <c r="W941" i="1"/>
  <c r="X941" i="1" s="1"/>
  <c r="P941" i="1"/>
  <c r="P940" i="1"/>
  <c r="W940" i="1" s="1"/>
  <c r="X940" i="1" s="1"/>
  <c r="P939" i="1"/>
  <c r="W939" i="1" s="1"/>
  <c r="X939" i="1" s="1"/>
  <c r="W938" i="1"/>
  <c r="X938" i="1" s="1"/>
  <c r="P938" i="1"/>
  <c r="P937" i="1"/>
  <c r="W937" i="1" s="1"/>
  <c r="X937" i="1" s="1"/>
  <c r="P936" i="1"/>
  <c r="W936" i="1" s="1"/>
  <c r="X936" i="1" s="1"/>
  <c r="P935" i="1"/>
  <c r="W935" i="1" s="1"/>
  <c r="X935" i="1" s="1"/>
  <c r="P934" i="1"/>
  <c r="W934" i="1" s="1"/>
  <c r="X934" i="1" s="1"/>
  <c r="W933" i="1"/>
  <c r="X933" i="1" s="1"/>
  <c r="P933" i="1"/>
  <c r="P932" i="1"/>
  <c r="W932" i="1" s="1"/>
  <c r="X932" i="1" s="1"/>
  <c r="P931" i="1"/>
  <c r="W931" i="1" s="1"/>
  <c r="X931" i="1" s="1"/>
  <c r="P930" i="1"/>
  <c r="W930" i="1" s="1"/>
  <c r="X930" i="1" s="1"/>
  <c r="W929" i="1"/>
  <c r="X929" i="1" s="1"/>
  <c r="P929" i="1"/>
  <c r="P928" i="1"/>
  <c r="W928" i="1" s="1"/>
  <c r="X928" i="1" s="1"/>
  <c r="P927" i="1"/>
  <c r="W927" i="1" s="1"/>
  <c r="X927" i="1" s="1"/>
  <c r="W926" i="1"/>
  <c r="X926" i="1" s="1"/>
  <c r="P926" i="1"/>
  <c r="P925" i="1"/>
  <c r="W925" i="1" s="1"/>
  <c r="X925" i="1" s="1"/>
  <c r="X924" i="1"/>
  <c r="P924" i="1"/>
  <c r="W924" i="1" s="1"/>
  <c r="P923" i="1"/>
  <c r="W923" i="1" s="1"/>
  <c r="X923" i="1" s="1"/>
  <c r="P922" i="1"/>
  <c r="W922" i="1" s="1"/>
  <c r="X922" i="1" s="1"/>
  <c r="W921" i="1"/>
  <c r="X921" i="1" s="1"/>
  <c r="P921" i="1"/>
  <c r="P920" i="1"/>
  <c r="W920" i="1" s="1"/>
  <c r="X920" i="1" s="1"/>
  <c r="P919" i="1"/>
  <c r="W919" i="1" s="1"/>
  <c r="X919" i="1" s="1"/>
  <c r="W918" i="1"/>
  <c r="X918" i="1" s="1"/>
  <c r="P918" i="1"/>
  <c r="P917" i="1"/>
  <c r="W917" i="1" s="1"/>
  <c r="X917" i="1" s="1"/>
  <c r="X916" i="1"/>
  <c r="P916" i="1"/>
  <c r="W916" i="1" s="1"/>
  <c r="P915" i="1"/>
  <c r="W915" i="1" s="1"/>
  <c r="X915" i="1" s="1"/>
  <c r="W914" i="1"/>
  <c r="X914" i="1" s="1"/>
  <c r="P914" i="1"/>
  <c r="P913" i="1"/>
  <c r="W913" i="1" s="1"/>
  <c r="X913" i="1" s="1"/>
  <c r="P912" i="1"/>
  <c r="W912" i="1" s="1"/>
  <c r="X912" i="1" s="1"/>
  <c r="P911" i="1"/>
  <c r="W911" i="1" s="1"/>
  <c r="X911" i="1" s="1"/>
  <c r="P910" i="1"/>
  <c r="W910" i="1" s="1"/>
  <c r="X910" i="1" s="1"/>
  <c r="W909" i="1"/>
  <c r="X909" i="1" s="1"/>
  <c r="P909" i="1"/>
  <c r="P908" i="1"/>
  <c r="W908" i="1" s="1"/>
  <c r="X908" i="1" s="1"/>
  <c r="P907" i="1"/>
  <c r="W907" i="1" s="1"/>
  <c r="X907" i="1" s="1"/>
  <c r="W906" i="1"/>
  <c r="X906" i="1" s="1"/>
  <c r="P906" i="1"/>
  <c r="P905" i="1"/>
  <c r="W905" i="1" s="1"/>
  <c r="X905" i="1" s="1"/>
  <c r="P904" i="1"/>
  <c r="W904" i="1" s="1"/>
  <c r="X904" i="1" s="1"/>
  <c r="P903" i="1"/>
  <c r="W903" i="1" s="1"/>
  <c r="X903" i="1" s="1"/>
  <c r="P902" i="1"/>
  <c r="W902" i="1" s="1"/>
  <c r="X902" i="1" s="1"/>
  <c r="W901" i="1"/>
  <c r="X901" i="1" s="1"/>
  <c r="P901" i="1"/>
  <c r="P900" i="1"/>
  <c r="W900" i="1" s="1"/>
  <c r="X900" i="1" s="1"/>
  <c r="P899" i="1"/>
  <c r="W899" i="1" s="1"/>
  <c r="X899" i="1" s="1"/>
  <c r="P898" i="1"/>
  <c r="W898" i="1" s="1"/>
  <c r="X898" i="1" s="1"/>
  <c r="W897" i="1"/>
  <c r="X897" i="1" s="1"/>
  <c r="P897" i="1"/>
  <c r="P896" i="1"/>
  <c r="W896" i="1" s="1"/>
  <c r="X896" i="1" s="1"/>
  <c r="P895" i="1"/>
  <c r="W895" i="1" s="1"/>
  <c r="X895" i="1" s="1"/>
  <c r="W894" i="1"/>
  <c r="X894" i="1" s="1"/>
  <c r="P894" i="1"/>
  <c r="P893" i="1"/>
  <c r="W893" i="1" s="1"/>
  <c r="X893" i="1" s="1"/>
  <c r="X892" i="1"/>
  <c r="P892" i="1"/>
  <c r="W892" i="1" s="1"/>
  <c r="P891" i="1"/>
  <c r="W891" i="1" s="1"/>
  <c r="X891" i="1" s="1"/>
  <c r="P890" i="1"/>
  <c r="W890" i="1" s="1"/>
  <c r="X890" i="1" s="1"/>
  <c r="W889" i="1"/>
  <c r="X889" i="1" s="1"/>
  <c r="P889" i="1"/>
  <c r="P888" i="1"/>
  <c r="W888" i="1" s="1"/>
  <c r="X888" i="1" s="1"/>
  <c r="P887" i="1"/>
  <c r="W887" i="1" s="1"/>
  <c r="X887" i="1" s="1"/>
  <c r="W886" i="1"/>
  <c r="X886" i="1" s="1"/>
  <c r="P886" i="1"/>
  <c r="P885" i="1"/>
  <c r="W885" i="1" s="1"/>
  <c r="X885" i="1" s="1"/>
  <c r="X884" i="1"/>
  <c r="P884" i="1"/>
  <c r="W884" i="1" s="1"/>
  <c r="P883" i="1"/>
  <c r="W883" i="1" s="1"/>
  <c r="X883" i="1" s="1"/>
  <c r="W882" i="1"/>
  <c r="X882" i="1" s="1"/>
  <c r="P882" i="1"/>
  <c r="P881" i="1"/>
  <c r="W881" i="1" s="1"/>
  <c r="X881" i="1" s="1"/>
  <c r="P880" i="1"/>
  <c r="W880" i="1" s="1"/>
  <c r="X880" i="1" s="1"/>
  <c r="P879" i="1"/>
  <c r="W879" i="1" s="1"/>
  <c r="X879" i="1" s="1"/>
  <c r="P878" i="1"/>
  <c r="W878" i="1" s="1"/>
  <c r="X878" i="1" s="1"/>
  <c r="W877" i="1"/>
  <c r="X877" i="1" s="1"/>
  <c r="P877" i="1"/>
  <c r="P876" i="1"/>
  <c r="W876" i="1" s="1"/>
  <c r="X876" i="1" s="1"/>
  <c r="P875" i="1"/>
  <c r="W875" i="1" s="1"/>
  <c r="X875" i="1" s="1"/>
  <c r="W874" i="1"/>
  <c r="X874" i="1" s="1"/>
  <c r="P874" i="1"/>
  <c r="P873" i="1"/>
  <c r="W873" i="1" s="1"/>
  <c r="X873" i="1" s="1"/>
  <c r="P872" i="1"/>
  <c r="W872" i="1" s="1"/>
  <c r="X872" i="1" s="1"/>
  <c r="P871" i="1"/>
  <c r="W871" i="1" s="1"/>
  <c r="X871" i="1" s="1"/>
  <c r="P870" i="1"/>
  <c r="W870" i="1" s="1"/>
  <c r="X870" i="1" s="1"/>
  <c r="W869" i="1"/>
  <c r="X869" i="1" s="1"/>
  <c r="P869" i="1"/>
  <c r="P868" i="1"/>
  <c r="W868" i="1" s="1"/>
  <c r="X868" i="1" s="1"/>
  <c r="P867" i="1"/>
  <c r="W867" i="1" s="1"/>
  <c r="X867" i="1" s="1"/>
  <c r="P866" i="1"/>
  <c r="W866" i="1" s="1"/>
  <c r="X866" i="1" s="1"/>
  <c r="W865" i="1"/>
  <c r="X865" i="1" s="1"/>
  <c r="P865" i="1"/>
  <c r="P864" i="1"/>
  <c r="W864" i="1" s="1"/>
  <c r="X864" i="1" s="1"/>
  <c r="P863" i="1"/>
  <c r="W863" i="1" s="1"/>
  <c r="X863" i="1" s="1"/>
  <c r="W862" i="1"/>
  <c r="X862" i="1" s="1"/>
  <c r="P862" i="1"/>
  <c r="P861" i="1"/>
  <c r="W861" i="1" s="1"/>
  <c r="X861" i="1" s="1"/>
  <c r="X860" i="1"/>
  <c r="P860" i="1"/>
  <c r="W860" i="1" s="1"/>
  <c r="P859" i="1"/>
  <c r="W859" i="1" s="1"/>
  <c r="X859" i="1" s="1"/>
  <c r="P858" i="1"/>
  <c r="W858" i="1" s="1"/>
  <c r="X858" i="1" s="1"/>
  <c r="W857" i="1"/>
  <c r="X857" i="1" s="1"/>
  <c r="P857" i="1"/>
  <c r="P856" i="1"/>
  <c r="W856" i="1" s="1"/>
  <c r="X856" i="1" s="1"/>
  <c r="W855" i="1"/>
  <c r="X855" i="1" s="1"/>
  <c r="P855" i="1"/>
  <c r="P854" i="1"/>
  <c r="W854" i="1" s="1"/>
  <c r="X854" i="1" s="1"/>
  <c r="P853" i="1"/>
  <c r="W853" i="1" s="1"/>
  <c r="X853" i="1" s="1"/>
  <c r="P852" i="1"/>
  <c r="W852" i="1" s="1"/>
  <c r="X852" i="1" s="1"/>
  <c r="X851" i="1"/>
  <c r="P851" i="1"/>
  <c r="W851" i="1" s="1"/>
  <c r="P850" i="1"/>
  <c r="W850" i="1" s="1"/>
  <c r="X850" i="1" s="1"/>
  <c r="P849" i="1"/>
  <c r="W849" i="1" s="1"/>
  <c r="X849" i="1" s="1"/>
  <c r="X848" i="1"/>
  <c r="P848" i="1"/>
  <c r="W848" i="1" s="1"/>
  <c r="P847" i="1"/>
  <c r="W847" i="1" s="1"/>
  <c r="X847" i="1" s="1"/>
  <c r="W846" i="1"/>
  <c r="X846" i="1" s="1"/>
  <c r="P846" i="1"/>
  <c r="P845" i="1"/>
  <c r="W845" i="1" s="1"/>
  <c r="X845" i="1" s="1"/>
  <c r="P844" i="1"/>
  <c r="W844" i="1" s="1"/>
  <c r="X844" i="1" s="1"/>
  <c r="P843" i="1"/>
  <c r="W843" i="1" s="1"/>
  <c r="X843" i="1" s="1"/>
  <c r="P842" i="1"/>
  <c r="W842" i="1" s="1"/>
  <c r="X842" i="1" s="1"/>
  <c r="P841" i="1"/>
  <c r="W841" i="1" s="1"/>
  <c r="X841" i="1" s="1"/>
  <c r="P840" i="1"/>
  <c r="W840" i="1" s="1"/>
  <c r="X840" i="1" s="1"/>
  <c r="W839" i="1"/>
  <c r="X839" i="1" s="1"/>
  <c r="P839" i="1"/>
  <c r="P838" i="1"/>
  <c r="W838" i="1" s="1"/>
  <c r="X838" i="1" s="1"/>
  <c r="P837" i="1"/>
  <c r="W837" i="1" s="1"/>
  <c r="X837" i="1" s="1"/>
  <c r="P836" i="1"/>
  <c r="W836" i="1" s="1"/>
  <c r="X836" i="1" s="1"/>
  <c r="X835" i="1"/>
  <c r="P835" i="1"/>
  <c r="W835" i="1" s="1"/>
  <c r="P834" i="1"/>
  <c r="W834" i="1" s="1"/>
  <c r="X834" i="1" s="1"/>
  <c r="P833" i="1"/>
  <c r="W833" i="1" s="1"/>
  <c r="X833" i="1" s="1"/>
  <c r="X832" i="1"/>
  <c r="P832" i="1"/>
  <c r="W832" i="1" s="1"/>
  <c r="P831" i="1"/>
  <c r="W831" i="1" s="1"/>
  <c r="X831" i="1" s="1"/>
  <c r="W830" i="1"/>
  <c r="X830" i="1" s="1"/>
  <c r="P830" i="1"/>
  <c r="P829" i="1"/>
  <c r="W829" i="1" s="1"/>
  <c r="X829" i="1" s="1"/>
  <c r="P828" i="1"/>
  <c r="W828" i="1" s="1"/>
  <c r="X828" i="1" s="1"/>
  <c r="P827" i="1"/>
  <c r="W827" i="1" s="1"/>
  <c r="X827" i="1" s="1"/>
  <c r="P826" i="1"/>
  <c r="W826" i="1" s="1"/>
  <c r="X826" i="1" s="1"/>
  <c r="P825" i="1"/>
  <c r="W825" i="1" s="1"/>
  <c r="X825" i="1" s="1"/>
  <c r="P824" i="1"/>
  <c r="W824" i="1" s="1"/>
  <c r="X824" i="1" s="1"/>
  <c r="W823" i="1"/>
  <c r="X823" i="1" s="1"/>
  <c r="P823" i="1"/>
  <c r="P822" i="1"/>
  <c r="W822" i="1" s="1"/>
  <c r="X822" i="1" s="1"/>
  <c r="P821" i="1"/>
  <c r="W821" i="1" s="1"/>
  <c r="X821" i="1" s="1"/>
  <c r="P820" i="1"/>
  <c r="W820" i="1" s="1"/>
  <c r="X820" i="1" s="1"/>
  <c r="X819" i="1"/>
  <c r="P819" i="1"/>
  <c r="W819" i="1" s="1"/>
  <c r="P818" i="1"/>
  <c r="W818" i="1" s="1"/>
  <c r="X818" i="1" s="1"/>
  <c r="P817" i="1"/>
  <c r="W817" i="1" s="1"/>
  <c r="X817" i="1" s="1"/>
  <c r="X816" i="1"/>
  <c r="P816" i="1"/>
  <c r="W816" i="1" s="1"/>
  <c r="P815" i="1"/>
  <c r="W815" i="1" s="1"/>
  <c r="X815" i="1" s="1"/>
  <c r="W814" i="1"/>
  <c r="X814" i="1" s="1"/>
  <c r="P814" i="1"/>
  <c r="P813" i="1"/>
  <c r="W813" i="1" s="1"/>
  <c r="X813" i="1" s="1"/>
  <c r="P812" i="1"/>
  <c r="W812" i="1" s="1"/>
  <c r="X812" i="1" s="1"/>
  <c r="P811" i="1"/>
  <c r="W811" i="1" s="1"/>
  <c r="X811" i="1" s="1"/>
  <c r="P810" i="1"/>
  <c r="W810" i="1" s="1"/>
  <c r="X810" i="1" s="1"/>
  <c r="P809" i="1"/>
  <c r="W809" i="1" s="1"/>
  <c r="X809" i="1" s="1"/>
  <c r="P808" i="1"/>
  <c r="W808" i="1" s="1"/>
  <c r="X808" i="1" s="1"/>
  <c r="W807" i="1"/>
  <c r="X807" i="1" s="1"/>
  <c r="P807" i="1"/>
  <c r="P806" i="1"/>
  <c r="W806" i="1" s="1"/>
  <c r="X806" i="1" s="1"/>
  <c r="P805" i="1"/>
  <c r="W805" i="1" s="1"/>
  <c r="X805" i="1" s="1"/>
  <c r="P804" i="1"/>
  <c r="W804" i="1" s="1"/>
  <c r="X804" i="1" s="1"/>
  <c r="X803" i="1"/>
  <c r="P803" i="1"/>
  <c r="W803" i="1" s="1"/>
  <c r="P802" i="1"/>
  <c r="W802" i="1" s="1"/>
  <c r="X802" i="1" s="1"/>
  <c r="P801" i="1"/>
  <c r="W801" i="1" s="1"/>
  <c r="X801" i="1" s="1"/>
  <c r="X800" i="1"/>
  <c r="P800" i="1"/>
  <c r="W800" i="1" s="1"/>
  <c r="P799" i="1"/>
  <c r="W799" i="1" s="1"/>
  <c r="X799" i="1" s="1"/>
  <c r="P798" i="1"/>
  <c r="W798" i="1" s="1"/>
  <c r="X798" i="1" s="1"/>
  <c r="P797" i="1"/>
  <c r="W797" i="1" s="1"/>
  <c r="X797" i="1" s="1"/>
  <c r="P796" i="1"/>
  <c r="W796" i="1" s="1"/>
  <c r="X796" i="1" s="1"/>
  <c r="P795" i="1"/>
  <c r="W795" i="1" s="1"/>
  <c r="X795" i="1" s="1"/>
  <c r="W794" i="1"/>
  <c r="X794" i="1" s="1"/>
  <c r="P794" i="1"/>
  <c r="P793" i="1"/>
  <c r="W793" i="1" s="1"/>
  <c r="X793" i="1" s="1"/>
  <c r="P792" i="1"/>
  <c r="W792" i="1" s="1"/>
  <c r="X792" i="1" s="1"/>
  <c r="P791" i="1"/>
  <c r="W791" i="1" s="1"/>
  <c r="X791" i="1" s="1"/>
  <c r="P790" i="1"/>
  <c r="W790" i="1" s="1"/>
  <c r="X790" i="1" s="1"/>
  <c r="P789" i="1"/>
  <c r="W789" i="1" s="1"/>
  <c r="X789" i="1" s="1"/>
  <c r="P788" i="1"/>
  <c r="W788" i="1" s="1"/>
  <c r="X788" i="1" s="1"/>
  <c r="W787" i="1"/>
  <c r="X787" i="1" s="1"/>
  <c r="P787" i="1"/>
  <c r="P786" i="1"/>
  <c r="W786" i="1" s="1"/>
  <c r="X786" i="1" s="1"/>
  <c r="P785" i="1"/>
  <c r="W785" i="1" s="1"/>
  <c r="X785" i="1" s="1"/>
  <c r="P784" i="1"/>
  <c r="W784" i="1" s="1"/>
  <c r="X784" i="1" s="1"/>
  <c r="P783" i="1"/>
  <c r="W783" i="1" s="1"/>
  <c r="X783" i="1" s="1"/>
  <c r="P782" i="1"/>
  <c r="W782" i="1" s="1"/>
  <c r="X782" i="1" s="1"/>
  <c r="P781" i="1"/>
  <c r="W781" i="1" s="1"/>
  <c r="X781" i="1" s="1"/>
  <c r="P780" i="1"/>
  <c r="W780" i="1" s="1"/>
  <c r="X780" i="1" s="1"/>
  <c r="W779" i="1"/>
  <c r="X779" i="1" s="1"/>
  <c r="P779" i="1"/>
  <c r="P778" i="1"/>
  <c r="W778" i="1" s="1"/>
  <c r="X778" i="1" s="1"/>
  <c r="P777" i="1"/>
  <c r="W777" i="1" s="1"/>
  <c r="X777" i="1" s="1"/>
  <c r="W776" i="1"/>
  <c r="X776" i="1" s="1"/>
  <c r="P776" i="1"/>
  <c r="P775" i="1"/>
  <c r="W775" i="1" s="1"/>
  <c r="X775" i="1" s="1"/>
  <c r="P774" i="1"/>
  <c r="W774" i="1" s="1"/>
  <c r="X774" i="1" s="1"/>
  <c r="P773" i="1"/>
  <c r="W773" i="1" s="1"/>
  <c r="X773" i="1" s="1"/>
  <c r="P772" i="1"/>
  <c r="W772" i="1" s="1"/>
  <c r="X772" i="1" s="1"/>
  <c r="P771" i="1"/>
  <c r="W771" i="1" s="1"/>
  <c r="X771" i="1" s="1"/>
  <c r="W770" i="1"/>
  <c r="X770" i="1" s="1"/>
  <c r="P770" i="1"/>
  <c r="P769" i="1"/>
  <c r="W769" i="1" s="1"/>
  <c r="X769" i="1" s="1"/>
  <c r="W768" i="1"/>
  <c r="X768" i="1" s="1"/>
  <c r="P768" i="1"/>
  <c r="P767" i="1"/>
  <c r="W767" i="1" s="1"/>
  <c r="X767" i="1" s="1"/>
  <c r="P766" i="1"/>
  <c r="W766" i="1" s="1"/>
  <c r="X766" i="1" s="1"/>
  <c r="P765" i="1"/>
  <c r="W765" i="1" s="1"/>
  <c r="X765" i="1" s="1"/>
  <c r="P764" i="1"/>
  <c r="W764" i="1" s="1"/>
  <c r="X764" i="1" s="1"/>
  <c r="P763" i="1"/>
  <c r="W763" i="1" s="1"/>
  <c r="X763" i="1" s="1"/>
  <c r="W762" i="1"/>
  <c r="X762" i="1" s="1"/>
  <c r="P762" i="1"/>
  <c r="P761" i="1"/>
  <c r="W761" i="1" s="1"/>
  <c r="X761" i="1" s="1"/>
  <c r="P760" i="1"/>
  <c r="W760" i="1" s="1"/>
  <c r="X760" i="1" s="1"/>
  <c r="P759" i="1"/>
  <c r="W759" i="1" s="1"/>
  <c r="X759" i="1" s="1"/>
  <c r="P758" i="1"/>
  <c r="W758" i="1" s="1"/>
  <c r="X758" i="1" s="1"/>
  <c r="P757" i="1"/>
  <c r="W757" i="1" s="1"/>
  <c r="X757" i="1" s="1"/>
  <c r="P756" i="1"/>
  <c r="W756" i="1" s="1"/>
  <c r="X756" i="1" s="1"/>
  <c r="W755" i="1"/>
  <c r="X755" i="1" s="1"/>
  <c r="P755" i="1"/>
  <c r="P754" i="1"/>
  <c r="W754" i="1" s="1"/>
  <c r="X754" i="1" s="1"/>
  <c r="P753" i="1"/>
  <c r="W753" i="1" s="1"/>
  <c r="X753" i="1" s="1"/>
  <c r="P752" i="1"/>
  <c r="W752" i="1" s="1"/>
  <c r="X752" i="1" s="1"/>
  <c r="P751" i="1"/>
  <c r="W751" i="1" s="1"/>
  <c r="X751" i="1" s="1"/>
  <c r="P750" i="1"/>
  <c r="W750" i="1" s="1"/>
  <c r="X750" i="1" s="1"/>
  <c r="P749" i="1"/>
  <c r="W749" i="1" s="1"/>
  <c r="X749" i="1" s="1"/>
  <c r="P748" i="1"/>
  <c r="W748" i="1" s="1"/>
  <c r="X748" i="1" s="1"/>
  <c r="W747" i="1"/>
  <c r="X747" i="1" s="1"/>
  <c r="P747" i="1"/>
  <c r="P746" i="1"/>
  <c r="W746" i="1" s="1"/>
  <c r="X746" i="1" s="1"/>
  <c r="P745" i="1"/>
  <c r="W745" i="1" s="1"/>
  <c r="X745" i="1" s="1"/>
  <c r="W744" i="1"/>
  <c r="X744" i="1" s="1"/>
  <c r="P744" i="1"/>
  <c r="P743" i="1"/>
  <c r="W743" i="1" s="1"/>
  <c r="X743" i="1" s="1"/>
  <c r="P742" i="1"/>
  <c r="W742" i="1" s="1"/>
  <c r="X742" i="1" s="1"/>
  <c r="P741" i="1"/>
  <c r="W741" i="1" s="1"/>
  <c r="X741" i="1" s="1"/>
  <c r="P740" i="1"/>
  <c r="W740" i="1" s="1"/>
  <c r="X740" i="1" s="1"/>
  <c r="P739" i="1"/>
  <c r="W739" i="1" s="1"/>
  <c r="X739" i="1" s="1"/>
  <c r="W738" i="1"/>
  <c r="X738" i="1" s="1"/>
  <c r="P738" i="1"/>
  <c r="P737" i="1"/>
  <c r="W737" i="1" s="1"/>
  <c r="X737" i="1" s="1"/>
  <c r="W736" i="1"/>
  <c r="X736" i="1" s="1"/>
  <c r="P736" i="1"/>
  <c r="P735" i="1"/>
  <c r="W735" i="1" s="1"/>
  <c r="X735" i="1" s="1"/>
  <c r="P734" i="1"/>
  <c r="W734" i="1" s="1"/>
  <c r="X734" i="1" s="1"/>
  <c r="P733" i="1"/>
  <c r="W733" i="1" s="1"/>
  <c r="X733" i="1" s="1"/>
  <c r="P732" i="1"/>
  <c r="W732" i="1" s="1"/>
  <c r="X732" i="1" s="1"/>
  <c r="P731" i="1"/>
  <c r="W731" i="1" s="1"/>
  <c r="X731" i="1" s="1"/>
  <c r="W730" i="1"/>
  <c r="X730" i="1" s="1"/>
  <c r="P730" i="1"/>
  <c r="P729" i="1"/>
  <c r="W729" i="1" s="1"/>
  <c r="X729" i="1" s="1"/>
  <c r="P728" i="1"/>
  <c r="W728" i="1" s="1"/>
  <c r="X728" i="1" s="1"/>
  <c r="P727" i="1"/>
  <c r="W727" i="1" s="1"/>
  <c r="X727" i="1" s="1"/>
  <c r="P726" i="1"/>
  <c r="W726" i="1" s="1"/>
  <c r="X726" i="1" s="1"/>
  <c r="P725" i="1"/>
  <c r="W725" i="1" s="1"/>
  <c r="X725" i="1" s="1"/>
  <c r="P724" i="1"/>
  <c r="W724" i="1" s="1"/>
  <c r="X724" i="1" s="1"/>
  <c r="W723" i="1"/>
  <c r="X723" i="1" s="1"/>
  <c r="P723" i="1"/>
  <c r="P722" i="1"/>
  <c r="W722" i="1" s="1"/>
  <c r="X722" i="1" s="1"/>
  <c r="P721" i="1"/>
  <c r="W721" i="1" s="1"/>
  <c r="X721" i="1" s="1"/>
  <c r="P720" i="1"/>
  <c r="W720" i="1" s="1"/>
  <c r="X720" i="1" s="1"/>
  <c r="P719" i="1"/>
  <c r="W719" i="1" s="1"/>
  <c r="X719" i="1" s="1"/>
  <c r="P718" i="1"/>
  <c r="W718" i="1" s="1"/>
  <c r="X718" i="1" s="1"/>
  <c r="P717" i="1"/>
  <c r="W717" i="1" s="1"/>
  <c r="X717" i="1" s="1"/>
  <c r="P716" i="1"/>
  <c r="W716" i="1" s="1"/>
  <c r="X716" i="1" s="1"/>
  <c r="W715" i="1"/>
  <c r="X715" i="1" s="1"/>
  <c r="P715" i="1"/>
  <c r="P714" i="1"/>
  <c r="W714" i="1" s="1"/>
  <c r="X714" i="1" s="1"/>
  <c r="P713" i="1"/>
  <c r="W713" i="1" s="1"/>
  <c r="X713" i="1" s="1"/>
  <c r="W712" i="1"/>
  <c r="X712" i="1" s="1"/>
  <c r="P712" i="1"/>
  <c r="P711" i="1"/>
  <c r="W711" i="1" s="1"/>
  <c r="X711" i="1" s="1"/>
  <c r="P710" i="1"/>
  <c r="W710" i="1" s="1"/>
  <c r="X710" i="1" s="1"/>
  <c r="P709" i="1"/>
  <c r="W709" i="1" s="1"/>
  <c r="X709" i="1" s="1"/>
  <c r="P708" i="1"/>
  <c r="W708" i="1" s="1"/>
  <c r="X708" i="1" s="1"/>
  <c r="P707" i="1"/>
  <c r="W707" i="1" s="1"/>
  <c r="X707" i="1" s="1"/>
  <c r="W706" i="1"/>
  <c r="X706" i="1" s="1"/>
  <c r="P706" i="1"/>
  <c r="P705" i="1"/>
  <c r="W705" i="1" s="1"/>
  <c r="X705" i="1" s="1"/>
  <c r="W704" i="1"/>
  <c r="X704" i="1" s="1"/>
  <c r="P704" i="1"/>
  <c r="P703" i="1"/>
  <c r="W703" i="1" s="1"/>
  <c r="X703" i="1" s="1"/>
  <c r="P702" i="1"/>
  <c r="W702" i="1" s="1"/>
  <c r="X702" i="1" s="1"/>
  <c r="P701" i="1"/>
  <c r="W701" i="1" s="1"/>
  <c r="X701" i="1" s="1"/>
  <c r="P700" i="1"/>
  <c r="W700" i="1" s="1"/>
  <c r="X700" i="1" s="1"/>
  <c r="P699" i="1"/>
  <c r="W699" i="1" s="1"/>
  <c r="X699" i="1" s="1"/>
  <c r="W698" i="1"/>
  <c r="X698" i="1" s="1"/>
  <c r="P698" i="1"/>
  <c r="P697" i="1"/>
  <c r="W697" i="1" s="1"/>
  <c r="X697" i="1" s="1"/>
  <c r="P696" i="1"/>
  <c r="W696" i="1" s="1"/>
  <c r="X696" i="1" s="1"/>
  <c r="P695" i="1"/>
  <c r="W695" i="1" s="1"/>
  <c r="X695" i="1" s="1"/>
  <c r="P694" i="1"/>
  <c r="W694" i="1" s="1"/>
  <c r="X694" i="1" s="1"/>
  <c r="P693" i="1"/>
  <c r="W693" i="1" s="1"/>
  <c r="X693" i="1" s="1"/>
  <c r="P692" i="1"/>
  <c r="W692" i="1" s="1"/>
  <c r="X692" i="1" s="1"/>
  <c r="W691" i="1"/>
  <c r="X691" i="1" s="1"/>
  <c r="P691" i="1"/>
  <c r="P690" i="1"/>
  <c r="W690" i="1" s="1"/>
  <c r="X690" i="1" s="1"/>
  <c r="P689" i="1"/>
  <c r="W689" i="1" s="1"/>
  <c r="X689" i="1" s="1"/>
  <c r="P688" i="1"/>
  <c r="W688" i="1" s="1"/>
  <c r="X688" i="1" s="1"/>
  <c r="P687" i="1"/>
  <c r="W687" i="1" s="1"/>
  <c r="X687" i="1" s="1"/>
  <c r="P686" i="1"/>
  <c r="W686" i="1" s="1"/>
  <c r="X686" i="1" s="1"/>
  <c r="P685" i="1"/>
  <c r="W685" i="1" s="1"/>
  <c r="X685" i="1" s="1"/>
  <c r="P684" i="1"/>
  <c r="W684" i="1" s="1"/>
  <c r="X684" i="1" s="1"/>
  <c r="W683" i="1"/>
  <c r="X683" i="1" s="1"/>
  <c r="P683" i="1"/>
  <c r="W682" i="1"/>
  <c r="X682" i="1" s="1"/>
  <c r="P682" i="1"/>
  <c r="P681" i="1"/>
  <c r="W681" i="1" s="1"/>
  <c r="X681" i="1" s="1"/>
  <c r="W680" i="1"/>
  <c r="X680" i="1" s="1"/>
  <c r="P680" i="1"/>
  <c r="P679" i="1"/>
  <c r="W679" i="1" s="1"/>
  <c r="X679" i="1" s="1"/>
  <c r="P678" i="1"/>
  <c r="W678" i="1" s="1"/>
  <c r="X678" i="1" s="1"/>
  <c r="P677" i="1"/>
  <c r="W677" i="1" s="1"/>
  <c r="X677" i="1" s="1"/>
  <c r="P676" i="1"/>
  <c r="W676" i="1" s="1"/>
  <c r="X676" i="1" s="1"/>
  <c r="P675" i="1"/>
  <c r="W675" i="1" s="1"/>
  <c r="X675" i="1" s="1"/>
  <c r="W674" i="1"/>
  <c r="X674" i="1" s="1"/>
  <c r="P674" i="1"/>
  <c r="P673" i="1"/>
  <c r="W673" i="1" s="1"/>
  <c r="X673" i="1" s="1"/>
  <c r="W672" i="1"/>
  <c r="X672" i="1" s="1"/>
  <c r="P672" i="1"/>
  <c r="P671" i="1"/>
  <c r="W671" i="1" s="1"/>
  <c r="X671" i="1" s="1"/>
  <c r="P670" i="1"/>
  <c r="W670" i="1" s="1"/>
  <c r="X670" i="1" s="1"/>
  <c r="P669" i="1"/>
  <c r="W669" i="1" s="1"/>
  <c r="X669" i="1" s="1"/>
  <c r="P668" i="1"/>
  <c r="W668" i="1" s="1"/>
  <c r="X668" i="1" s="1"/>
  <c r="P667" i="1"/>
  <c r="W667" i="1" s="1"/>
  <c r="X667" i="1" s="1"/>
  <c r="W666" i="1"/>
  <c r="X666" i="1" s="1"/>
  <c r="P666" i="1"/>
  <c r="P665" i="1"/>
  <c r="W665" i="1" s="1"/>
  <c r="X665" i="1" s="1"/>
  <c r="P664" i="1"/>
  <c r="W664" i="1" s="1"/>
  <c r="X664" i="1" s="1"/>
  <c r="P663" i="1"/>
  <c r="W663" i="1" s="1"/>
  <c r="X663" i="1" s="1"/>
  <c r="P662" i="1"/>
  <c r="W662" i="1" s="1"/>
  <c r="X662" i="1" s="1"/>
  <c r="P661" i="1"/>
  <c r="W661" i="1" s="1"/>
  <c r="X661" i="1" s="1"/>
  <c r="P660" i="1"/>
  <c r="W660" i="1" s="1"/>
  <c r="X660" i="1" s="1"/>
  <c r="W659" i="1"/>
  <c r="X659" i="1" s="1"/>
  <c r="P659" i="1"/>
  <c r="P658" i="1"/>
  <c r="W658" i="1" s="1"/>
  <c r="X658" i="1" s="1"/>
  <c r="P657" i="1"/>
  <c r="W657" i="1" s="1"/>
  <c r="X657" i="1" s="1"/>
  <c r="P656" i="1"/>
  <c r="W656" i="1" s="1"/>
  <c r="X656" i="1" s="1"/>
  <c r="P655" i="1"/>
  <c r="W655" i="1" s="1"/>
  <c r="X655" i="1" s="1"/>
  <c r="P654" i="1"/>
  <c r="W654" i="1" s="1"/>
  <c r="X654" i="1" s="1"/>
  <c r="P653" i="1"/>
  <c r="W653" i="1" s="1"/>
  <c r="X653" i="1" s="1"/>
  <c r="P652" i="1"/>
  <c r="W652" i="1" s="1"/>
  <c r="X652" i="1" s="1"/>
  <c r="W651" i="1"/>
  <c r="X651" i="1" s="1"/>
  <c r="P651" i="1"/>
  <c r="P650" i="1"/>
  <c r="W650" i="1" s="1"/>
  <c r="X650" i="1" s="1"/>
  <c r="P649" i="1"/>
  <c r="W649" i="1" s="1"/>
  <c r="X649" i="1" s="1"/>
  <c r="W648" i="1"/>
  <c r="X648" i="1" s="1"/>
  <c r="P648" i="1"/>
  <c r="P647" i="1"/>
  <c r="W647" i="1" s="1"/>
  <c r="X647" i="1" s="1"/>
  <c r="P646" i="1"/>
  <c r="W646" i="1" s="1"/>
  <c r="X646" i="1" s="1"/>
  <c r="P645" i="1"/>
  <c r="W645" i="1" s="1"/>
  <c r="X645" i="1" s="1"/>
  <c r="P644" i="1"/>
  <c r="W644" i="1" s="1"/>
  <c r="X644" i="1" s="1"/>
  <c r="P643" i="1"/>
  <c r="W643" i="1" s="1"/>
  <c r="X643" i="1" s="1"/>
  <c r="W642" i="1"/>
  <c r="X642" i="1" s="1"/>
  <c r="P642" i="1"/>
  <c r="P641" i="1"/>
  <c r="W641" i="1" s="1"/>
  <c r="X641" i="1" s="1"/>
  <c r="W640" i="1"/>
  <c r="X640" i="1" s="1"/>
  <c r="P640" i="1"/>
  <c r="P639" i="1"/>
  <c r="W639" i="1" s="1"/>
  <c r="X639" i="1" s="1"/>
  <c r="P638" i="1"/>
  <c r="W638" i="1" s="1"/>
  <c r="X638" i="1" s="1"/>
  <c r="P637" i="1"/>
  <c r="W637" i="1" s="1"/>
  <c r="X637" i="1" s="1"/>
  <c r="P636" i="1"/>
  <c r="W636" i="1" s="1"/>
  <c r="X636" i="1" s="1"/>
  <c r="P635" i="1"/>
  <c r="W635" i="1" s="1"/>
  <c r="X635" i="1" s="1"/>
  <c r="W634" i="1"/>
  <c r="X634" i="1" s="1"/>
  <c r="P634" i="1"/>
  <c r="P633" i="1"/>
  <c r="W633" i="1" s="1"/>
  <c r="X633" i="1" s="1"/>
  <c r="P632" i="1"/>
  <c r="W632" i="1" s="1"/>
  <c r="X632" i="1" s="1"/>
  <c r="P631" i="1"/>
  <c r="W631" i="1" s="1"/>
  <c r="X631" i="1" s="1"/>
  <c r="P630" i="1"/>
  <c r="W630" i="1" s="1"/>
  <c r="X630" i="1" s="1"/>
  <c r="P629" i="1"/>
  <c r="W629" i="1" s="1"/>
  <c r="X629" i="1" s="1"/>
  <c r="P628" i="1"/>
  <c r="W628" i="1" s="1"/>
  <c r="X628" i="1" s="1"/>
  <c r="W627" i="1"/>
  <c r="X627" i="1" s="1"/>
  <c r="P627" i="1"/>
  <c r="P626" i="1"/>
  <c r="W626" i="1" s="1"/>
  <c r="X626" i="1" s="1"/>
  <c r="P625" i="1"/>
  <c r="W625" i="1" s="1"/>
  <c r="X625" i="1" s="1"/>
  <c r="W624" i="1"/>
  <c r="X624" i="1" s="1"/>
  <c r="P624" i="1"/>
  <c r="P623" i="1"/>
  <c r="W623" i="1" s="1"/>
  <c r="X623" i="1" s="1"/>
  <c r="P622" i="1"/>
  <c r="W622" i="1" s="1"/>
  <c r="X622" i="1" s="1"/>
  <c r="P621" i="1"/>
  <c r="W621" i="1" s="1"/>
  <c r="X621" i="1" s="1"/>
  <c r="P620" i="1"/>
  <c r="W620" i="1" s="1"/>
  <c r="X620" i="1" s="1"/>
  <c r="W619" i="1"/>
  <c r="X619" i="1" s="1"/>
  <c r="P619" i="1"/>
  <c r="W618" i="1"/>
  <c r="X618" i="1" s="1"/>
  <c r="P618" i="1"/>
  <c r="P617" i="1"/>
  <c r="W617" i="1" s="1"/>
  <c r="X617" i="1" s="1"/>
  <c r="W616" i="1"/>
  <c r="X616" i="1" s="1"/>
  <c r="P616" i="1"/>
  <c r="P615" i="1"/>
  <c r="W615" i="1" s="1"/>
  <c r="X615" i="1" s="1"/>
  <c r="P614" i="1"/>
  <c r="W614" i="1" s="1"/>
  <c r="X614" i="1" s="1"/>
  <c r="P613" i="1"/>
  <c r="W613" i="1" s="1"/>
  <c r="X613" i="1" s="1"/>
  <c r="P612" i="1"/>
  <c r="W612" i="1" s="1"/>
  <c r="X612" i="1" s="1"/>
  <c r="P611" i="1"/>
  <c r="W611" i="1" s="1"/>
  <c r="X611" i="1" s="1"/>
  <c r="W610" i="1"/>
  <c r="X610" i="1" s="1"/>
  <c r="P610" i="1"/>
  <c r="P609" i="1"/>
  <c r="W609" i="1" s="1"/>
  <c r="X609" i="1" s="1"/>
  <c r="W608" i="1"/>
  <c r="X608" i="1" s="1"/>
  <c r="P608" i="1"/>
  <c r="P607" i="1"/>
  <c r="W607" i="1" s="1"/>
  <c r="X607" i="1" s="1"/>
  <c r="P606" i="1"/>
  <c r="W606" i="1" s="1"/>
  <c r="X606" i="1" s="1"/>
  <c r="P605" i="1"/>
  <c r="W605" i="1" s="1"/>
  <c r="X605" i="1" s="1"/>
  <c r="P604" i="1"/>
  <c r="W604" i="1" s="1"/>
  <c r="X604" i="1" s="1"/>
  <c r="P603" i="1"/>
  <c r="W603" i="1" s="1"/>
  <c r="X603" i="1" s="1"/>
  <c r="W602" i="1"/>
  <c r="X602" i="1" s="1"/>
  <c r="P602" i="1"/>
  <c r="P601" i="1"/>
  <c r="W601" i="1" s="1"/>
  <c r="X601" i="1" s="1"/>
  <c r="P600" i="1"/>
  <c r="W600" i="1" s="1"/>
  <c r="X600" i="1" s="1"/>
  <c r="P599" i="1"/>
  <c r="W599" i="1" s="1"/>
  <c r="X599" i="1" s="1"/>
  <c r="P598" i="1"/>
  <c r="W598" i="1" s="1"/>
  <c r="X598" i="1" s="1"/>
  <c r="P597" i="1"/>
  <c r="W597" i="1" s="1"/>
  <c r="X597" i="1" s="1"/>
  <c r="P596" i="1"/>
  <c r="W596" i="1" s="1"/>
  <c r="X596" i="1" s="1"/>
  <c r="W595" i="1"/>
  <c r="X595" i="1" s="1"/>
  <c r="P595" i="1"/>
  <c r="P594" i="1"/>
  <c r="W594" i="1" s="1"/>
  <c r="X594" i="1" s="1"/>
  <c r="P593" i="1"/>
  <c r="W593" i="1" s="1"/>
  <c r="X593" i="1" s="1"/>
  <c r="P592" i="1"/>
  <c r="W592" i="1" s="1"/>
  <c r="X592" i="1" s="1"/>
  <c r="P591" i="1"/>
  <c r="W591" i="1" s="1"/>
  <c r="X591" i="1" s="1"/>
  <c r="P590" i="1"/>
  <c r="W590" i="1" s="1"/>
  <c r="X590" i="1" s="1"/>
  <c r="P589" i="1"/>
  <c r="W589" i="1" s="1"/>
  <c r="X589" i="1" s="1"/>
  <c r="P588" i="1"/>
  <c r="W588" i="1" s="1"/>
  <c r="X588" i="1" s="1"/>
  <c r="W587" i="1"/>
  <c r="X587" i="1" s="1"/>
  <c r="P587" i="1"/>
  <c r="P586" i="1"/>
  <c r="W586" i="1" s="1"/>
  <c r="X586" i="1" s="1"/>
  <c r="P585" i="1"/>
  <c r="W585" i="1" s="1"/>
  <c r="X585" i="1" s="1"/>
  <c r="W584" i="1"/>
  <c r="X584" i="1" s="1"/>
  <c r="P584" i="1"/>
  <c r="P583" i="1"/>
  <c r="W583" i="1" s="1"/>
  <c r="X583" i="1" s="1"/>
  <c r="P582" i="1"/>
  <c r="W582" i="1" s="1"/>
  <c r="X582" i="1" s="1"/>
  <c r="P581" i="1"/>
  <c r="W581" i="1" s="1"/>
  <c r="X581" i="1" s="1"/>
  <c r="P580" i="1"/>
  <c r="W580" i="1" s="1"/>
  <c r="X580" i="1" s="1"/>
  <c r="P579" i="1"/>
  <c r="W579" i="1" s="1"/>
  <c r="X579" i="1" s="1"/>
  <c r="W578" i="1"/>
  <c r="X578" i="1" s="1"/>
  <c r="P578" i="1"/>
  <c r="P577" i="1"/>
  <c r="W577" i="1" s="1"/>
  <c r="X577" i="1" s="1"/>
  <c r="W576" i="1"/>
  <c r="X576" i="1" s="1"/>
  <c r="P576" i="1"/>
  <c r="P575" i="1"/>
  <c r="W575" i="1" s="1"/>
  <c r="X575" i="1" s="1"/>
  <c r="P574" i="1"/>
  <c r="W574" i="1" s="1"/>
  <c r="X574" i="1" s="1"/>
  <c r="P573" i="1"/>
  <c r="W573" i="1" s="1"/>
  <c r="X573" i="1" s="1"/>
  <c r="P572" i="1"/>
  <c r="W572" i="1" s="1"/>
  <c r="X572" i="1" s="1"/>
  <c r="W571" i="1"/>
  <c r="X571" i="1" s="1"/>
  <c r="P571" i="1"/>
  <c r="W570" i="1"/>
  <c r="X570" i="1" s="1"/>
  <c r="P570" i="1"/>
  <c r="P569" i="1"/>
  <c r="W569" i="1" s="1"/>
  <c r="X569" i="1" s="1"/>
  <c r="P568" i="1"/>
  <c r="W568" i="1" s="1"/>
  <c r="X568" i="1" s="1"/>
  <c r="P567" i="1"/>
  <c r="W567" i="1" s="1"/>
  <c r="X567" i="1" s="1"/>
  <c r="P566" i="1"/>
  <c r="W566" i="1" s="1"/>
  <c r="X566" i="1" s="1"/>
  <c r="P565" i="1"/>
  <c r="W565" i="1" s="1"/>
  <c r="X565" i="1" s="1"/>
  <c r="P564" i="1"/>
  <c r="W564" i="1" s="1"/>
  <c r="X564" i="1" s="1"/>
  <c r="W563" i="1"/>
  <c r="X563" i="1" s="1"/>
  <c r="P563" i="1"/>
  <c r="P562" i="1"/>
  <c r="W562" i="1" s="1"/>
  <c r="X562" i="1" s="1"/>
  <c r="P561" i="1"/>
  <c r="W561" i="1" s="1"/>
  <c r="X561" i="1" s="1"/>
  <c r="W560" i="1"/>
  <c r="X560" i="1" s="1"/>
  <c r="P560" i="1"/>
  <c r="P559" i="1"/>
  <c r="W559" i="1" s="1"/>
  <c r="X559" i="1" s="1"/>
  <c r="P558" i="1"/>
  <c r="W558" i="1" s="1"/>
  <c r="X558" i="1" s="1"/>
  <c r="P557" i="1"/>
  <c r="W557" i="1" s="1"/>
  <c r="X557" i="1" s="1"/>
  <c r="P556" i="1"/>
  <c r="W556" i="1" s="1"/>
  <c r="X556" i="1" s="1"/>
  <c r="W555" i="1"/>
  <c r="X555" i="1" s="1"/>
  <c r="P555" i="1"/>
  <c r="W554" i="1"/>
  <c r="X554" i="1" s="1"/>
  <c r="P554" i="1"/>
  <c r="P553" i="1"/>
  <c r="W553" i="1" s="1"/>
  <c r="X553" i="1" s="1"/>
  <c r="W552" i="1"/>
  <c r="X552" i="1" s="1"/>
  <c r="P552" i="1"/>
  <c r="P551" i="1"/>
  <c r="W551" i="1" s="1"/>
  <c r="X551" i="1" s="1"/>
  <c r="P550" i="1"/>
  <c r="W550" i="1" s="1"/>
  <c r="X550" i="1" s="1"/>
  <c r="P549" i="1"/>
  <c r="W549" i="1" s="1"/>
  <c r="X549" i="1" s="1"/>
  <c r="P548" i="1"/>
  <c r="W548" i="1" s="1"/>
  <c r="X548" i="1" s="1"/>
  <c r="P547" i="1"/>
  <c r="W547" i="1" s="1"/>
  <c r="X547" i="1" s="1"/>
  <c r="W546" i="1"/>
  <c r="X546" i="1" s="1"/>
  <c r="P546" i="1"/>
  <c r="P545" i="1"/>
  <c r="W545" i="1" s="1"/>
  <c r="X545" i="1" s="1"/>
  <c r="P544" i="1"/>
  <c r="W544" i="1" s="1"/>
  <c r="X544" i="1" s="1"/>
  <c r="P543" i="1"/>
  <c r="W543" i="1" s="1"/>
  <c r="X543" i="1" s="1"/>
  <c r="P542" i="1"/>
  <c r="W542" i="1" s="1"/>
  <c r="X542" i="1" s="1"/>
  <c r="P541" i="1"/>
  <c r="W541" i="1" s="1"/>
  <c r="X541" i="1" s="1"/>
  <c r="P540" i="1"/>
  <c r="W540" i="1" s="1"/>
  <c r="X540" i="1" s="1"/>
  <c r="P539" i="1"/>
  <c r="W539" i="1" s="1"/>
  <c r="X539" i="1" s="1"/>
  <c r="W538" i="1"/>
  <c r="X538" i="1" s="1"/>
  <c r="P538" i="1"/>
  <c r="P537" i="1"/>
  <c r="W537" i="1" s="1"/>
  <c r="X537" i="1" s="1"/>
  <c r="P536" i="1"/>
  <c r="W536" i="1" s="1"/>
  <c r="X536" i="1" s="1"/>
  <c r="P535" i="1"/>
  <c r="W535" i="1" s="1"/>
  <c r="X535" i="1" s="1"/>
  <c r="P534" i="1"/>
  <c r="W534" i="1" s="1"/>
  <c r="X534" i="1" s="1"/>
  <c r="P533" i="1"/>
  <c r="W533" i="1" s="1"/>
  <c r="X533" i="1" s="1"/>
  <c r="P532" i="1"/>
  <c r="W532" i="1" s="1"/>
  <c r="X532" i="1" s="1"/>
  <c r="P531" i="1"/>
  <c r="W531" i="1" s="1"/>
  <c r="X531" i="1" s="1"/>
  <c r="P530" i="1"/>
  <c r="W530" i="1" s="1"/>
  <c r="X530" i="1" s="1"/>
  <c r="P529" i="1"/>
  <c r="W529" i="1" s="1"/>
  <c r="X529" i="1" s="1"/>
  <c r="P528" i="1"/>
  <c r="W528" i="1" s="1"/>
  <c r="X528" i="1" s="1"/>
  <c r="P527" i="1"/>
  <c r="W527" i="1" s="1"/>
  <c r="X527" i="1" s="1"/>
  <c r="P526" i="1"/>
  <c r="W526" i="1" s="1"/>
  <c r="X526" i="1" s="1"/>
  <c r="P525" i="1"/>
  <c r="W525" i="1" s="1"/>
  <c r="X525" i="1" s="1"/>
  <c r="P524" i="1"/>
  <c r="W524" i="1" s="1"/>
  <c r="X524" i="1" s="1"/>
  <c r="P523" i="1"/>
  <c r="W523" i="1" s="1"/>
  <c r="X523" i="1" s="1"/>
  <c r="P522" i="1"/>
  <c r="W522" i="1" s="1"/>
  <c r="X522" i="1" s="1"/>
  <c r="P521" i="1"/>
  <c r="W521" i="1" s="1"/>
  <c r="X521" i="1" s="1"/>
  <c r="P520" i="1"/>
  <c r="W520" i="1" s="1"/>
  <c r="X520" i="1" s="1"/>
  <c r="P519" i="1"/>
  <c r="W519" i="1" s="1"/>
  <c r="X519" i="1" s="1"/>
  <c r="P518" i="1"/>
  <c r="W518" i="1" s="1"/>
  <c r="X518" i="1" s="1"/>
  <c r="P517" i="1"/>
  <c r="W517" i="1" s="1"/>
  <c r="X517" i="1" s="1"/>
  <c r="P516" i="1"/>
  <c r="W516" i="1" s="1"/>
  <c r="X516" i="1" s="1"/>
  <c r="P515" i="1"/>
  <c r="W515" i="1" s="1"/>
  <c r="X515" i="1" s="1"/>
  <c r="W514" i="1"/>
  <c r="X514" i="1" s="1"/>
  <c r="P514" i="1"/>
  <c r="P513" i="1"/>
  <c r="W513" i="1" s="1"/>
  <c r="X513" i="1" s="1"/>
  <c r="P512" i="1"/>
  <c r="W512" i="1" s="1"/>
  <c r="X512" i="1" s="1"/>
  <c r="P511" i="1"/>
  <c r="W511" i="1" s="1"/>
  <c r="X511" i="1" s="1"/>
  <c r="P510" i="1"/>
  <c r="W510" i="1" s="1"/>
  <c r="X510" i="1" s="1"/>
  <c r="P509" i="1"/>
  <c r="W509" i="1" s="1"/>
  <c r="X509" i="1" s="1"/>
  <c r="P508" i="1"/>
  <c r="W508" i="1" s="1"/>
  <c r="X508" i="1" s="1"/>
  <c r="P507" i="1"/>
  <c r="W507" i="1" s="1"/>
  <c r="X507" i="1" s="1"/>
  <c r="W506" i="1"/>
  <c r="X506" i="1" s="1"/>
  <c r="P506" i="1"/>
  <c r="P505" i="1"/>
  <c r="W505" i="1" s="1"/>
  <c r="X505" i="1" s="1"/>
  <c r="P504" i="1"/>
  <c r="W504" i="1" s="1"/>
  <c r="X504" i="1" s="1"/>
  <c r="P503" i="1"/>
  <c r="W503" i="1" s="1"/>
  <c r="X503" i="1" s="1"/>
  <c r="P502" i="1"/>
  <c r="W502" i="1" s="1"/>
  <c r="X502" i="1" s="1"/>
  <c r="P501" i="1"/>
  <c r="W501" i="1" s="1"/>
  <c r="X501" i="1" s="1"/>
  <c r="P500" i="1"/>
  <c r="W500" i="1" s="1"/>
  <c r="X500" i="1" s="1"/>
  <c r="P499" i="1"/>
  <c r="W499" i="1" s="1"/>
  <c r="X499" i="1" s="1"/>
  <c r="W498" i="1"/>
  <c r="X498" i="1" s="1"/>
  <c r="P498" i="1"/>
  <c r="P497" i="1"/>
  <c r="W497" i="1" s="1"/>
  <c r="X497" i="1" s="1"/>
  <c r="P496" i="1"/>
  <c r="W496" i="1" s="1"/>
  <c r="X496" i="1" s="1"/>
  <c r="P495" i="1"/>
  <c r="W495" i="1" s="1"/>
  <c r="X495" i="1" s="1"/>
  <c r="P494" i="1"/>
  <c r="W494" i="1" s="1"/>
  <c r="X494" i="1" s="1"/>
  <c r="P493" i="1"/>
  <c r="W493" i="1" s="1"/>
  <c r="X493" i="1" s="1"/>
  <c r="P492" i="1"/>
  <c r="W492" i="1" s="1"/>
  <c r="X492" i="1" s="1"/>
  <c r="P491" i="1"/>
  <c r="W491" i="1" s="1"/>
  <c r="X491" i="1" s="1"/>
  <c r="P490" i="1"/>
  <c r="W490" i="1" s="1"/>
  <c r="X490" i="1" s="1"/>
  <c r="P489" i="1"/>
  <c r="W489" i="1" s="1"/>
  <c r="X489" i="1" s="1"/>
  <c r="P488" i="1"/>
  <c r="W488" i="1" s="1"/>
  <c r="X488" i="1" s="1"/>
  <c r="P487" i="1"/>
  <c r="W487" i="1" s="1"/>
  <c r="X487" i="1" s="1"/>
  <c r="P486" i="1"/>
  <c r="W486" i="1" s="1"/>
  <c r="X486" i="1" s="1"/>
  <c r="P485" i="1"/>
  <c r="W485" i="1" s="1"/>
  <c r="X485" i="1" s="1"/>
  <c r="P484" i="1"/>
  <c r="W484" i="1" s="1"/>
  <c r="X484" i="1" s="1"/>
  <c r="P483" i="1"/>
  <c r="W483" i="1" s="1"/>
  <c r="X483" i="1" s="1"/>
  <c r="W482" i="1"/>
  <c r="X482" i="1" s="1"/>
  <c r="P482" i="1"/>
  <c r="P481" i="1"/>
  <c r="W481" i="1" s="1"/>
  <c r="X481" i="1" s="1"/>
  <c r="P480" i="1"/>
  <c r="W480" i="1" s="1"/>
  <c r="X480" i="1" s="1"/>
  <c r="P479" i="1"/>
  <c r="W479" i="1" s="1"/>
  <c r="X479" i="1" s="1"/>
  <c r="P478" i="1"/>
  <c r="W478" i="1" s="1"/>
  <c r="X478" i="1" s="1"/>
  <c r="P477" i="1"/>
  <c r="W477" i="1" s="1"/>
  <c r="X477" i="1" s="1"/>
  <c r="P476" i="1"/>
  <c r="W476" i="1" s="1"/>
  <c r="X476" i="1" s="1"/>
  <c r="W475" i="1"/>
  <c r="X475" i="1" s="1"/>
  <c r="P475" i="1"/>
  <c r="P474" i="1"/>
  <c r="W474" i="1" s="1"/>
  <c r="X474" i="1" s="1"/>
  <c r="P473" i="1"/>
  <c r="W473" i="1" s="1"/>
  <c r="X473" i="1" s="1"/>
  <c r="P472" i="1"/>
  <c r="W472" i="1" s="1"/>
  <c r="X472" i="1" s="1"/>
  <c r="P471" i="1"/>
  <c r="W471" i="1" s="1"/>
  <c r="X471" i="1" s="1"/>
  <c r="P470" i="1"/>
  <c r="W470" i="1" s="1"/>
  <c r="X470" i="1" s="1"/>
  <c r="P469" i="1"/>
  <c r="W469" i="1" s="1"/>
  <c r="X469" i="1" s="1"/>
  <c r="P468" i="1"/>
  <c r="W468" i="1" s="1"/>
  <c r="X468" i="1" s="1"/>
  <c r="P467" i="1"/>
  <c r="W467" i="1" s="1"/>
  <c r="X467" i="1" s="1"/>
  <c r="W466" i="1"/>
  <c r="X466" i="1" s="1"/>
  <c r="P466" i="1"/>
  <c r="P465" i="1"/>
  <c r="W465" i="1" s="1"/>
  <c r="X465" i="1" s="1"/>
  <c r="P464" i="1"/>
  <c r="W464" i="1" s="1"/>
  <c r="X464" i="1" s="1"/>
  <c r="P463" i="1"/>
  <c r="W463" i="1" s="1"/>
  <c r="X463" i="1" s="1"/>
  <c r="P462" i="1"/>
  <c r="W462" i="1" s="1"/>
  <c r="X462" i="1" s="1"/>
  <c r="P461" i="1"/>
  <c r="W461" i="1" s="1"/>
  <c r="X461" i="1" s="1"/>
  <c r="P460" i="1"/>
  <c r="W460" i="1" s="1"/>
  <c r="X460" i="1" s="1"/>
  <c r="W459" i="1"/>
  <c r="X459" i="1" s="1"/>
  <c r="P459" i="1"/>
  <c r="P458" i="1"/>
  <c r="W458" i="1" s="1"/>
  <c r="X458" i="1" s="1"/>
  <c r="P457" i="1"/>
  <c r="W457" i="1" s="1"/>
  <c r="X457" i="1" s="1"/>
  <c r="P456" i="1"/>
  <c r="W456" i="1" s="1"/>
  <c r="X456" i="1" s="1"/>
  <c r="P455" i="1"/>
  <c r="W455" i="1" s="1"/>
  <c r="X455" i="1" s="1"/>
  <c r="P454" i="1"/>
  <c r="W454" i="1" s="1"/>
  <c r="X454" i="1" s="1"/>
  <c r="P453" i="1"/>
  <c r="W453" i="1" s="1"/>
  <c r="X453" i="1" s="1"/>
  <c r="P452" i="1"/>
  <c r="W452" i="1" s="1"/>
  <c r="X452" i="1" s="1"/>
  <c r="P451" i="1"/>
  <c r="W451" i="1" s="1"/>
  <c r="X451" i="1" s="1"/>
  <c r="W450" i="1"/>
  <c r="X450" i="1" s="1"/>
  <c r="P450" i="1"/>
  <c r="P449" i="1"/>
  <c r="W449" i="1" s="1"/>
  <c r="X449" i="1" s="1"/>
  <c r="P448" i="1"/>
  <c r="W448" i="1" s="1"/>
  <c r="X448" i="1" s="1"/>
  <c r="P447" i="1"/>
  <c r="W447" i="1" s="1"/>
  <c r="X447" i="1" s="1"/>
  <c r="P446" i="1"/>
  <c r="W446" i="1" s="1"/>
  <c r="X446" i="1" s="1"/>
  <c r="P445" i="1"/>
  <c r="W445" i="1" s="1"/>
  <c r="X445" i="1" s="1"/>
  <c r="P444" i="1"/>
  <c r="W444" i="1" s="1"/>
  <c r="X444" i="1" s="1"/>
  <c r="W443" i="1"/>
  <c r="X443" i="1" s="1"/>
  <c r="P443" i="1"/>
  <c r="P442" i="1"/>
  <c r="W442" i="1" s="1"/>
  <c r="X442" i="1" s="1"/>
  <c r="P441" i="1"/>
  <c r="W441" i="1" s="1"/>
  <c r="X441" i="1" s="1"/>
  <c r="W440" i="1"/>
  <c r="X440" i="1" s="1"/>
  <c r="P440" i="1"/>
  <c r="P439" i="1"/>
  <c r="W439" i="1" s="1"/>
  <c r="X439" i="1" s="1"/>
  <c r="P438" i="1"/>
  <c r="W438" i="1" s="1"/>
  <c r="X438" i="1" s="1"/>
  <c r="P437" i="1"/>
  <c r="W437" i="1" s="1"/>
  <c r="X437" i="1" s="1"/>
  <c r="P436" i="1"/>
  <c r="W436" i="1" s="1"/>
  <c r="X436" i="1" s="1"/>
  <c r="W435" i="1"/>
  <c r="X435" i="1" s="1"/>
  <c r="P435" i="1"/>
  <c r="W434" i="1"/>
  <c r="X434" i="1" s="1"/>
  <c r="P434" i="1"/>
  <c r="P433" i="1"/>
  <c r="W433" i="1" s="1"/>
  <c r="X433" i="1" s="1"/>
  <c r="W432" i="1"/>
  <c r="X432" i="1" s="1"/>
  <c r="P432" i="1"/>
  <c r="P431" i="1"/>
  <c r="W431" i="1" s="1"/>
  <c r="X431" i="1" s="1"/>
  <c r="P430" i="1"/>
  <c r="W430" i="1" s="1"/>
  <c r="X430" i="1" s="1"/>
  <c r="P429" i="1"/>
  <c r="W429" i="1" s="1"/>
  <c r="X429" i="1" s="1"/>
  <c r="P428" i="1"/>
  <c r="W428" i="1" s="1"/>
  <c r="X428" i="1" s="1"/>
  <c r="P427" i="1"/>
  <c r="W427" i="1" s="1"/>
  <c r="X427" i="1" s="1"/>
  <c r="W426" i="1"/>
  <c r="X426" i="1" s="1"/>
  <c r="P426" i="1"/>
  <c r="P425" i="1"/>
  <c r="W425" i="1" s="1"/>
  <c r="X425" i="1" s="1"/>
  <c r="W424" i="1"/>
  <c r="X424" i="1" s="1"/>
  <c r="P424" i="1"/>
  <c r="P423" i="1"/>
  <c r="W423" i="1" s="1"/>
  <c r="X423" i="1" s="1"/>
  <c r="P422" i="1"/>
  <c r="W422" i="1" s="1"/>
  <c r="X422" i="1" s="1"/>
  <c r="P421" i="1"/>
  <c r="W421" i="1" s="1"/>
  <c r="X421" i="1" s="1"/>
  <c r="P420" i="1"/>
  <c r="W420" i="1" s="1"/>
  <c r="X420" i="1" s="1"/>
  <c r="P419" i="1"/>
  <c r="W419" i="1" s="1"/>
  <c r="X419" i="1" s="1"/>
  <c r="W418" i="1"/>
  <c r="X418" i="1" s="1"/>
  <c r="P418" i="1"/>
  <c r="P417" i="1"/>
  <c r="W417" i="1" s="1"/>
  <c r="X417" i="1" s="1"/>
  <c r="P416" i="1"/>
  <c r="W416" i="1" s="1"/>
  <c r="X416" i="1" s="1"/>
  <c r="P415" i="1"/>
  <c r="W415" i="1" s="1"/>
  <c r="X415" i="1" s="1"/>
  <c r="P414" i="1"/>
  <c r="W414" i="1" s="1"/>
  <c r="X414" i="1" s="1"/>
  <c r="P413" i="1"/>
  <c r="W413" i="1" s="1"/>
  <c r="X413" i="1" s="1"/>
  <c r="P412" i="1"/>
  <c r="W412" i="1" s="1"/>
  <c r="X412" i="1" s="1"/>
  <c r="W411" i="1"/>
  <c r="X411" i="1" s="1"/>
  <c r="P411" i="1"/>
  <c r="P410" i="1"/>
  <c r="W410" i="1" s="1"/>
  <c r="X410" i="1" s="1"/>
  <c r="P409" i="1"/>
  <c r="W409" i="1" s="1"/>
  <c r="X409" i="1" s="1"/>
  <c r="P408" i="1"/>
  <c r="W408" i="1" s="1"/>
  <c r="X408" i="1" s="1"/>
  <c r="P407" i="1"/>
  <c r="W407" i="1" s="1"/>
  <c r="X407" i="1" s="1"/>
  <c r="P406" i="1"/>
  <c r="W406" i="1" s="1"/>
  <c r="X406" i="1" s="1"/>
  <c r="P405" i="1"/>
  <c r="W405" i="1" s="1"/>
  <c r="X405" i="1" s="1"/>
  <c r="P404" i="1"/>
  <c r="W404" i="1" s="1"/>
  <c r="X404" i="1" s="1"/>
  <c r="W403" i="1"/>
  <c r="X403" i="1" s="1"/>
  <c r="P403" i="1"/>
  <c r="P402" i="1"/>
  <c r="W402" i="1" s="1"/>
  <c r="X402" i="1" s="1"/>
  <c r="P401" i="1"/>
  <c r="W401" i="1" s="1"/>
  <c r="X401" i="1" s="1"/>
  <c r="W400" i="1"/>
  <c r="X400" i="1" s="1"/>
  <c r="P400" i="1"/>
  <c r="P399" i="1"/>
  <c r="W399" i="1" s="1"/>
  <c r="X399" i="1" s="1"/>
  <c r="P398" i="1"/>
  <c r="W398" i="1" s="1"/>
  <c r="X398" i="1" s="1"/>
  <c r="P397" i="1"/>
  <c r="W397" i="1" s="1"/>
  <c r="X397" i="1" s="1"/>
  <c r="P396" i="1"/>
  <c r="W396" i="1" s="1"/>
  <c r="X396" i="1" s="1"/>
  <c r="P395" i="1"/>
  <c r="W395" i="1" s="1"/>
  <c r="X395" i="1" s="1"/>
  <c r="W394" i="1"/>
  <c r="X394" i="1" s="1"/>
  <c r="P394" i="1"/>
  <c r="P393" i="1"/>
  <c r="W393" i="1" s="1"/>
  <c r="X393" i="1" s="1"/>
  <c r="W392" i="1"/>
  <c r="X392" i="1" s="1"/>
  <c r="P392" i="1"/>
  <c r="P391" i="1"/>
  <c r="W391" i="1" s="1"/>
  <c r="X391" i="1" s="1"/>
  <c r="P390" i="1"/>
  <c r="W390" i="1" s="1"/>
  <c r="X390" i="1" s="1"/>
  <c r="P389" i="1"/>
  <c r="W389" i="1" s="1"/>
  <c r="X389" i="1" s="1"/>
  <c r="P388" i="1"/>
  <c r="W388" i="1" s="1"/>
  <c r="X388" i="1" s="1"/>
  <c r="W387" i="1"/>
  <c r="X387" i="1" s="1"/>
  <c r="P387" i="1"/>
  <c r="W386" i="1"/>
  <c r="X386" i="1" s="1"/>
  <c r="P386" i="1"/>
  <c r="P385" i="1"/>
  <c r="W385" i="1" s="1"/>
  <c r="X385" i="1" s="1"/>
  <c r="P384" i="1"/>
  <c r="W384" i="1" s="1"/>
  <c r="X384" i="1" s="1"/>
  <c r="P383" i="1"/>
  <c r="W383" i="1" s="1"/>
  <c r="X383" i="1" s="1"/>
  <c r="P382" i="1"/>
  <c r="W382" i="1" s="1"/>
  <c r="X382" i="1" s="1"/>
  <c r="P381" i="1"/>
  <c r="W381" i="1" s="1"/>
  <c r="X381" i="1" s="1"/>
  <c r="P380" i="1"/>
  <c r="W380" i="1" s="1"/>
  <c r="X380" i="1" s="1"/>
  <c r="P379" i="1"/>
  <c r="W379" i="1" s="1"/>
  <c r="X379" i="1" s="1"/>
  <c r="P378" i="1"/>
  <c r="W378" i="1" s="1"/>
  <c r="X378" i="1" s="1"/>
  <c r="P377" i="1"/>
  <c r="W377" i="1" s="1"/>
  <c r="X377" i="1" s="1"/>
  <c r="W376" i="1"/>
  <c r="X376" i="1" s="1"/>
  <c r="P376" i="1"/>
  <c r="P375" i="1"/>
  <c r="W375" i="1" s="1"/>
  <c r="X375" i="1" s="1"/>
  <c r="P374" i="1"/>
  <c r="W374" i="1" s="1"/>
  <c r="X374" i="1" s="1"/>
  <c r="P373" i="1"/>
  <c r="W373" i="1" s="1"/>
  <c r="X373" i="1" s="1"/>
  <c r="P372" i="1"/>
  <c r="W372" i="1" s="1"/>
  <c r="X372" i="1" s="1"/>
  <c r="W371" i="1"/>
  <c r="X371" i="1" s="1"/>
  <c r="P371" i="1"/>
  <c r="W370" i="1"/>
  <c r="X370" i="1" s="1"/>
  <c r="P370" i="1"/>
  <c r="P369" i="1"/>
  <c r="W369" i="1" s="1"/>
  <c r="X369" i="1" s="1"/>
  <c r="P368" i="1"/>
  <c r="W368" i="1" s="1"/>
  <c r="X368" i="1" s="1"/>
  <c r="P367" i="1"/>
  <c r="W367" i="1" s="1"/>
  <c r="X367" i="1" s="1"/>
  <c r="P366" i="1"/>
  <c r="W366" i="1" s="1"/>
  <c r="X366" i="1" s="1"/>
  <c r="P365" i="1"/>
  <c r="W365" i="1" s="1"/>
  <c r="X365" i="1" s="1"/>
  <c r="P364" i="1"/>
  <c r="W364" i="1" s="1"/>
  <c r="X364" i="1" s="1"/>
  <c r="P363" i="1"/>
  <c r="W363" i="1" s="1"/>
  <c r="X363" i="1" s="1"/>
  <c r="W362" i="1"/>
  <c r="X362" i="1" s="1"/>
  <c r="P362" i="1"/>
  <c r="P361" i="1"/>
  <c r="W361" i="1" s="1"/>
  <c r="X361" i="1" s="1"/>
  <c r="W360" i="1"/>
  <c r="X360" i="1" s="1"/>
  <c r="P360" i="1"/>
  <c r="P359" i="1"/>
  <c r="W359" i="1" s="1"/>
  <c r="X359" i="1" s="1"/>
  <c r="P358" i="1"/>
  <c r="W358" i="1" s="1"/>
  <c r="X358" i="1" s="1"/>
  <c r="P357" i="1"/>
  <c r="W357" i="1" s="1"/>
  <c r="X357" i="1" s="1"/>
  <c r="P356" i="1"/>
  <c r="W356" i="1" s="1"/>
  <c r="X356" i="1" s="1"/>
  <c r="P355" i="1"/>
  <c r="W355" i="1" s="1"/>
  <c r="X355" i="1" s="1"/>
  <c r="W354" i="1"/>
  <c r="X354" i="1" s="1"/>
  <c r="P354" i="1"/>
  <c r="P353" i="1"/>
  <c r="W353" i="1" s="1"/>
  <c r="X353" i="1" s="1"/>
  <c r="P352" i="1"/>
  <c r="W352" i="1" s="1"/>
  <c r="X352" i="1" s="1"/>
  <c r="P351" i="1"/>
  <c r="W351" i="1" s="1"/>
  <c r="X351" i="1" s="1"/>
  <c r="P350" i="1"/>
  <c r="W350" i="1" s="1"/>
  <c r="X350" i="1" s="1"/>
  <c r="P349" i="1"/>
  <c r="W349" i="1" s="1"/>
  <c r="X349" i="1" s="1"/>
  <c r="P348" i="1"/>
  <c r="W348" i="1" s="1"/>
  <c r="X348" i="1" s="1"/>
  <c r="W347" i="1"/>
  <c r="X347" i="1" s="1"/>
  <c r="P347" i="1"/>
  <c r="P346" i="1"/>
  <c r="W346" i="1" s="1"/>
  <c r="X346" i="1" s="1"/>
  <c r="P345" i="1"/>
  <c r="W345" i="1" s="1"/>
  <c r="X345" i="1" s="1"/>
  <c r="P344" i="1"/>
  <c r="W344" i="1" s="1"/>
  <c r="X344" i="1" s="1"/>
  <c r="P343" i="1"/>
  <c r="W343" i="1" s="1"/>
  <c r="X343" i="1" s="1"/>
  <c r="P342" i="1"/>
  <c r="W342" i="1" s="1"/>
  <c r="X342" i="1" s="1"/>
  <c r="P341" i="1"/>
  <c r="W341" i="1" s="1"/>
  <c r="X341" i="1" s="1"/>
  <c r="P340" i="1"/>
  <c r="W340" i="1" s="1"/>
  <c r="X340" i="1" s="1"/>
  <c r="W339" i="1"/>
  <c r="X339" i="1" s="1"/>
  <c r="P339" i="1"/>
  <c r="P338" i="1"/>
  <c r="W338" i="1" s="1"/>
  <c r="X338" i="1" s="1"/>
  <c r="P337" i="1"/>
  <c r="W337" i="1" s="1"/>
  <c r="X337" i="1" s="1"/>
  <c r="W336" i="1"/>
  <c r="X336" i="1" s="1"/>
  <c r="P336" i="1"/>
  <c r="P335" i="1"/>
  <c r="W335" i="1" s="1"/>
  <c r="X335" i="1" s="1"/>
  <c r="P334" i="1"/>
  <c r="W334" i="1" s="1"/>
  <c r="X334" i="1" s="1"/>
  <c r="P333" i="1"/>
  <c r="W333" i="1" s="1"/>
  <c r="X333" i="1" s="1"/>
  <c r="P332" i="1"/>
  <c r="W332" i="1" s="1"/>
  <c r="X332" i="1" s="1"/>
  <c r="P331" i="1"/>
  <c r="W331" i="1" s="1"/>
  <c r="X331" i="1" s="1"/>
  <c r="W330" i="1"/>
  <c r="X330" i="1" s="1"/>
  <c r="P330" i="1"/>
  <c r="P329" i="1"/>
  <c r="W329" i="1" s="1"/>
  <c r="X329" i="1" s="1"/>
  <c r="W328" i="1"/>
  <c r="X328" i="1" s="1"/>
  <c r="P328" i="1"/>
  <c r="P327" i="1"/>
  <c r="W327" i="1" s="1"/>
  <c r="X327" i="1" s="1"/>
  <c r="P326" i="1"/>
  <c r="W326" i="1" s="1"/>
  <c r="X326" i="1" s="1"/>
  <c r="P325" i="1"/>
  <c r="W325" i="1" s="1"/>
  <c r="X325" i="1" s="1"/>
  <c r="P324" i="1"/>
  <c r="W324" i="1" s="1"/>
  <c r="X324" i="1" s="1"/>
  <c r="W323" i="1"/>
  <c r="X323" i="1" s="1"/>
  <c r="P323" i="1"/>
  <c r="W322" i="1"/>
  <c r="X322" i="1" s="1"/>
  <c r="P322" i="1"/>
  <c r="P321" i="1"/>
  <c r="W321" i="1" s="1"/>
  <c r="X321" i="1" s="1"/>
  <c r="P320" i="1"/>
  <c r="W320" i="1" s="1"/>
  <c r="X320" i="1" s="1"/>
  <c r="P319" i="1"/>
  <c r="W319" i="1" s="1"/>
  <c r="X319" i="1" s="1"/>
  <c r="P318" i="1"/>
  <c r="W318" i="1" s="1"/>
  <c r="X318" i="1" s="1"/>
  <c r="P317" i="1"/>
  <c r="W317" i="1" s="1"/>
  <c r="X317" i="1" s="1"/>
  <c r="P316" i="1"/>
  <c r="W316" i="1" s="1"/>
  <c r="X316" i="1" s="1"/>
  <c r="W315" i="1"/>
  <c r="X315" i="1" s="1"/>
  <c r="P315" i="1"/>
  <c r="P314" i="1"/>
  <c r="W314" i="1" s="1"/>
  <c r="X314" i="1" s="1"/>
  <c r="P313" i="1"/>
  <c r="W313" i="1" s="1"/>
  <c r="X313" i="1" s="1"/>
  <c r="W312" i="1"/>
  <c r="X312" i="1" s="1"/>
  <c r="P312" i="1"/>
  <c r="P311" i="1"/>
  <c r="W311" i="1" s="1"/>
  <c r="X311" i="1" s="1"/>
  <c r="P310" i="1"/>
  <c r="W310" i="1" s="1"/>
  <c r="X310" i="1" s="1"/>
  <c r="P309" i="1"/>
  <c r="W309" i="1" s="1"/>
  <c r="X309" i="1" s="1"/>
  <c r="P308" i="1"/>
  <c r="W308" i="1" s="1"/>
  <c r="X308" i="1" s="1"/>
  <c r="W307" i="1"/>
  <c r="X307" i="1" s="1"/>
  <c r="P307" i="1"/>
  <c r="W306" i="1"/>
  <c r="X306" i="1" s="1"/>
  <c r="P306" i="1"/>
  <c r="P305" i="1"/>
  <c r="W305" i="1" s="1"/>
  <c r="X305" i="1" s="1"/>
  <c r="W304" i="1"/>
  <c r="X304" i="1" s="1"/>
  <c r="P304" i="1"/>
  <c r="P303" i="1"/>
  <c r="W303" i="1" s="1"/>
  <c r="X303" i="1" s="1"/>
  <c r="P302" i="1"/>
  <c r="W302" i="1" s="1"/>
  <c r="X302" i="1" s="1"/>
  <c r="P301" i="1"/>
  <c r="W301" i="1" s="1"/>
  <c r="X301" i="1" s="1"/>
  <c r="P300" i="1"/>
  <c r="W300" i="1" s="1"/>
  <c r="X300" i="1" s="1"/>
  <c r="P299" i="1"/>
  <c r="W299" i="1" s="1"/>
  <c r="X299" i="1" s="1"/>
  <c r="W298" i="1"/>
  <c r="X298" i="1" s="1"/>
  <c r="P298" i="1"/>
  <c r="P297" i="1"/>
  <c r="W297" i="1" s="1"/>
  <c r="X297" i="1" s="1"/>
  <c r="W296" i="1"/>
  <c r="X296" i="1" s="1"/>
  <c r="P296" i="1"/>
  <c r="P295" i="1"/>
  <c r="W295" i="1" s="1"/>
  <c r="X295" i="1" s="1"/>
  <c r="P294" i="1"/>
  <c r="W294" i="1" s="1"/>
  <c r="X294" i="1" s="1"/>
  <c r="P293" i="1"/>
  <c r="W293" i="1" s="1"/>
  <c r="X293" i="1" s="1"/>
  <c r="P292" i="1"/>
  <c r="W292" i="1" s="1"/>
  <c r="X292" i="1" s="1"/>
  <c r="P291" i="1"/>
  <c r="W291" i="1" s="1"/>
  <c r="X291" i="1" s="1"/>
  <c r="W290" i="1"/>
  <c r="X290" i="1" s="1"/>
  <c r="P290" i="1"/>
  <c r="P289" i="1"/>
  <c r="W289" i="1" s="1"/>
  <c r="X289" i="1" s="1"/>
  <c r="P288" i="1"/>
  <c r="W288" i="1" s="1"/>
  <c r="X288" i="1" s="1"/>
  <c r="P287" i="1"/>
  <c r="W287" i="1" s="1"/>
  <c r="X287" i="1" s="1"/>
  <c r="P286" i="1"/>
  <c r="W286" i="1" s="1"/>
  <c r="X286" i="1" s="1"/>
  <c r="P285" i="1"/>
  <c r="W285" i="1" s="1"/>
  <c r="X285" i="1" s="1"/>
  <c r="P284" i="1"/>
  <c r="W284" i="1" s="1"/>
  <c r="X284" i="1" s="1"/>
  <c r="W283" i="1"/>
  <c r="X283" i="1" s="1"/>
  <c r="P283" i="1"/>
  <c r="P282" i="1"/>
  <c r="W282" i="1" s="1"/>
  <c r="X282" i="1" s="1"/>
  <c r="P281" i="1"/>
  <c r="W281" i="1" s="1"/>
  <c r="X281" i="1" s="1"/>
  <c r="P280" i="1"/>
  <c r="W280" i="1" s="1"/>
  <c r="X280" i="1" s="1"/>
  <c r="P279" i="1"/>
  <c r="W279" i="1" s="1"/>
  <c r="X279" i="1" s="1"/>
  <c r="P278" i="1"/>
  <c r="W278" i="1" s="1"/>
  <c r="X278" i="1" s="1"/>
  <c r="P277" i="1"/>
  <c r="W277" i="1" s="1"/>
  <c r="X277" i="1" s="1"/>
  <c r="P276" i="1"/>
  <c r="W276" i="1" s="1"/>
  <c r="X276" i="1" s="1"/>
  <c r="W275" i="1"/>
  <c r="X275" i="1" s="1"/>
  <c r="P275" i="1"/>
  <c r="P274" i="1"/>
  <c r="W274" i="1" s="1"/>
  <c r="X274" i="1" s="1"/>
  <c r="P273" i="1"/>
  <c r="W273" i="1" s="1"/>
  <c r="X273" i="1" s="1"/>
  <c r="W272" i="1"/>
  <c r="X272" i="1" s="1"/>
  <c r="P272" i="1"/>
  <c r="P271" i="1"/>
  <c r="W271" i="1" s="1"/>
  <c r="X271" i="1" s="1"/>
  <c r="P270" i="1"/>
  <c r="W270" i="1" s="1"/>
  <c r="X270" i="1" s="1"/>
  <c r="P269" i="1"/>
  <c r="W269" i="1" s="1"/>
  <c r="X269" i="1" s="1"/>
  <c r="P268" i="1"/>
  <c r="W268" i="1" s="1"/>
  <c r="X268" i="1" s="1"/>
  <c r="P267" i="1"/>
  <c r="W267" i="1" s="1"/>
  <c r="X267" i="1" s="1"/>
  <c r="W266" i="1"/>
  <c r="X266" i="1" s="1"/>
  <c r="P266" i="1"/>
  <c r="P258" i="1"/>
  <c r="W258" i="1" s="1"/>
  <c r="X258" i="1" s="1"/>
  <c r="W250" i="1"/>
  <c r="X250" i="1" s="1"/>
  <c r="P250" i="1"/>
  <c r="P239" i="1"/>
  <c r="W239" i="1" s="1"/>
  <c r="X239" i="1" s="1"/>
  <c r="P225" i="1"/>
  <c r="W225" i="1" s="1"/>
  <c r="X225" i="1" s="1"/>
  <c r="P221" i="1"/>
  <c r="W221" i="1" s="1"/>
  <c r="X221" i="1" s="1"/>
  <c r="P197" i="1"/>
  <c r="W197" i="1" s="1"/>
  <c r="X197" i="1" s="1"/>
  <c r="P183" i="1"/>
  <c r="W183" i="1" s="1"/>
  <c r="X183" i="1" s="1"/>
  <c r="P147" i="1"/>
  <c r="W147" i="1" s="1"/>
  <c r="X147" i="1" s="1"/>
  <c r="P146" i="1"/>
  <c r="W146" i="1" s="1"/>
  <c r="X146" i="1" s="1"/>
  <c r="P136" i="1"/>
  <c r="W136" i="1" s="1"/>
  <c r="X136" i="1" s="1"/>
  <c r="P134" i="1"/>
  <c r="W134" i="1" s="1"/>
  <c r="X134" i="1" s="1"/>
  <c r="P132" i="1"/>
  <c r="W132" i="1" s="1"/>
  <c r="X132" i="1" s="1"/>
  <c r="P130" i="1"/>
  <c r="P120" i="1"/>
  <c r="W120" i="1" s="1"/>
  <c r="X120" i="1" s="1"/>
  <c r="P121" i="1"/>
  <c r="W121" i="1" s="1"/>
  <c r="X121" i="1" s="1"/>
  <c r="P78" i="1"/>
  <c r="W78" i="1" s="1"/>
  <c r="X78" i="1" s="1"/>
  <c r="P62" i="1"/>
  <c r="W62" i="1" s="1"/>
  <c r="X62" i="1" s="1"/>
  <c r="W61" i="1"/>
  <c r="X61" i="1" s="1"/>
  <c r="P21" i="1"/>
  <c r="W21" i="1" s="1"/>
  <c r="X21" i="1" s="1"/>
  <c r="P22" i="1"/>
  <c r="W22" i="1" s="1"/>
  <c r="X22" i="1" s="1"/>
  <c r="P23" i="1"/>
  <c r="W23" i="1" s="1"/>
  <c r="X23" i="1" s="1"/>
  <c r="P24" i="1"/>
  <c r="W24" i="1" s="1"/>
  <c r="X24" i="1" s="1"/>
  <c r="P25" i="1"/>
  <c r="W25" i="1" s="1"/>
  <c r="X25" i="1" s="1"/>
  <c r="P26" i="1"/>
  <c r="W26" i="1" s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P41" i="1"/>
  <c r="W41" i="1" s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P63" i="1"/>
  <c r="W63" i="1" s="1"/>
  <c r="X63" i="1" s="1"/>
  <c r="P64" i="1"/>
  <c r="W64" i="1" s="1"/>
  <c r="X64" i="1" s="1"/>
  <c r="P65" i="1"/>
  <c r="W65" i="1" s="1"/>
  <c r="X65" i="1" s="1"/>
  <c r="P66" i="1"/>
  <c r="W66" i="1" s="1"/>
  <c r="X66" i="1" s="1"/>
  <c r="P67" i="1"/>
  <c r="W67" i="1" s="1"/>
  <c r="X67" i="1" s="1"/>
  <c r="P68" i="1"/>
  <c r="W68" i="1" s="1"/>
  <c r="X68" i="1" s="1"/>
  <c r="P69" i="1"/>
  <c r="W69" i="1" s="1"/>
  <c r="X69" i="1" s="1"/>
  <c r="P70" i="1"/>
  <c r="W70" i="1" s="1"/>
  <c r="X70" i="1" s="1"/>
  <c r="P71" i="1"/>
  <c r="W71" i="1" s="1"/>
  <c r="X71" i="1" s="1"/>
  <c r="P72" i="1"/>
  <c r="W72" i="1" s="1"/>
  <c r="X72" i="1" s="1"/>
  <c r="P73" i="1"/>
  <c r="W73" i="1" s="1"/>
  <c r="X73" i="1" s="1"/>
  <c r="P74" i="1"/>
  <c r="W74" i="1" s="1"/>
  <c r="X74" i="1" s="1"/>
  <c r="P75" i="1"/>
  <c r="W75" i="1" s="1"/>
  <c r="X75" i="1" s="1"/>
  <c r="P76" i="1"/>
  <c r="W76" i="1" s="1"/>
  <c r="X76" i="1" s="1"/>
  <c r="P77" i="1"/>
  <c r="W77" i="1" s="1"/>
  <c r="X77" i="1" s="1"/>
  <c r="P79" i="1"/>
  <c r="W79" i="1" s="1"/>
  <c r="X79" i="1" s="1"/>
  <c r="P80" i="1"/>
  <c r="W80" i="1" s="1"/>
  <c r="X80" i="1" s="1"/>
  <c r="P81" i="1"/>
  <c r="W81" i="1" s="1"/>
  <c r="X81" i="1" s="1"/>
  <c r="P82" i="1"/>
  <c r="W82" i="1" s="1"/>
  <c r="X82" i="1" s="1"/>
  <c r="P83" i="1"/>
  <c r="W83" i="1" s="1"/>
  <c r="X83" i="1" s="1"/>
  <c r="P84" i="1"/>
  <c r="W84" i="1" s="1"/>
  <c r="X84" i="1" s="1"/>
  <c r="P85" i="1"/>
  <c r="W85" i="1" s="1"/>
  <c r="X85" i="1" s="1"/>
  <c r="P86" i="1"/>
  <c r="W86" i="1" s="1"/>
  <c r="X86" i="1" s="1"/>
  <c r="P87" i="1"/>
  <c r="W87" i="1" s="1"/>
  <c r="X87" i="1" s="1"/>
  <c r="P88" i="1"/>
  <c r="W88" i="1" s="1"/>
  <c r="X88" i="1" s="1"/>
  <c r="P89" i="1"/>
  <c r="W89" i="1" s="1"/>
  <c r="X89" i="1" s="1"/>
  <c r="P90" i="1"/>
  <c r="W90" i="1" s="1"/>
  <c r="X90" i="1" s="1"/>
  <c r="P91" i="1"/>
  <c r="W91" i="1" s="1"/>
  <c r="X91" i="1" s="1"/>
  <c r="P92" i="1"/>
  <c r="W92" i="1" s="1"/>
  <c r="X92" i="1" s="1"/>
  <c r="P93" i="1"/>
  <c r="W93" i="1" s="1"/>
  <c r="X93" i="1" s="1"/>
  <c r="P94" i="1"/>
  <c r="W94" i="1" s="1"/>
  <c r="X94" i="1" s="1"/>
  <c r="P95" i="1"/>
  <c r="W95" i="1" s="1"/>
  <c r="X95" i="1" s="1"/>
  <c r="P96" i="1"/>
  <c r="W96" i="1" s="1"/>
  <c r="X96" i="1" s="1"/>
  <c r="P97" i="1"/>
  <c r="W97" i="1" s="1"/>
  <c r="X97" i="1" s="1"/>
  <c r="P98" i="1"/>
  <c r="W98" i="1" s="1"/>
  <c r="X98" i="1" s="1"/>
  <c r="P99" i="1"/>
  <c r="W99" i="1" s="1"/>
  <c r="X99" i="1" s="1"/>
  <c r="P100" i="1"/>
  <c r="W100" i="1" s="1"/>
  <c r="X100" i="1" s="1"/>
  <c r="P101" i="1"/>
  <c r="W101" i="1" s="1"/>
  <c r="X101" i="1" s="1"/>
  <c r="P102" i="1"/>
  <c r="W102" i="1" s="1"/>
  <c r="X102" i="1" s="1"/>
  <c r="P103" i="1"/>
  <c r="W103" i="1" s="1"/>
  <c r="X103" i="1" s="1"/>
  <c r="P104" i="1"/>
  <c r="W104" i="1" s="1"/>
  <c r="X104" i="1" s="1"/>
  <c r="P105" i="1"/>
  <c r="W105" i="1" s="1"/>
  <c r="X105" i="1" s="1"/>
  <c r="P106" i="1"/>
  <c r="W106" i="1" s="1"/>
  <c r="X106" i="1" s="1"/>
  <c r="P107" i="1"/>
  <c r="W107" i="1" s="1"/>
  <c r="X107" i="1" s="1"/>
  <c r="P108" i="1"/>
  <c r="W108" i="1" s="1"/>
  <c r="X108" i="1" s="1"/>
  <c r="P109" i="1"/>
  <c r="W109" i="1" s="1"/>
  <c r="X109" i="1" s="1"/>
  <c r="P110" i="1"/>
  <c r="W110" i="1" s="1"/>
  <c r="X110" i="1" s="1"/>
  <c r="P111" i="1"/>
  <c r="W111" i="1" s="1"/>
  <c r="X111" i="1" s="1"/>
  <c r="P112" i="1"/>
  <c r="W112" i="1" s="1"/>
  <c r="X112" i="1" s="1"/>
  <c r="P113" i="1"/>
  <c r="W113" i="1" s="1"/>
  <c r="X113" i="1" s="1"/>
  <c r="P114" i="1"/>
  <c r="W114" i="1" s="1"/>
  <c r="X114" i="1" s="1"/>
  <c r="P115" i="1"/>
  <c r="W115" i="1" s="1"/>
  <c r="X115" i="1" s="1"/>
  <c r="P116" i="1"/>
  <c r="W116" i="1" s="1"/>
  <c r="X116" i="1" s="1"/>
  <c r="P117" i="1"/>
  <c r="W117" i="1" s="1"/>
  <c r="X117" i="1" s="1"/>
  <c r="P118" i="1"/>
  <c r="W118" i="1" s="1"/>
  <c r="X118" i="1" s="1"/>
  <c r="P119" i="1"/>
  <c r="W119" i="1" s="1"/>
  <c r="X119" i="1" s="1"/>
  <c r="P122" i="1"/>
  <c r="W122" i="1" s="1"/>
  <c r="X122" i="1" s="1"/>
  <c r="P123" i="1"/>
  <c r="W123" i="1" s="1"/>
  <c r="X123" i="1" s="1"/>
  <c r="P124" i="1"/>
  <c r="W124" i="1" s="1"/>
  <c r="X124" i="1" s="1"/>
  <c r="P125" i="1"/>
  <c r="W125" i="1" s="1"/>
  <c r="X125" i="1" s="1"/>
  <c r="P126" i="1"/>
  <c r="W126" i="1" s="1"/>
  <c r="X126" i="1" s="1"/>
  <c r="P127" i="1"/>
  <c r="W127" i="1" s="1"/>
  <c r="X127" i="1" s="1"/>
  <c r="P128" i="1"/>
  <c r="W128" i="1" s="1"/>
  <c r="X128" i="1" s="1"/>
  <c r="P129" i="1"/>
  <c r="W129" i="1" s="1"/>
  <c r="X129" i="1" s="1"/>
  <c r="W130" i="1"/>
  <c r="X130" i="1" s="1"/>
  <c r="P131" i="1"/>
  <c r="W131" i="1" s="1"/>
  <c r="X131" i="1" s="1"/>
  <c r="P133" i="1"/>
  <c r="W133" i="1" s="1"/>
  <c r="X133" i="1" s="1"/>
  <c r="P135" i="1"/>
  <c r="W135" i="1" s="1"/>
  <c r="X135" i="1" s="1"/>
  <c r="P137" i="1"/>
  <c r="W137" i="1" s="1"/>
  <c r="X137" i="1" s="1"/>
  <c r="P138" i="1"/>
  <c r="W138" i="1" s="1"/>
  <c r="X138" i="1" s="1"/>
  <c r="P139" i="1"/>
  <c r="W139" i="1" s="1"/>
  <c r="X139" i="1" s="1"/>
  <c r="P140" i="1"/>
  <c r="W140" i="1" s="1"/>
  <c r="X140" i="1" s="1"/>
  <c r="P141" i="1"/>
  <c r="W141" i="1" s="1"/>
  <c r="X141" i="1" s="1"/>
  <c r="P142" i="1"/>
  <c r="W142" i="1" s="1"/>
  <c r="X142" i="1" s="1"/>
  <c r="P143" i="1"/>
  <c r="W143" i="1" s="1"/>
  <c r="X143" i="1" s="1"/>
  <c r="P144" i="1"/>
  <c r="W144" i="1" s="1"/>
  <c r="X144" i="1" s="1"/>
  <c r="P145" i="1"/>
  <c r="W145" i="1" s="1"/>
  <c r="X145" i="1" s="1"/>
  <c r="P148" i="1"/>
  <c r="W148" i="1" s="1"/>
  <c r="X148" i="1" s="1"/>
  <c r="P149" i="1"/>
  <c r="W149" i="1" s="1"/>
  <c r="X149" i="1" s="1"/>
  <c r="P150" i="1"/>
  <c r="W150" i="1" s="1"/>
  <c r="X150" i="1" s="1"/>
  <c r="P151" i="1"/>
  <c r="W151" i="1" s="1"/>
  <c r="X151" i="1" s="1"/>
  <c r="P152" i="1"/>
  <c r="W152" i="1" s="1"/>
  <c r="X152" i="1" s="1"/>
  <c r="P153" i="1"/>
  <c r="W153" i="1" s="1"/>
  <c r="X153" i="1" s="1"/>
  <c r="P154" i="1"/>
  <c r="W154" i="1" s="1"/>
  <c r="X154" i="1" s="1"/>
  <c r="P155" i="1"/>
  <c r="W155" i="1" s="1"/>
  <c r="X155" i="1" s="1"/>
  <c r="P156" i="1"/>
  <c r="W156" i="1" s="1"/>
  <c r="X156" i="1" s="1"/>
  <c r="P157" i="1"/>
  <c r="W157" i="1" s="1"/>
  <c r="X157" i="1" s="1"/>
  <c r="P158" i="1"/>
  <c r="W158" i="1" s="1"/>
  <c r="X158" i="1" s="1"/>
  <c r="P159" i="1"/>
  <c r="W159" i="1" s="1"/>
  <c r="X159" i="1" s="1"/>
  <c r="P160" i="1"/>
  <c r="W160" i="1" s="1"/>
  <c r="X160" i="1" s="1"/>
  <c r="P161" i="1"/>
  <c r="W161" i="1" s="1"/>
  <c r="X161" i="1" s="1"/>
  <c r="P162" i="1"/>
  <c r="W162" i="1" s="1"/>
  <c r="X162" i="1" s="1"/>
  <c r="P163" i="1"/>
  <c r="W163" i="1" s="1"/>
  <c r="X163" i="1" s="1"/>
  <c r="P164" i="1"/>
  <c r="W164" i="1" s="1"/>
  <c r="X164" i="1" s="1"/>
  <c r="P165" i="1"/>
  <c r="W165" i="1" s="1"/>
  <c r="X165" i="1" s="1"/>
  <c r="P166" i="1"/>
  <c r="W166" i="1" s="1"/>
  <c r="X166" i="1" s="1"/>
  <c r="P167" i="1"/>
  <c r="W167" i="1" s="1"/>
  <c r="X167" i="1" s="1"/>
  <c r="P168" i="1"/>
  <c r="W168" i="1" s="1"/>
  <c r="X168" i="1" s="1"/>
  <c r="P169" i="1"/>
  <c r="W169" i="1" s="1"/>
  <c r="X169" i="1" s="1"/>
  <c r="P170" i="1"/>
  <c r="W170" i="1" s="1"/>
  <c r="X170" i="1" s="1"/>
  <c r="P171" i="1"/>
  <c r="W171" i="1" s="1"/>
  <c r="X171" i="1" s="1"/>
  <c r="P172" i="1"/>
  <c r="W172" i="1" s="1"/>
  <c r="X172" i="1" s="1"/>
  <c r="P173" i="1"/>
  <c r="W173" i="1" s="1"/>
  <c r="X173" i="1" s="1"/>
  <c r="P174" i="1"/>
  <c r="W174" i="1" s="1"/>
  <c r="X174" i="1" s="1"/>
  <c r="P175" i="1"/>
  <c r="W175" i="1" s="1"/>
  <c r="X175" i="1" s="1"/>
  <c r="P176" i="1"/>
  <c r="W176" i="1" s="1"/>
  <c r="X176" i="1" s="1"/>
  <c r="P177" i="1"/>
  <c r="W177" i="1" s="1"/>
  <c r="X177" i="1" s="1"/>
  <c r="P178" i="1"/>
  <c r="W178" i="1" s="1"/>
  <c r="X178" i="1" s="1"/>
  <c r="P179" i="1"/>
  <c r="W179" i="1" s="1"/>
  <c r="X179" i="1" s="1"/>
  <c r="P180" i="1"/>
  <c r="W180" i="1" s="1"/>
  <c r="X180" i="1" s="1"/>
  <c r="P181" i="1"/>
  <c r="W181" i="1" s="1"/>
  <c r="X181" i="1" s="1"/>
  <c r="P182" i="1"/>
  <c r="W182" i="1" s="1"/>
  <c r="X182" i="1" s="1"/>
  <c r="P184" i="1"/>
  <c r="W184" i="1" s="1"/>
  <c r="X184" i="1" s="1"/>
  <c r="P185" i="1"/>
  <c r="W185" i="1" s="1"/>
  <c r="X185" i="1" s="1"/>
  <c r="P186" i="1"/>
  <c r="W186" i="1" s="1"/>
  <c r="X186" i="1" s="1"/>
  <c r="P187" i="1"/>
  <c r="W187" i="1" s="1"/>
  <c r="X187" i="1" s="1"/>
  <c r="P188" i="1"/>
  <c r="W188" i="1" s="1"/>
  <c r="X188" i="1" s="1"/>
  <c r="P189" i="1"/>
  <c r="W189" i="1" s="1"/>
  <c r="X189" i="1" s="1"/>
  <c r="P190" i="1"/>
  <c r="W190" i="1" s="1"/>
  <c r="X190" i="1" s="1"/>
  <c r="P191" i="1"/>
  <c r="W191" i="1" s="1"/>
  <c r="X191" i="1" s="1"/>
  <c r="P192" i="1"/>
  <c r="W192" i="1" s="1"/>
  <c r="X192" i="1" s="1"/>
  <c r="P193" i="1"/>
  <c r="W193" i="1" s="1"/>
  <c r="X193" i="1" s="1"/>
  <c r="P194" i="1"/>
  <c r="W194" i="1" s="1"/>
  <c r="X194" i="1" s="1"/>
  <c r="P195" i="1"/>
  <c r="W195" i="1" s="1"/>
  <c r="X195" i="1" s="1"/>
  <c r="P196" i="1"/>
  <c r="W196" i="1" s="1"/>
  <c r="X196" i="1" s="1"/>
  <c r="P198" i="1"/>
  <c r="W198" i="1" s="1"/>
  <c r="X198" i="1" s="1"/>
  <c r="P199" i="1"/>
  <c r="W199" i="1" s="1"/>
  <c r="X199" i="1" s="1"/>
  <c r="P200" i="1"/>
  <c r="W200" i="1" s="1"/>
  <c r="X200" i="1" s="1"/>
  <c r="P201" i="1"/>
  <c r="W201" i="1" s="1"/>
  <c r="X201" i="1" s="1"/>
  <c r="P202" i="1"/>
  <c r="W202" i="1" s="1"/>
  <c r="X202" i="1" s="1"/>
  <c r="P203" i="1"/>
  <c r="W203" i="1" s="1"/>
  <c r="X203" i="1" s="1"/>
  <c r="P204" i="1"/>
  <c r="W204" i="1" s="1"/>
  <c r="X204" i="1" s="1"/>
  <c r="P205" i="1"/>
  <c r="W205" i="1" s="1"/>
  <c r="X205" i="1" s="1"/>
  <c r="P206" i="1"/>
  <c r="W206" i="1" s="1"/>
  <c r="X206" i="1" s="1"/>
  <c r="P207" i="1"/>
  <c r="W207" i="1" s="1"/>
  <c r="X207" i="1" s="1"/>
  <c r="P208" i="1"/>
  <c r="W208" i="1" s="1"/>
  <c r="X208" i="1" s="1"/>
  <c r="P209" i="1"/>
  <c r="W209" i="1" s="1"/>
  <c r="X209" i="1" s="1"/>
  <c r="P210" i="1"/>
  <c r="W210" i="1" s="1"/>
  <c r="X210" i="1" s="1"/>
  <c r="P211" i="1"/>
  <c r="W211" i="1" s="1"/>
  <c r="X211" i="1" s="1"/>
  <c r="P212" i="1"/>
  <c r="W212" i="1" s="1"/>
  <c r="X212" i="1" s="1"/>
  <c r="P213" i="1"/>
  <c r="W213" i="1" s="1"/>
  <c r="X213" i="1" s="1"/>
  <c r="P214" i="1"/>
  <c r="W214" i="1" s="1"/>
  <c r="X214" i="1" s="1"/>
  <c r="P215" i="1"/>
  <c r="W215" i="1" s="1"/>
  <c r="X215" i="1" s="1"/>
  <c r="P216" i="1"/>
  <c r="W216" i="1" s="1"/>
  <c r="X216" i="1" s="1"/>
  <c r="P217" i="1"/>
  <c r="W217" i="1" s="1"/>
  <c r="X217" i="1" s="1"/>
  <c r="P218" i="1"/>
  <c r="W218" i="1" s="1"/>
  <c r="X218" i="1" s="1"/>
  <c r="P219" i="1"/>
  <c r="W219" i="1" s="1"/>
  <c r="X219" i="1" s="1"/>
  <c r="P220" i="1"/>
  <c r="W220" i="1" s="1"/>
  <c r="X220" i="1" s="1"/>
  <c r="P222" i="1"/>
  <c r="W222" i="1" s="1"/>
  <c r="X222" i="1" s="1"/>
  <c r="P223" i="1"/>
  <c r="W223" i="1" s="1"/>
  <c r="X223" i="1" s="1"/>
  <c r="P224" i="1"/>
  <c r="W224" i="1" s="1"/>
  <c r="X224" i="1" s="1"/>
  <c r="P226" i="1"/>
  <c r="W226" i="1" s="1"/>
  <c r="X226" i="1" s="1"/>
  <c r="P227" i="1"/>
  <c r="W227" i="1" s="1"/>
  <c r="X227" i="1" s="1"/>
  <c r="P228" i="1"/>
  <c r="W228" i="1" s="1"/>
  <c r="X228" i="1" s="1"/>
  <c r="P229" i="1"/>
  <c r="W229" i="1" s="1"/>
  <c r="X229" i="1" s="1"/>
  <c r="P230" i="1"/>
  <c r="W230" i="1" s="1"/>
  <c r="X230" i="1" s="1"/>
  <c r="P231" i="1"/>
  <c r="W231" i="1" s="1"/>
  <c r="X231" i="1" s="1"/>
  <c r="P232" i="1"/>
  <c r="W232" i="1" s="1"/>
  <c r="X232" i="1" s="1"/>
  <c r="P233" i="1"/>
  <c r="W233" i="1" s="1"/>
  <c r="X233" i="1" s="1"/>
  <c r="P234" i="1"/>
  <c r="W234" i="1" s="1"/>
  <c r="X234" i="1" s="1"/>
  <c r="P235" i="1"/>
  <c r="W235" i="1" s="1"/>
  <c r="X235" i="1" s="1"/>
  <c r="P236" i="1"/>
  <c r="W236" i="1" s="1"/>
  <c r="X236" i="1" s="1"/>
  <c r="P237" i="1"/>
  <c r="W237" i="1" s="1"/>
  <c r="X237" i="1" s="1"/>
  <c r="P238" i="1"/>
  <c r="W238" i="1" s="1"/>
  <c r="X238" i="1" s="1"/>
  <c r="P240" i="1"/>
  <c r="W240" i="1" s="1"/>
  <c r="X240" i="1" s="1"/>
  <c r="P241" i="1"/>
  <c r="W241" i="1" s="1"/>
  <c r="X241" i="1" s="1"/>
  <c r="P242" i="1"/>
  <c r="W242" i="1" s="1"/>
  <c r="X242" i="1" s="1"/>
  <c r="P243" i="1"/>
  <c r="W243" i="1" s="1"/>
  <c r="X243" i="1" s="1"/>
  <c r="P244" i="1"/>
  <c r="W244" i="1" s="1"/>
  <c r="X244" i="1" s="1"/>
  <c r="P245" i="1"/>
  <c r="W245" i="1" s="1"/>
  <c r="X245" i="1" s="1"/>
  <c r="P246" i="1"/>
  <c r="W246" i="1" s="1"/>
  <c r="X246" i="1" s="1"/>
  <c r="P247" i="1"/>
  <c r="W247" i="1" s="1"/>
  <c r="X247" i="1" s="1"/>
  <c r="P248" i="1"/>
  <c r="W248" i="1" s="1"/>
  <c r="X248" i="1" s="1"/>
  <c r="P249" i="1"/>
  <c r="W249" i="1" s="1"/>
  <c r="X249" i="1" s="1"/>
  <c r="P251" i="1"/>
  <c r="W251" i="1" s="1"/>
  <c r="X251" i="1" s="1"/>
  <c r="P252" i="1"/>
  <c r="W252" i="1" s="1"/>
  <c r="X252" i="1" s="1"/>
  <c r="P253" i="1"/>
  <c r="W253" i="1" s="1"/>
  <c r="X253" i="1" s="1"/>
  <c r="P254" i="1"/>
  <c r="W254" i="1" s="1"/>
  <c r="X254" i="1" s="1"/>
  <c r="P255" i="1"/>
  <c r="W255" i="1" s="1"/>
  <c r="X255" i="1" s="1"/>
  <c r="P256" i="1"/>
  <c r="W256" i="1" s="1"/>
  <c r="X256" i="1" s="1"/>
  <c r="P257" i="1"/>
  <c r="W257" i="1" s="1"/>
  <c r="X257" i="1" s="1"/>
  <c r="P259" i="1"/>
  <c r="W259" i="1" s="1"/>
  <c r="X259" i="1" s="1"/>
  <c r="P260" i="1"/>
  <c r="W260" i="1" s="1"/>
  <c r="X260" i="1" s="1"/>
  <c r="P261" i="1"/>
  <c r="W261" i="1" s="1"/>
  <c r="X261" i="1" s="1"/>
  <c r="P262" i="1"/>
  <c r="W262" i="1" s="1"/>
  <c r="X262" i="1" s="1"/>
  <c r="P263" i="1"/>
  <c r="W263" i="1" s="1"/>
  <c r="X263" i="1" s="1"/>
  <c r="P264" i="1"/>
  <c r="W264" i="1" s="1"/>
  <c r="X264" i="1" s="1"/>
  <c r="P265" i="1"/>
  <c r="W265" i="1" s="1"/>
  <c r="X265" i="1" s="1"/>
  <c r="P20" i="1" l="1"/>
  <c r="P19" i="1"/>
  <c r="P18" i="1"/>
  <c r="P17" i="1"/>
  <c r="P16" i="1"/>
  <c r="P15" i="1"/>
  <c r="P14" i="1"/>
  <c r="P13" i="1"/>
  <c r="P12" i="1"/>
  <c r="P11" i="1"/>
  <c r="P10" i="1"/>
  <c r="W10" i="1" l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C149" i="2"/>
  <c r="D149" i="2" s="1"/>
  <c r="C148" i="2"/>
  <c r="D148" i="2" s="1"/>
  <c r="C147" i="2"/>
  <c r="C146" i="2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D146" i="2" l="1"/>
  <c r="D147" i="2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 l="1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I28" i="2"/>
  <c r="C28" i="2"/>
  <c r="D28" i="2" s="1"/>
  <c r="I27" i="2"/>
  <c r="C27" i="2"/>
  <c r="D27" i="2" s="1"/>
  <c r="I26" i="2"/>
  <c r="C26" i="2"/>
  <c r="D26" i="2" s="1"/>
  <c r="I25" i="2"/>
  <c r="C25" i="2"/>
  <c r="D25" i="2" s="1"/>
  <c r="I24" i="2"/>
  <c r="C24" i="2"/>
  <c r="D24" i="2" s="1"/>
  <c r="I23" i="2"/>
  <c r="C23" i="2"/>
  <c r="D23" i="2" s="1"/>
  <c r="I22" i="2"/>
  <c r="C22" i="2" l="1"/>
  <c r="D22" i="2" s="1"/>
  <c r="I21" i="2"/>
  <c r="C21" i="2"/>
  <c r="D21" i="2" s="1"/>
  <c r="I20" i="2"/>
  <c r="C20" i="2"/>
  <c r="D20" i="2" s="1"/>
  <c r="I19" i="2" l="1"/>
  <c r="C19" i="2"/>
  <c r="D19" i="2" s="1"/>
  <c r="I18" i="2" l="1"/>
  <c r="C18" i="2"/>
  <c r="D18" i="2" s="1"/>
  <c r="I17" i="2"/>
  <c r="C17" i="2"/>
  <c r="D17" i="2" s="1"/>
  <c r="I16" i="2"/>
  <c r="C16" i="2"/>
  <c r="D16" i="2" s="1"/>
  <c r="I15" i="2"/>
  <c r="C15" i="2"/>
  <c r="D15" i="2" s="1"/>
  <c r="I14" i="2"/>
  <c r="C14" i="2"/>
  <c r="D14" i="2" s="1"/>
  <c r="I13" i="2"/>
  <c r="C13" i="2"/>
  <c r="D13" i="2" s="1"/>
  <c r="I12" i="2"/>
  <c r="C12" i="2"/>
  <c r="D12" i="2" s="1"/>
  <c r="I11" i="2"/>
  <c r="C11" i="2"/>
  <c r="D11" i="2" s="1"/>
  <c r="C10" i="2"/>
  <c r="D10" i="2" s="1"/>
  <c r="I9" i="2"/>
  <c r="C9" i="2"/>
  <c r="D9" i="2" s="1"/>
  <c r="I8" i="2"/>
  <c r="C8" i="2"/>
  <c r="D8" i="2" s="1"/>
  <c r="I7" i="2" l="1"/>
  <c r="C7" i="2"/>
  <c r="D7" i="2" s="1"/>
  <c r="I6" i="2"/>
  <c r="C6" i="2"/>
  <c r="D6" i="2" s="1"/>
  <c r="I5" i="2" l="1"/>
  <c r="C5" i="2"/>
  <c r="D5" i="2" s="1"/>
  <c r="I4" i="2"/>
  <c r="C4" i="2" l="1"/>
  <c r="D4" i="2" s="1"/>
  <c r="I3" i="2"/>
  <c r="C3" i="2"/>
  <c r="D3" i="2" s="1"/>
  <c r="I2" i="2" l="1"/>
  <c r="C2" i="2" l="1"/>
  <c r="C1" i="2"/>
  <c r="D1" i="2" l="1"/>
  <c r="D2" i="2"/>
</calcChain>
</file>

<file path=xl/comments1.xml><?xml version="1.0" encoding="utf-8"?>
<comments xmlns="http://schemas.openxmlformats.org/spreadsheetml/2006/main">
  <authors>
    <author>Autor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ORGANIZACIONES LABORALES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FALTA RESPUESTA DEL MEMORANDO  MDT-DRTSPQ-2015-0621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SARA AULESTIA 35 DIAS</t>
        </r>
      </text>
    </comment>
  </commentList>
</comments>
</file>

<file path=xl/sharedStrings.xml><?xml version="1.0" encoding="utf-8"?>
<sst xmlns="http://schemas.openxmlformats.org/spreadsheetml/2006/main" count="29000" uniqueCount="6865">
  <si>
    <r>
      <t xml:space="preserve">Unidad:                    </t>
    </r>
    <r>
      <rPr>
        <sz val="8"/>
        <rFont val="Arial"/>
        <family val="2"/>
      </rPr>
      <t>Dirección de Secretaria General</t>
    </r>
  </si>
  <si>
    <r>
      <t xml:space="preserve">Asunto:                </t>
    </r>
    <r>
      <rPr>
        <sz val="8"/>
        <rFont val="Arial"/>
        <family val="2"/>
      </rPr>
      <t xml:space="preserve">   Informe de Certificaciones</t>
    </r>
  </si>
  <si>
    <t xml:space="preserve">Responsable:        </t>
  </si>
  <si>
    <t>CORREOS</t>
  </si>
  <si>
    <t>No. DE EXTERNO</t>
  </si>
  <si>
    <t>FECHA DE INGRESO</t>
  </si>
  <si>
    <t>ESTADO</t>
  </si>
  <si>
    <t xml:space="preserve">TECNICO ARCHIVO RESPONSABLE </t>
  </si>
  <si>
    <t>FECHA DE CONTESTACIÓN</t>
  </si>
  <si>
    <t>TECN. CETIFI RESPONSABLE</t>
  </si>
  <si>
    <t>FECHA RESOLUCIÓN</t>
  </si>
  <si>
    <t>TIEMPO DE RESPUESTA</t>
  </si>
  <si>
    <t>NUMERO DE OFICIO DE RESPUESTA</t>
  </si>
  <si>
    <t>CUIDAD</t>
  </si>
  <si>
    <r>
      <t xml:space="preserve">Fecha:                   </t>
    </r>
    <r>
      <rPr>
        <sz val="8"/>
        <rFont val="Arial"/>
        <family val="2"/>
      </rPr>
      <t xml:space="preserve">  Desde 02 de Enero del 2014</t>
    </r>
  </si>
  <si>
    <t>PORTOVIEJO</t>
  </si>
  <si>
    <t>ZAMORA</t>
  </si>
  <si>
    <t>LOJA</t>
  </si>
  <si>
    <t>AMBATO</t>
  </si>
  <si>
    <t>GUARANDA</t>
  </si>
  <si>
    <t>GUAYAQUIL</t>
  </si>
  <si>
    <t>CUENCA</t>
  </si>
  <si>
    <t>IBARRA</t>
  </si>
  <si>
    <t>MACHALA</t>
  </si>
  <si>
    <t>EXT-</t>
  </si>
  <si>
    <t>RIOBAMBA</t>
  </si>
  <si>
    <t>ESMERALDAS</t>
  </si>
  <si>
    <t>CARCHI</t>
  </si>
  <si>
    <t>EXT-DPTSPOM-</t>
  </si>
  <si>
    <t>EXT-DRTSPP-</t>
  </si>
  <si>
    <t>EXT-DRTSPL-</t>
  </si>
  <si>
    <t>EXT-DPTSPB-</t>
  </si>
  <si>
    <t>EXT-DPTSPCAR-</t>
  </si>
  <si>
    <t>EXT-DRTSPG-</t>
  </si>
  <si>
    <t>EXT-DPTSPLRB-</t>
  </si>
  <si>
    <t>EXT-DPTSPE-</t>
  </si>
  <si>
    <t>EXT-DRSPG-</t>
  </si>
  <si>
    <t>EXT-DPTSPZCH-</t>
  </si>
  <si>
    <t>QUEVEDO</t>
  </si>
  <si>
    <t>EXT-DRTSPI-</t>
  </si>
  <si>
    <t>LOS RIOS-BABAHOYO</t>
  </si>
  <si>
    <t>EXT-DPTSPN-</t>
  </si>
  <si>
    <t>EXT-DPTSPSE-</t>
  </si>
  <si>
    <t>EXT-DPTSPMM-</t>
  </si>
  <si>
    <t>EXT-DRTSPA-</t>
  </si>
  <si>
    <t>EXT-DPTSPMS-</t>
  </si>
  <si>
    <t>MORONA SANTIAGO / MACAS</t>
  </si>
  <si>
    <t>EXT-DPTSPSDT-</t>
  </si>
  <si>
    <t>CANTIDAD DE FOJAS DESPACHADAS</t>
  </si>
  <si>
    <t>RECIBIDO POR:</t>
  </si>
  <si>
    <t>FECHA DE ENT.</t>
  </si>
  <si>
    <t>SANTO DOMINGO DE LOS TSACHILAS</t>
  </si>
  <si>
    <t>EXT-DPTSPCH-</t>
  </si>
  <si>
    <t>EXT-DRTSPS-</t>
  </si>
  <si>
    <t>LA TRONCAL</t>
  </si>
  <si>
    <t>EXT-DPTSPOJS-</t>
  </si>
  <si>
    <t>SUCUMBIOS / NUEVA LOJA</t>
  </si>
  <si>
    <t>ORELLANA  / JOYA DE LOS SACHAS</t>
  </si>
  <si>
    <t>TENA / NAPO</t>
  </si>
  <si>
    <t xml:space="preserve">FUNCIONARIO ACTUAL </t>
  </si>
  <si>
    <t>DIRECCIÓN O UNIDAD</t>
  </si>
  <si>
    <t>FECHA</t>
  </si>
  <si>
    <t>ACCIÓN</t>
  </si>
  <si>
    <t>COMENTARIO</t>
  </si>
  <si>
    <t>EXT-DPTSPMCH-</t>
  </si>
  <si>
    <t>EXT-DPTSPCA-</t>
  </si>
  <si>
    <t>CAÑAR / AZOGUEZ</t>
  </si>
  <si>
    <t>EXT-DRTSPC-</t>
  </si>
  <si>
    <t>MANTA / CHONE</t>
  </si>
  <si>
    <t>EXT-DPTSPLRQ-</t>
  </si>
  <si>
    <t>EXT-DPTSPOFO-</t>
  </si>
  <si>
    <t>ORELLANA / FRANCISCO DE ORELLANA</t>
  </si>
  <si>
    <t>MANABI / MANTA</t>
  </si>
  <si>
    <t>PENINSULA DE SANTA ELENA</t>
  </si>
  <si>
    <t>EXT-DPTSPCLT-</t>
  </si>
  <si>
    <t>EXT-DPTSPC-</t>
  </si>
  <si>
    <t>COTOPAXI / LATACUNGA</t>
  </si>
  <si>
    <t>MDT-DRTSPA-2014-11041-EXTERNO</t>
  </si>
  <si>
    <t>MDT-DSG-2014-98717-EXTERNO</t>
  </si>
  <si>
    <t>MDT-DSG-2014-98734-EXTERNO</t>
  </si>
  <si>
    <t>MDT-DSG-2014-98736-EXTERNO</t>
  </si>
  <si>
    <t>MDT-DSG-2014-98756-EXTERNO</t>
  </si>
  <si>
    <t>MDT-DSG-2014-98759-EXTERNO</t>
  </si>
  <si>
    <t>MDT-DSG-2014-98840-EXTERNO</t>
  </si>
  <si>
    <t>MDT-DSG-2014-94966-EXTERNO</t>
  </si>
  <si>
    <t>MDT-DSG-2014-98856-EXTERNO</t>
  </si>
  <si>
    <t>MDT-DSG-2014-98291-EXTERNO</t>
  </si>
  <si>
    <t>MDT-DSG-2014-95812-EXTERNO</t>
  </si>
  <si>
    <t>MDT-DSG-2014-98728-EXTERNO</t>
  </si>
  <si>
    <t>MDT-DRTSPI-2014-6750-EXTERNO</t>
  </si>
  <si>
    <t>MDT-DRTSPP-2014-10158-EXTERNO</t>
  </si>
  <si>
    <t>NUMERO DE GUÍA O CÉDULA</t>
  </si>
  <si>
    <t>ORGANIZACIONES LABORALES</t>
  </si>
  <si>
    <t>CONTESTADO</t>
  </si>
  <si>
    <t>REASIGNADO</t>
  </si>
  <si>
    <t>MDT-DAJTE-2014-0474</t>
  </si>
  <si>
    <t>MRL-DRTSPG-2014-79649-EXTERNO</t>
  </si>
  <si>
    <t>UNIDAD A LA QUE SE SOLICITA LA INFORMACIÓN O DOCUMENTACIÓN</t>
  </si>
  <si>
    <t>MDT-DRTSPL-2015-0071-EXTERNO</t>
  </si>
  <si>
    <t>LEGARDA</t>
  </si>
  <si>
    <t>Luis Miguel Quezada Coba</t>
  </si>
  <si>
    <t>UNIDAD JUDICIAL</t>
  </si>
  <si>
    <t>MDT-DRTSPA-2015-0130-EXTERNO</t>
  </si>
  <si>
    <t>N/A</t>
  </si>
  <si>
    <t>USUARIO EXTERNO</t>
  </si>
  <si>
    <t>MDT-DSG-2015-2383-EXTERNO</t>
  </si>
  <si>
    <t>DIRECCIÓN FINANCIERA</t>
  </si>
  <si>
    <t>MDT-DSG-2015-2829-EXTERNO</t>
  </si>
  <si>
    <t>MDT-DPTSPCH-2014-3828-EXTERNO</t>
  </si>
  <si>
    <t>MDT-DPTSPLRQ-2015-0255-EXTERNO</t>
  </si>
  <si>
    <t>MDT-DPTSPZCH-2015-0062-EXTERNO</t>
  </si>
  <si>
    <t>UATH</t>
  </si>
  <si>
    <t>MDT-DPTSPZCH-2015-0082-EXTERNO</t>
  </si>
  <si>
    <t>MDT-DSG-2015-6555-EXTERNO</t>
  </si>
  <si>
    <t>MDT-DPTSPLRQ-2015-0074-EXTERNO</t>
  </si>
  <si>
    <t>ANABEL MENDIETA</t>
  </si>
  <si>
    <t>MDT-DSG-2015-7214-EXTERNO</t>
  </si>
  <si>
    <t>MDT-DPTSPMS-2015-0129-EXTERNO</t>
  </si>
  <si>
    <t>MDT-VTE-2014-0064-E</t>
  </si>
  <si>
    <t>SARA AULESTIA</t>
  </si>
  <si>
    <t>MDT-DSG-2015-7217-EXTERNO</t>
  </si>
  <si>
    <t>MDT-DPTSPOM-2015-0665-EXTERNO</t>
  </si>
  <si>
    <t>MDT-DSG-2015-8703-EXTERNO</t>
  </si>
  <si>
    <t>MDT-DRTSPL-2015-0911-EXTERNO</t>
  </si>
  <si>
    <t>MDT-DSG-2015-8992-EXTERNO</t>
  </si>
  <si>
    <t xml:space="preserve">N° TRAMITE </t>
  </si>
  <si>
    <t>FECHA DE REASIGNACIÓN</t>
  </si>
  <si>
    <t>21 DIAS</t>
  </si>
  <si>
    <t xml:space="preserve">DIAS DE RETRAZO </t>
  </si>
  <si>
    <t>19 DÍAS</t>
  </si>
  <si>
    <t>13 DÍAS</t>
  </si>
  <si>
    <t>MDT-DSG-2015-3436-EXTERNO.</t>
  </si>
  <si>
    <t>09 DÍAS</t>
  </si>
  <si>
    <t>FUNCIONARIO RESPONSABLE</t>
  </si>
  <si>
    <t>LUIS QUEZADA</t>
  </si>
  <si>
    <t>SEGUIMIENTOS DE TRAMITES UNIDAD DE CERTIFICACIONES NACIONAL</t>
  </si>
  <si>
    <t>DT-DPTSPZCH-2015-0082-EXTERNO</t>
  </si>
  <si>
    <t>JUAN CARLOS MORENO</t>
  </si>
  <si>
    <t>7 DIAS</t>
  </si>
  <si>
    <t>MDT-DSG-2015-10664-EXTERNO</t>
  </si>
  <si>
    <t>MDT-DSG-2015-10855-EXTERNO</t>
  </si>
  <si>
    <t>11 DÍAS</t>
  </si>
  <si>
    <t>9 DÍAS</t>
  </si>
  <si>
    <t>MDT-DSG-2015-12011-EXTERNO</t>
  </si>
  <si>
    <t>8 DÍAS</t>
  </si>
  <si>
    <t>29 DÍAS</t>
  </si>
  <si>
    <t>RESPONDIDO A LOJA</t>
  </si>
  <si>
    <t>MDT-DRTSPQ-2015-0302-E</t>
  </si>
  <si>
    <t>11 Días</t>
  </si>
  <si>
    <t>IRENE LLUMIPANTA</t>
  </si>
  <si>
    <t>33 DÍAS</t>
  </si>
  <si>
    <t>23 DIA</t>
  </si>
  <si>
    <t>18 DIAS</t>
  </si>
  <si>
    <t>Colón Gustavo León Barcia</t>
  </si>
  <si>
    <t>15 DIAS</t>
  </si>
  <si>
    <t>10 DIAS</t>
  </si>
  <si>
    <t>Verónica Alexandra Cañar Sánchez</t>
  </si>
  <si>
    <t xml:space="preserve">DIAS DE RETRASO </t>
  </si>
  <si>
    <t>12 DIAS</t>
  </si>
  <si>
    <t xml:space="preserve">16 DIAS </t>
  </si>
  <si>
    <t>Viky De Los Ángeles Tapia Flores</t>
  </si>
  <si>
    <t>65 DIAS</t>
  </si>
  <si>
    <t>MDT-DRTSPG-2015-5961-EXTERNO</t>
  </si>
  <si>
    <t>SEGUIMIENTO 04/03/2015</t>
  </si>
  <si>
    <t>48 DIAS</t>
  </si>
  <si>
    <t>Evelyn Pamela Delgado Zapata</t>
  </si>
  <si>
    <t>68 DIAS</t>
  </si>
  <si>
    <t>36 DIAS</t>
  </si>
  <si>
    <t>35 DIAS</t>
  </si>
  <si>
    <t>TRAMITE PARA ATENDER EN AMBATO</t>
  </si>
  <si>
    <t>ATENDIDO POR LA UATH</t>
  </si>
  <si>
    <t>CONTROL</t>
  </si>
  <si>
    <t>Número de celdas en blanco</t>
  </si>
  <si>
    <t>Correcto / Incorrecto</t>
  </si>
  <si>
    <t>Guisela Del Cisne Celi Torres</t>
  </si>
  <si>
    <t>SEGUIMIENTO 06/03/2015</t>
  </si>
  <si>
    <t>UNIDAD RESPONSABLE</t>
  </si>
  <si>
    <t>SEGUIMIENTO 09/03/2015</t>
  </si>
  <si>
    <t>JUAN CALOR MORENO</t>
  </si>
  <si>
    <t xml:space="preserve"> Se reasigna el dia 02/03/2015 a Juan Carlos y el día 09/03/2015 recien reasigna el tramie para dar atención.</t>
  </si>
  <si>
    <t>6 DÍAS</t>
  </si>
  <si>
    <t>SEGUIMIENTO 12/03/2015</t>
  </si>
  <si>
    <t>29 DIAS</t>
  </si>
  <si>
    <t>30 DIAS</t>
  </si>
  <si>
    <t>BASE UNIDAD DE CERTIFICACIÓN DRTSPL</t>
  </si>
  <si>
    <t>ARCHIVO</t>
  </si>
  <si>
    <t>ENTREGADO</t>
  </si>
  <si>
    <t>RESPONDER</t>
  </si>
  <si>
    <t>INSPECTORIA</t>
  </si>
  <si>
    <t>UNIDAD JUDICIAL ESPECIALIZADA PRIMERA DE TRABAJO DEL CANTON LOJA</t>
  </si>
  <si>
    <t>UNIDAD JUDICIAL TERCERA ESPECIALIZADA DE LA FAMILIA, MUJER, NIÑEZ Y ADOLESCENCIA DEL CANTON LOJA</t>
  </si>
  <si>
    <t>UNIDAD JUDICIAL ESPECIALIZADA PRIMERA DE CONTRAVENCIONES DEL CANTON LOJA</t>
  </si>
  <si>
    <t>UNIDAD JUDICIAL ESPECIALIZADA PRIMERA DE CONTRAVENCIONES DEL CANTÓN LOJA</t>
  </si>
  <si>
    <t>UNIDAD JUDICIAL ESPECIALIZADA TERCERA DE FAMILIA, MUJER, NIÑEZ Y ADOLESCENCIA DEL CANTON LOJA</t>
  </si>
  <si>
    <t>UNIDAD JUDICIAL PRIMERA ESPECIALIZADA DE TRABAJO DE LOJA</t>
  </si>
  <si>
    <t>UNIDAD JUDICIAL CIVIL CON SEDE EN EL CANTON CATAMAYO</t>
  </si>
  <si>
    <t>UNIDAD JUDICIAL ESPECIALIZADA PRIMERA DE TRABAJO DEL CANTÓN LOJA</t>
  </si>
  <si>
    <t>UNIDAD JUDICIAL TERCERA DE LA FAMILIA, MUJER, NIÑEZ Y ADOLESCENCIA DEL CANTON LOJA</t>
  </si>
  <si>
    <t>UNIDAD JUDICIAL ESPECIALIZADA TERCERA DE LA FAMILIA, MUJER, NIÑEZ Y ADOLESCENCIA DE LOJA</t>
  </si>
  <si>
    <t>UNIDAD JUDICIAL CIVIL CON SEDE EN EL CANTON CELICA</t>
  </si>
  <si>
    <t>UNIDAD JUDICIAL ESPECIALIZADA TERCERA DE LA FAMILIA, MUJER, NIÑEZ Y ADOLESCENCIA DEL CANTON LOJA</t>
  </si>
  <si>
    <t>UNIDAD JUDICIAL PRIMERA DE LA FAMILIA, MUJER, NIÑEZ Y ADOLESCENCIA DEL CANTÓN CATAMAYO</t>
  </si>
  <si>
    <t>DIRECCION REGIONAL</t>
  </si>
  <si>
    <t>MDT-DRTSPL-2015-0004-EXTERNO</t>
  </si>
  <si>
    <t>MDT-DRTSPL-2015-0006-EXTERNO</t>
  </si>
  <si>
    <t>MDT-DRTSPL-2015-0007-EXTERNO</t>
  </si>
  <si>
    <t>MDT-DRTSPL-2015-0009-EXTERNO</t>
  </si>
  <si>
    <t>MDT-DRTSPL-2015-0010-EXTERNO</t>
  </si>
  <si>
    <t>MDT-DRTSPL-2015-0013-EXTERNO</t>
  </si>
  <si>
    <t>MDT-DRTSPL-2015-0016-EXTERNO</t>
  </si>
  <si>
    <t>MDT-DRTSPL-2015-0034-EXTERNO</t>
  </si>
  <si>
    <t>MDT-DRTSPL-2015-0038-EXTERNO</t>
  </si>
  <si>
    <t>MDT-DRTSPL-2015-0040-EXTERNO</t>
  </si>
  <si>
    <t>MDT-DRTSPL-2015-0057-EXTERNO</t>
  </si>
  <si>
    <t>MDT-DRTSPL-2015-0059-EXTERNO</t>
  </si>
  <si>
    <t>MDT-DRTSPL-2015-0086-EXTERNO</t>
  </si>
  <si>
    <t>MDT-DRTSPL-2015-0092-EXTERNO</t>
  </si>
  <si>
    <t>MDT-DRTSPL-2015-0093-EXTERNO</t>
  </si>
  <si>
    <t>MDT-DRTSPL-2015-0094-EXTERNO</t>
  </si>
  <si>
    <t>MDT-DRTSPL-2015-0098-EXTERNO</t>
  </si>
  <si>
    <t>MDT-DRTSPL-2015-0099-EXTERNO</t>
  </si>
  <si>
    <t>MDT-DRTSPL-2015-0100-EXTERNO</t>
  </si>
  <si>
    <t>MDT-DRTSPL-2015-0101-EXTERNO</t>
  </si>
  <si>
    <t>MDT-DRTSPL-2015-0102-EXTERNO</t>
  </si>
  <si>
    <t>MDT-DRTSPL-2015-0108-EXTERNO</t>
  </si>
  <si>
    <t>MDT-DRTSPL-2015-0113-EXTERNO</t>
  </si>
  <si>
    <t>MDT-DRTSPL-2015-0114-EXTERNO</t>
  </si>
  <si>
    <t>MDT-DRTSPL-2015-0115-EXTERNO</t>
  </si>
  <si>
    <t>MDT-DRTSPL-2015-0117-EXTERNO</t>
  </si>
  <si>
    <t>MDT-DRTSPL-2015-0120-EXTERNO</t>
  </si>
  <si>
    <t>MDT-DRTSPL-2015-0121-EXTERNO</t>
  </si>
  <si>
    <t>MDT-DRTSPL-2015-0122-EXTERNO</t>
  </si>
  <si>
    <t>MDT-DRTSPL-2015-0123-EXTERNO</t>
  </si>
  <si>
    <t>MDT-DRTSPL-2015-0125-EXTERNO</t>
  </si>
  <si>
    <t>MDT-DRTSPL-2015-0126-EXTERNO</t>
  </si>
  <si>
    <t>MDT-DRTSPL-2015-0129-EXTERNO</t>
  </si>
  <si>
    <t>MDT-DRTSPL-2015-0130-EXTERNO</t>
  </si>
  <si>
    <t>MDT-DRTSPL-2015-0132-EXTERNO</t>
  </si>
  <si>
    <t>MDT-DRTSPL-2015-0133-EXTERNO</t>
  </si>
  <si>
    <t>MDT-DRTSPL-2015-0134-EXTERNO</t>
  </si>
  <si>
    <t>MDT-DRTSPL-2015-0135-EXTERNO</t>
  </si>
  <si>
    <t>MDT-DRTSPL-2015-0136-EXTERNO</t>
  </si>
  <si>
    <t>MDT-DRTSPL-2015-0137-EXTERNO</t>
  </si>
  <si>
    <t>MDT-DRTSPL-2015-0138-EXTERNO</t>
  </si>
  <si>
    <t>MDT-DRTSPL-2015-0140-EXTERNO</t>
  </si>
  <si>
    <t>MDT-DRTSPL-2015-0141-EXTERNO</t>
  </si>
  <si>
    <t>MDT-DRTSPL-2015-0144-EXTERNO</t>
  </si>
  <si>
    <t>MDT-DRTSPL-2015-0146-EXTERNO</t>
  </si>
  <si>
    <t>MDT-DRTSPL-2015-0147-EXTERNO</t>
  </si>
  <si>
    <t>MDT-DRTSPL-2015-0148-EXTERNO</t>
  </si>
  <si>
    <t>MDT-DRTSPL-2015-0150-EXTERNO</t>
  </si>
  <si>
    <t>MDT-DRTSPL-2015-0152-EXTERNO</t>
  </si>
  <si>
    <t>MDT-DRTSPL-2015-0154-EXTERNO</t>
  </si>
  <si>
    <t>MDT-DRTSPL-2015-0160-EXTERNO</t>
  </si>
  <si>
    <t>MDT-DRTSPL-2015-0161-EXTERNO</t>
  </si>
  <si>
    <t>MDT-DRTSPL-2015-0165-EXTERNO</t>
  </si>
  <si>
    <t>MDT-DRTSPL-2015-0171-EXTERNO</t>
  </si>
  <si>
    <t>MDT-DRTSPL-2015-0176-EXTERNO</t>
  </si>
  <si>
    <t>MDT-DRTSPL-2015-0178-EXTERNO</t>
  </si>
  <si>
    <t>MDT-DRTSPL-2015-0183-EXTERNO</t>
  </si>
  <si>
    <t>MDT-DRTSPL-2015-0191-EXTERNO</t>
  </si>
  <si>
    <t>MDT-DRTSPL-2015-0200-EXTERNO</t>
  </si>
  <si>
    <t>MDT-DRTSPL-2015-0201-EXTERNO</t>
  </si>
  <si>
    <t>MDT-DRTSPL-2015-0209-EXTERNO</t>
  </si>
  <si>
    <t>MDT-DRTSPL-2015-0210-EXTERNO</t>
  </si>
  <si>
    <t>MDT-DRTSPL-2015-0212-EXTERNO</t>
  </si>
  <si>
    <t>MDT-DRTSPL-2015-0214-EXTERNO</t>
  </si>
  <si>
    <t>MDT-DRTSPL-2015-0220-EXTERNO</t>
  </si>
  <si>
    <t>MDT-DRTSPL-2015-0232-EXTERNO</t>
  </si>
  <si>
    <t>MDT-DRTSPL-2015-0245-EXTERNO</t>
  </si>
  <si>
    <t>MDT-DRTSPL-2015-0246-EXTERNO</t>
  </si>
  <si>
    <t>MDT-DRTSPL-2015-0252-EXTERNO</t>
  </si>
  <si>
    <t>MDT-DRTSPL-2015-0253-EXTERNO</t>
  </si>
  <si>
    <t>MDT-DRTSPL-2015-0257-EXTERNO</t>
  </si>
  <si>
    <t>MDT-DRTSPL-2015-0262-EXTERNO</t>
  </si>
  <si>
    <t>MDT-DRTSPL-2015-0270-EXTERNO</t>
  </si>
  <si>
    <t>MDT-DRTSPL-2015-0278-EXTERNO</t>
  </si>
  <si>
    <t>MDT-DRTSPL-2015-0282-EXTERNO</t>
  </si>
  <si>
    <t>MDT-DRTSPL-2015-0283-EXTERNO</t>
  </si>
  <si>
    <t>MDT-DRTSPL-2015-0284-EXTERNO</t>
  </si>
  <si>
    <t>MDT-DRTSPL-2015-0286-EXTERNO</t>
  </si>
  <si>
    <t>MDT-DRTSPL-2015-0287-EXTERNO</t>
  </si>
  <si>
    <t>MDT-DRTSPL-2015-0288-EXTERNO</t>
  </si>
  <si>
    <t>MDT-DRTSPL-2015-0289-EXTERNO</t>
  </si>
  <si>
    <t>MDT-DRTSPL-2015-0290-EXTERNO</t>
  </si>
  <si>
    <t>MDT-DRTSPL-2015-0291-EXTERNO</t>
  </si>
  <si>
    <t>MDT-DRTSPL-2015-0293-EXTERNO</t>
  </si>
  <si>
    <t>MDT-DRTSPL-2015-0294-EXTERNO</t>
  </si>
  <si>
    <t>MDT-DRTSPL-2015-0295-EXTERNO</t>
  </si>
  <si>
    <t>MDT-DRTSPL-2015-0296-EXTERNO</t>
  </si>
  <si>
    <t>MDT-DRTSPL-2015-0297-EXTERNO</t>
  </si>
  <si>
    <t>MDT-DRTSPL-2015-0306-EXTERNO</t>
  </si>
  <si>
    <t>MDT-DRTSPL-2015-0307-EXTERNO</t>
  </si>
  <si>
    <t>MDT-DRTSPL-2015-0316-EXTERNO</t>
  </si>
  <si>
    <t>MDT-DRTSPL-2015-0327-EXTERNO</t>
  </si>
  <si>
    <t>MDT-DRTSPL-2015-0328-EXTERNO</t>
  </si>
  <si>
    <t>MDT-DRTSPL-2015-0329-EXTERNO</t>
  </si>
  <si>
    <t>MDT-DRTSPL-2015-0330-EXTERNO</t>
  </si>
  <si>
    <t>MDT-DRTSPL-2015-0331-EXTERNO</t>
  </si>
  <si>
    <t>MDT-DRTSPL-2015-0333-EXTERNO</t>
  </si>
  <si>
    <t>MDT-DRTSPL-2015-0342-EXTERNO</t>
  </si>
  <si>
    <t>MDT-DRTSPL-2015-0350-EXTERNO</t>
  </si>
  <si>
    <t>MDT-DRTSPL-2015-0351-EXTERNO</t>
  </si>
  <si>
    <t>MDT-DRTSPL-2015-0353-EXTERNO</t>
  </si>
  <si>
    <t>MDT-DRTSPL-2015-0354-EXTERNO</t>
  </si>
  <si>
    <t>MDT-DRTSPL-2015-0358-EXTERNO</t>
  </si>
  <si>
    <t>MDT-DRTSPL-2015-0364-EXTERNO</t>
  </si>
  <si>
    <t>MDT-DRTSPL-2015-0366-EXTERNO</t>
  </si>
  <si>
    <t>MDT-DRTSPL-2015-0367-EXTERNO</t>
  </si>
  <si>
    <t>MDT-DRTSPL-2015-0369-EXTERNO</t>
  </si>
  <si>
    <t>MDT-DRTSPL-2015-0374-EXTERNO</t>
  </si>
  <si>
    <t>MDT-DRTSPL-2015-0380-EXTERNO</t>
  </si>
  <si>
    <t>MDT-DRTSPL-2015-0382-EXTERNO</t>
  </si>
  <si>
    <t>MDT-DRTSPL-2015-0384-EXTERNO</t>
  </si>
  <si>
    <t>MDT-DRTSPL-2015-0385-EXTERNO</t>
  </si>
  <si>
    <t>MDT-DRTSPL-2015-0391-EXTERNO</t>
  </si>
  <si>
    <t>MDT-DRTSPL-2015-0394-EXTERNO</t>
  </si>
  <si>
    <t>MDT-DRTSPL-2015-0395-EXTERNO</t>
  </si>
  <si>
    <t>MDT-DRTSPL-2015-0398-EXTERNO</t>
  </si>
  <si>
    <t>MDT-DRTSPL-2015-0402-EXTERNO</t>
  </si>
  <si>
    <t>MDT-DRTSPL-2015-0409-EXTERNO</t>
  </si>
  <si>
    <t>MDT-DRTSPL-2015-0410-EXTERNO</t>
  </si>
  <si>
    <t>MDT-DRTSPL-2015-0413-EXTERNO</t>
  </si>
  <si>
    <t>MDT-DRTSPL-2015-0417-EXTERNO</t>
  </si>
  <si>
    <t>MDT-DRTSPL-2015-0420-EXTERNO</t>
  </si>
  <si>
    <t>MDT-DRTSPL-2015-0433-EXTERNO</t>
  </si>
  <si>
    <t>MDT-DRTSPL-2015-0435-EXTERNO</t>
  </si>
  <si>
    <t>MDT-DRTSPL-2015-0436-EXTERNO</t>
  </si>
  <si>
    <t>MDT-DRTSPL-2015-0437-EXTERNO</t>
  </si>
  <si>
    <t>MDT-DRTSPL-2015-0438-EXTERNO</t>
  </si>
  <si>
    <t>MDT-DRTSPL-2015-0439-EXTERNO</t>
  </si>
  <si>
    <t>MDT-DRTSPL-2015-0441-EXTERNO</t>
  </si>
  <si>
    <t>MDT-DRTSPL-2015-0443-EXTERNO</t>
  </si>
  <si>
    <t>MDT-DRTSPL-2015-0444-EXTERNO</t>
  </si>
  <si>
    <t>MDT-DRTSPL-2015-0451-EXTERNO</t>
  </si>
  <si>
    <t>MDT-DRTSPL-2015-0452-EXTERNO</t>
  </si>
  <si>
    <t>MDT-DRTSPL-2015-0454-EXTERNO</t>
  </si>
  <si>
    <t>MDT-DRTSPL-2015-0456-EXTERNO</t>
  </si>
  <si>
    <t>MDT-DRTSPL-2015-0458-EXTERNO</t>
  </si>
  <si>
    <t>MDT-DRTSPL-2015-0459-EXTERNO</t>
  </si>
  <si>
    <t>MDT-DRTSPL-2015-0460-EXTERNO</t>
  </si>
  <si>
    <t>MDT-DRTSPL-2015-0461-EXTERNO</t>
  </si>
  <si>
    <t>MDT-DRTSPL-2015-0465-EXTERNO</t>
  </si>
  <si>
    <t>MDT-DRTSPL-2015-0466-EXTERNO</t>
  </si>
  <si>
    <t>MDT-DRTSPL-2015-0467-EXTERNO</t>
  </si>
  <si>
    <t>MDT-DRTSPL-2015-0468-EXTERNO</t>
  </si>
  <si>
    <t>MDT-DRTSPL-2015-0477-EXTERNO</t>
  </si>
  <si>
    <t>MDT-DRTSPL-2015-0479-EXTERNO</t>
  </si>
  <si>
    <t>MDT-DRTSPL-2015-0482-EXTERNO</t>
  </si>
  <si>
    <t>MDT-DRTSPL-2015-0485-EXTERNO</t>
  </si>
  <si>
    <t>MDT-DRTSPL-2015-0486-EXTERNO</t>
  </si>
  <si>
    <t>MDT-DRTSPL-2015-0487-EXTERNO</t>
  </si>
  <si>
    <t>MDT-DRTSPL-2015-0488-EXTERNO</t>
  </si>
  <si>
    <t>MDT-DRTSPL-2015-0489-EXTERNO</t>
  </si>
  <si>
    <t>MDT-DRTSPL-2015-0493-EXTERNO</t>
  </si>
  <si>
    <t>MDT-DRTSPL-2015-0507-EXTERNO</t>
  </si>
  <si>
    <t>MDT-DRTSPL-2015-0516-EXTERNO</t>
  </si>
  <si>
    <t>MDT-DRTSPL-2015-0519-EXTERNO</t>
  </si>
  <si>
    <t>MDT-DRTSPL-2015-0521-EXTERNO</t>
  </si>
  <si>
    <t>MDT-DRTSPL-2015-0523-EXTERNO</t>
  </si>
  <si>
    <t>MDT-DRTSPL-2015-0534-EXTERNO</t>
  </si>
  <si>
    <t>MDT-DRTSPL-2015-0549-EXTERNO</t>
  </si>
  <si>
    <t>MDT-DRTSPL-2015-0551-EXTERNO</t>
  </si>
  <si>
    <t>MDT-DRTSPL-2015-0553-EXTERNO</t>
  </si>
  <si>
    <t>MDT-DRTSPL-2015-0554-EXTERNO</t>
  </si>
  <si>
    <t>MDT-DRTSPL-2015-0557-EXTERNO</t>
  </si>
  <si>
    <t>MDT-DRTSPL-2015-0558-EXTERNO</t>
  </si>
  <si>
    <t>MDT-DRTSPL-2015-0559-EXTERNO</t>
  </si>
  <si>
    <t>MDT-DRTSPL-2015-0561-EXTERNO</t>
  </si>
  <si>
    <t>MDT-DRTSPL-2015-0564-EXTERNO</t>
  </si>
  <si>
    <t>MDT-DRTSPL-2015-0565-EXTERNO</t>
  </si>
  <si>
    <t>MDT-DRTSPL-2015-0566-EXTERNO</t>
  </si>
  <si>
    <t>MDT-DRTSPL-2015-0567-EXTERNO</t>
  </si>
  <si>
    <t>MDT-DRTSPL-2015-0568-EXTERNO</t>
  </si>
  <si>
    <t>MDT-DRTSPL-2015-0570-EXTERNO</t>
  </si>
  <si>
    <t>MDT-DRTSPL-2015-0571-EXTERNO</t>
  </si>
  <si>
    <t>MDT-DRTSPL-2015-0572-EXTERNO</t>
  </si>
  <si>
    <t>MDT-DRTSPL-2015-0573-EXTERNO</t>
  </si>
  <si>
    <t>MDT-DRTSPL-2015-0574-EXTERNO</t>
  </si>
  <si>
    <t>MDT-DRTSPL-2015-0575-EXTERNO</t>
  </si>
  <si>
    <t>MDT-DRTSPL-2015-0576-EXTERNO</t>
  </si>
  <si>
    <t>MDT-DRTSPL-2015-0579-EXTERNO</t>
  </si>
  <si>
    <t>MDT-DRTSPL-2015-0583-EXTERNO</t>
  </si>
  <si>
    <t>MDT-DRTSPL-2015-0587-EXTERNO</t>
  </si>
  <si>
    <t>MDT-DRTSPL-2015-0590-EXTERNO</t>
  </si>
  <si>
    <t>MDT-DRTSPL-2015-0597-EXTERNO</t>
  </si>
  <si>
    <t>MDT-DRTSPL-2015-0613-EXTERNO</t>
  </si>
  <si>
    <t>MDT-DRTSPL-2015-0619-EXTERNO</t>
  </si>
  <si>
    <t>MDT-DRTSPL-2015-0620-EXTERNO</t>
  </si>
  <si>
    <t>MDT-DRTSPL-2015-0622-EXTERNO</t>
  </si>
  <si>
    <t>MDT-DRTSPL-2015-0623-EXTERNO</t>
  </si>
  <si>
    <t>MDT-DRTSPL-2015-0625-EXTERNO</t>
  </si>
  <si>
    <t>MDT-DRTSPL-2015-0628-EXTERNO</t>
  </si>
  <si>
    <t>MDT-DRTSPL-2015-0631-EXTERNO</t>
  </si>
  <si>
    <t>MDT-DRTSPL-2015-0636-EXTERNO</t>
  </si>
  <si>
    <t>MDT-DRTSPL-2015-0637-EXTERNO</t>
  </si>
  <si>
    <t>MDT-DRTSPL-2015-0639-EXTERNO</t>
  </si>
  <si>
    <t>MDT-DRTSPL-2015-0647-EXTERNO</t>
  </si>
  <si>
    <t>MDT-DRTSPL-2015-0653-EXTERNO</t>
  </si>
  <si>
    <t>MDT-DRTSPL-2015-0656-EXTERNO</t>
  </si>
  <si>
    <t>MDT-DRTSPL-2015-0659-EXTERNO</t>
  </si>
  <si>
    <t>MDT-DRTSPL-2015-0660-EXTERNO</t>
  </si>
  <si>
    <t>MDT-DRTSPL-2015-0664-EXTERNO</t>
  </si>
  <si>
    <t>MDT-DRTSPL-2015-0667-EXTERNO</t>
  </si>
  <si>
    <t>MDT-DRTSPL-2015-0672-EXTERNO</t>
  </si>
  <si>
    <t>MDT-DRTSPL-2015-0683-EXTERNO</t>
  </si>
  <si>
    <t>MDT-DRTSPL-2015-0693-EXTERNO</t>
  </si>
  <si>
    <t>MDT-DRTSPL-2015-0694-EXTERNO</t>
  </si>
  <si>
    <t>MDT-DRTSPL-2015-0696-EXTERNO</t>
  </si>
  <si>
    <t>MDT-DRTSPL-2015-0697-EXTERNO</t>
  </si>
  <si>
    <t>MDT-DRTSPL-2015-0711-EXTERNO</t>
  </si>
  <si>
    <t>MDT-DRTSPL-2015-0712-EXTERNO</t>
  </si>
  <si>
    <t>MDT-DRTSPL-2015-0713-EXTERNO</t>
  </si>
  <si>
    <t>MDT-DRTSPL-2015-0721-EXTERNO</t>
  </si>
  <si>
    <t>MDT-DRTSPL-2015-0723-EXTERNO</t>
  </si>
  <si>
    <t>MDT-DRTSPL-2015-0727-EXTERNO</t>
  </si>
  <si>
    <t>MDT-DRTSPL-2015-0729-EXTERNO</t>
  </si>
  <si>
    <t>MDT-DRTSPL-2015-0730-EXTERNO</t>
  </si>
  <si>
    <t>MDT-DRTSPL-2015-0731-EXTERNO</t>
  </si>
  <si>
    <t>MDT-DRTSPL-2015-0732-EXTERNO</t>
  </si>
  <si>
    <t>MDT-DRTSPL-2015-0739-EXTERNO</t>
  </si>
  <si>
    <t>MDT-DRTSPL-2015-0742-EXTERNO</t>
  </si>
  <si>
    <t>MDT-DRTSPL-2015-0746-EXTERNO</t>
  </si>
  <si>
    <t>MDT-DRTSPL-2015-0747-EXTERNO</t>
  </si>
  <si>
    <t>MDT-DRTSPL-2015-0748-EXTERNO</t>
  </si>
  <si>
    <t>MDT-DRTSPL-2015-0754-EXTERNO</t>
  </si>
  <si>
    <t>MDT-DRTSPL-2015-0756-EXTERNO</t>
  </si>
  <si>
    <t>MDT-DRTSPL-2015-0757-EXTERNO</t>
  </si>
  <si>
    <t>MDT-DRTSPL-2015-0758-EXTERNO</t>
  </si>
  <si>
    <t>MDT-DRTSPL-2015-0764-EXTERNO</t>
  </si>
  <si>
    <t>MDT-DRTSPL-2015-0766-EXTERNO</t>
  </si>
  <si>
    <t>MDT-DRTSPL-2015-0807-EXTERNO</t>
  </si>
  <si>
    <t>MDT-DRTSPL-2015-0812-EXTERNO</t>
  </si>
  <si>
    <t>MDT-DRTSPL-2015-0820-EXTERNO</t>
  </si>
  <si>
    <t>MDT-DRTSPL-2015-0823-EXTERNO</t>
  </si>
  <si>
    <t>MDT-DRTSPL-2015-0832-EXTERNO</t>
  </si>
  <si>
    <t>MDT-DRTSPL-2015-0834-EXTERNO</t>
  </si>
  <si>
    <t>MDT-DRTSPL-2015-0836-EXTERNO</t>
  </si>
  <si>
    <t>MDT-DRTSPL-2015-0856-EXTERNO</t>
  </si>
  <si>
    <t>MDT-DRTSPL-2015-0857-EXTERNO</t>
  </si>
  <si>
    <t>MDT-DRTSPL-2015-0858-EXTERNO</t>
  </si>
  <si>
    <t>MDT-DRTSPL-2015-0864-EXTERNO</t>
  </si>
  <si>
    <t>MDT-DRTSPL-2015-0866-EXTERNO</t>
  </si>
  <si>
    <t>MDT-DRTSPL-2015-0867-EXTERNO</t>
  </si>
  <si>
    <t>MDT-DRTSPL-2015-0868-EXTERNO</t>
  </si>
  <si>
    <t>MDT-DRTSPL-2015-0129-M</t>
  </si>
  <si>
    <t>MDT-DRTSPL-2015-0073-O</t>
  </si>
  <si>
    <t>MDT-DRTSPL-2015-0131-M</t>
  </si>
  <si>
    <t>MDT-DRTSPL-2015-0064-O</t>
  </si>
  <si>
    <t>MDT-DRTSPL-2015-0132-M</t>
  </si>
  <si>
    <t>MDT-DRTSPL-2015-0072-O</t>
  </si>
  <si>
    <t>MDT-DRTSPL-2015-0133-M</t>
  </si>
  <si>
    <t>MDT-DRTSPL-2015-0074-O</t>
  </si>
  <si>
    <t>MDT-DRTSPL-2015-0134-M</t>
  </si>
  <si>
    <t>MDT-DRTSPL-2015-0065-O</t>
  </si>
  <si>
    <t>MDT-DRTSPL-2015-0136-M</t>
  </si>
  <si>
    <t>MDT-DRTSPL-2015-0067-O</t>
  </si>
  <si>
    <t>MDT-DRTSPL-2015-0137-M</t>
  </si>
  <si>
    <t>MDT-DRTSPL-2015-0070-O</t>
  </si>
  <si>
    <t>PRIMERA SALA DEL TRIBUNAL DISTRITAL DE LO CONTENCIOSO ADMINISTRATIVO Nº5 DE LOJA Y ZAMORA CHINCHIPE</t>
  </si>
  <si>
    <t>MDT-DRTSPL-2015-0141-M</t>
  </si>
  <si>
    <t>MDT-DRTSPL-2015-0071-O</t>
  </si>
  <si>
    <t>MDT-DRTSPL-2015-0138-M</t>
  </si>
  <si>
    <t>MDT-DRTSPL-2015-0066-O</t>
  </si>
  <si>
    <t>MDT-DRTSPL-2015-0139-M</t>
  </si>
  <si>
    <t>MDT-DRTSPL-2015-0068-O</t>
  </si>
  <si>
    <t>MDT-DRTSPL-2015-0140-M</t>
  </si>
  <si>
    <t>MDT-DRTSPL-2015-0069-O</t>
  </si>
  <si>
    <t>MDT-DRTSPL-2015-0094-M</t>
  </si>
  <si>
    <t>MDT-DRTSPL-2015-0014-O</t>
  </si>
  <si>
    <t>1104928989</t>
  </si>
  <si>
    <t>MDT-DRTSPL-2015-0019-M</t>
  </si>
  <si>
    <t>MDT-DRTSPL-2015-0003-O</t>
  </si>
  <si>
    <t>1104014939</t>
  </si>
  <si>
    <t>MDT-DRTSPL-2015-0036-M</t>
  </si>
  <si>
    <t>MDT-DRTSPL-2015-0006-O</t>
  </si>
  <si>
    <t>1900620368</t>
  </si>
  <si>
    <t>MDT-DRTSPL-2015-0105-M</t>
  </si>
  <si>
    <t>MDT-DRTSPL-2015-0022-O</t>
  </si>
  <si>
    <t>1103808067</t>
  </si>
  <si>
    <t>MDT-DRTSPL-2015-0097-M</t>
  </si>
  <si>
    <t>MDT-DRTSPL-2015-0017-O</t>
  </si>
  <si>
    <t>MDT-DRTSPL-2015-0095-M</t>
  </si>
  <si>
    <t>MDT-DRTSPL-2015-0015-O</t>
  </si>
  <si>
    <t>MDT-DRTSPL-2015-0098-M</t>
  </si>
  <si>
    <t>MDT-DRTSPL-2015-0018-O</t>
  </si>
  <si>
    <t>MDT-DRTSPL-2015-0096-M</t>
  </si>
  <si>
    <t>MDT-DRTSPL-2015-0016-O</t>
  </si>
  <si>
    <t>MDT-DRTSPL-2015-0099-M</t>
  </si>
  <si>
    <t>MDT-DRTSPL-2015-0012-O</t>
  </si>
  <si>
    <t>1102954466</t>
  </si>
  <si>
    <t>MDT-DRTSPL-2015-0192-M</t>
  </si>
  <si>
    <t>MDT-DRTSPL-2015-0104-O</t>
  </si>
  <si>
    <t>MDT-DRTSPL-2015-0193-M</t>
  </si>
  <si>
    <t>MDT-DRTSPL-2015-0102-O</t>
  </si>
  <si>
    <t>UNIDAD JUDICIAL MULTICOMPETENTE DE ZAMORA, DE LA PROVINCIA DE ZAMORA CHINCHIPE</t>
  </si>
  <si>
    <t>MDT-DRTSPL-2015-0194-M</t>
  </si>
  <si>
    <t>MDT-DRTSPL-2015-0106-O</t>
  </si>
  <si>
    <t xml:space="preserve"> PRIMERA SALA DEL TRIBUNAL DISTRITAL DE LO CONTENCIOSO ADMINISTRATIVO N° 5 DE LOJA Y ZAMORA CHINCHIPE</t>
  </si>
  <si>
    <t>MDT-DRTSPL-2015-0228-M</t>
  </si>
  <si>
    <t>MDT-DRTSPL-2015-0127-O</t>
  </si>
  <si>
    <t>CELICA</t>
  </si>
  <si>
    <t>MDT-DRTSPL-2015-0195-M</t>
  </si>
  <si>
    <t>MDT-DRTSPL-2015-0105-O</t>
  </si>
  <si>
    <t>MDT-DRTSPL-2015-0196-M</t>
  </si>
  <si>
    <t>MDT-DRTSPL-2015-0108-O</t>
  </si>
  <si>
    <t>MDT-DRTSPL-2015-0197-M</t>
  </si>
  <si>
    <t>MDT-DRTSPL-2015-0110-O</t>
  </si>
  <si>
    <t>MDT-DRTSPL-2015-0198-M</t>
  </si>
  <si>
    <t>MDT-DRTSPL-2015-0109-O</t>
  </si>
  <si>
    <t>MDT-DRTSPL-2015-0199-M</t>
  </si>
  <si>
    <t>MDT-DRTSPL-2015-0111-O</t>
  </si>
  <si>
    <t>MDT-DRTSPL-2015-0145-M</t>
  </si>
  <si>
    <t>MDT-DRTSPL-2015-0051-O</t>
  </si>
  <si>
    <t>MDT-DRTSPL-2015-0200-M</t>
  </si>
  <si>
    <t>MDT-DRTSPL-2015-0112-O</t>
  </si>
  <si>
    <t>MDT-DRTSPL-2015-0108-M</t>
  </si>
  <si>
    <t>MDT-DRTSPL-2015-0040-O</t>
  </si>
  <si>
    <t>1103678544</t>
  </si>
  <si>
    <t>MDT-DRTSPL-2015-0201-M</t>
  </si>
  <si>
    <t>MDT-DRTSPL-2015-0114-O</t>
  </si>
  <si>
    <t>MDT-DRTSPL-2015-0146-M</t>
  </si>
  <si>
    <t>MDT-DRTSPL-2015-0052-O</t>
  </si>
  <si>
    <t>MDT-DRTSPL-2015-0202-M</t>
  </si>
  <si>
    <t>MDT-DRTSPL-2015-0116-O</t>
  </si>
  <si>
    <t>MDT-DRTSPL-2015-0203-M</t>
  </si>
  <si>
    <t>MDT-DRTSPL-2015-0118-O</t>
  </si>
  <si>
    <t>MDT-DRTSPL-2015-0204-M</t>
  </si>
  <si>
    <t>MDT-DRTSPL-2015-0188-M</t>
  </si>
  <si>
    <t>MDT-DRTSPL-2015-0084-O</t>
  </si>
  <si>
    <t>MDT-DRTSPL-2015-0187-M</t>
  </si>
  <si>
    <t>MDT-DRTSPL-2015-0085-O</t>
  </si>
  <si>
    <t>MDT-DRTSPL-2015-0186-M</t>
  </si>
  <si>
    <t>MDT-DRTSPL-2015-0185-M</t>
  </si>
  <si>
    <t>MDT-DRTSPL-2015-0087-O</t>
  </si>
  <si>
    <t>MDT-DRTSPL-2015-0191-M</t>
  </si>
  <si>
    <t>MDT-DRTSPL-2015-0103-O</t>
  </si>
  <si>
    <t>MDT-DRTSPL-2015-0184-M</t>
  </si>
  <si>
    <t>MDT-DRTSPL-2015-0088-O</t>
  </si>
  <si>
    <t>MDT-DRTSPL-2015-0183-M</t>
  </si>
  <si>
    <t>MDT-DRTSPL-2015-0089-O</t>
  </si>
  <si>
    <t>MDT-DRTSPL-2015-0182-M</t>
  </si>
  <si>
    <t>MDT-DRTSPL-2015-0080-O</t>
  </si>
  <si>
    <t>MDT-DRTSPL-2015-0181-M</t>
  </si>
  <si>
    <t>MDT-DRTSPL-2015-0083-O</t>
  </si>
  <si>
    <t>MDT-DRTSPL-2015-0180-M</t>
  </si>
  <si>
    <t>MDT-DRTSPL-2015-0081-O</t>
  </si>
  <si>
    <t>MDT-DRTSPL-2015-0205-M</t>
  </si>
  <si>
    <t>MDT-DRTSPL-2015-0119-O</t>
  </si>
  <si>
    <t>MDT-DRTSPL-2015-0179-M</t>
  </si>
  <si>
    <t>MDT-DRTSPL-2015-0209-M</t>
  </si>
  <si>
    <t>MDT-DRTSPL-2015-0113-O</t>
  </si>
  <si>
    <t>MDT-DRTSPL-2015-0208-M</t>
  </si>
  <si>
    <t>MDT-DRTSPL-2015-0115-O</t>
  </si>
  <si>
    <t>MDT-DRTSPL-2015-0152-M</t>
  </si>
  <si>
    <t>MDT-DRTSPL-2015-0061-O</t>
  </si>
  <si>
    <t>MDT-DRTSPL-2015-0175-M</t>
  </si>
  <si>
    <t>MDT-DRTSPL-2015-0077-O</t>
  </si>
  <si>
    <t>1103639413</t>
  </si>
  <si>
    <t>MDT-DRTSPL-2015-0154-M</t>
  </si>
  <si>
    <t>MDT-DRTSPL-2015-0054-O</t>
  </si>
  <si>
    <t>1103991129</t>
  </si>
  <si>
    <t>1104620859</t>
  </si>
  <si>
    <t>MDT-DRTSPL-2015-0155-M</t>
  </si>
  <si>
    <t>MDT-DRTSPL-2015-0056-O</t>
  </si>
  <si>
    <t>MDT-DRTSPL-2015-0117-O</t>
  </si>
  <si>
    <t>1104956345</t>
  </si>
  <si>
    <t>MDT-DRTSPL-2015-0156-M</t>
  </si>
  <si>
    <t>MDT-DRTSPL-2015-0055-O</t>
  </si>
  <si>
    <t>MDT-DRTSPL-2015-0157-M</t>
  </si>
  <si>
    <t>MDT-DRTSPL-2015-0050-O</t>
  </si>
  <si>
    <t>104083199</t>
  </si>
  <si>
    <t>MDT-DRTSPL-2015-0153-M</t>
  </si>
  <si>
    <t>MDT-DRTSPL-2015-0062-O</t>
  </si>
  <si>
    <t>MDT-DRTSPL-2015-0063-O</t>
  </si>
  <si>
    <t>1104184187</t>
  </si>
  <si>
    <t>1104510936</t>
  </si>
  <si>
    <t>MDT-DRTSPL-2015-0162-M</t>
  </si>
  <si>
    <t>MDT-DRTSPL-2015-0060-O</t>
  </si>
  <si>
    <t>MDT-DRTSPL-2015-0161-M</t>
  </si>
  <si>
    <t>MDT-DRTSPL-2015-0059-O</t>
  </si>
  <si>
    <t>0705891083</t>
  </si>
  <si>
    <t>1102871223</t>
  </si>
  <si>
    <t>MDT-DRTSPL-2015-0160-M</t>
  </si>
  <si>
    <t>MDT-DRTSPL-2015-0058-O</t>
  </si>
  <si>
    <t>MDT-DRTSPL-2015-0268-M</t>
  </si>
  <si>
    <t>MDT-DRTSPL-2015-0145-O</t>
  </si>
  <si>
    <t>MDT-DRTSPL-2015-0159-M</t>
  </si>
  <si>
    <t>MDT-DRTSPL-2015-0053-O</t>
  </si>
  <si>
    <t>MDT-DRTSPL-2015-0075-O</t>
  </si>
  <si>
    <t>1104456965</t>
  </si>
  <si>
    <t>MDT-DRTSPL-2015-0176-M</t>
  </si>
  <si>
    <t>MDT-DRTSPL-2015-0076-O</t>
  </si>
  <si>
    <t>MDT-DRTSPL-2015-0271-M</t>
  </si>
  <si>
    <t>MDT-DRTSPL-2015-0157-O</t>
  </si>
  <si>
    <t>MDT-DRTSPL-2015-0272-M</t>
  </si>
  <si>
    <t>MDT-DRTSPL-2015-0158-O</t>
  </si>
  <si>
    <t>MDT-DRTSPL-2015-0288-M</t>
  </si>
  <si>
    <t>MDT-DRTSPL-2015-0162-O</t>
  </si>
  <si>
    <t>MDT-DRTSPL-2015-0177-M</t>
  </si>
  <si>
    <t>MDT-DRTSPL-2015-0078-O</t>
  </si>
  <si>
    <t>1101922365</t>
  </si>
  <si>
    <t>MDT-DRTSPL-2015-0178-M</t>
  </si>
  <si>
    <t>MDT-DRTSPL-2015-0079-O</t>
  </si>
  <si>
    <t>1105836157</t>
  </si>
  <si>
    <t>CATAMAYO</t>
  </si>
  <si>
    <t>MDT-DRTSPL-2015-0273-M</t>
  </si>
  <si>
    <t>MDT-DRTSPL-2015-0159-O</t>
  </si>
  <si>
    <t>MDT-DRTSPL-2015-0274-M</t>
  </si>
  <si>
    <t>MDT-DRTSPL-2015-0156-O</t>
  </si>
  <si>
    <t>MDT-DRTSPL-2015-0275-M</t>
  </si>
  <si>
    <t>MDT-DRTSPL-2015-0155-O</t>
  </si>
  <si>
    <t>MDT-DRTSPL-2015-0230-M</t>
  </si>
  <si>
    <t>MDT-DRTSPL-2015-0128-O</t>
  </si>
  <si>
    <t>MDT-DRTSPL-2015-0310-M</t>
  </si>
  <si>
    <t>MDT-DRTSPL-2015-0153-O</t>
  </si>
  <si>
    <t>MDT-DRTSPL-2015-0231-M</t>
  </si>
  <si>
    <t>MDT-DRTSPL-2015-0129-O</t>
  </si>
  <si>
    <t>MDT-DRTSPL-2015-0234-M</t>
  </si>
  <si>
    <t>MDT-DRTSPL-2015-0132-O</t>
  </si>
  <si>
    <t>MDT-DRTSPL-2015-0235-M</t>
  </si>
  <si>
    <t>MDT-DRTSPL-2015-0125-O</t>
  </si>
  <si>
    <t>MDT-DRTSPL-2015-0236-M</t>
  </si>
  <si>
    <t>MDT-DRTSPL-2015-0133-O</t>
  </si>
  <si>
    <t>MDT-DRTSPL-2015-0237-M</t>
  </si>
  <si>
    <t>MDT-DRTSPL-2015-0134-O</t>
  </si>
  <si>
    <t>MDT-DRTSPL-2015-0232-M</t>
  </si>
  <si>
    <t>MDT-DRTSPL-2015-0130-O</t>
  </si>
  <si>
    <t>MDT-DRTSPL-2015-0233-M</t>
  </si>
  <si>
    <t>MDT-DRTSPL-2015-0131-O</t>
  </si>
  <si>
    <t>MDT-DRTSPL-2015-0238-M</t>
  </si>
  <si>
    <t>MDT-DRTSPL-2015-0135-O</t>
  </si>
  <si>
    <t>MDT-DRTSPL-2015-0229-M</t>
  </si>
  <si>
    <t>MDT-DRTSPL-2015-0239-M</t>
  </si>
  <si>
    <t>MDT-DRTSPL-2015-0136-O</t>
  </si>
  <si>
    <t>UNIDAD JUDICIAL ESPECIALIZADA TERCERA DE LA FAMILIA, MUJER Y NIÑEZ Y ADOLESCENCIA DEL CANTON LOJA</t>
  </si>
  <si>
    <t>MDT-DRTSPL-2015-0278-M</t>
  </si>
  <si>
    <t>MDT-DRTSPL-2015-0151-O</t>
  </si>
  <si>
    <t>MDT-DRTSPL-2015-0277-M</t>
  </si>
  <si>
    <t>MDT-DRTSPL-2015-0152-O</t>
  </si>
  <si>
    <t>MDT-DRTSPL-2015-0248-M</t>
  </si>
  <si>
    <t>MDT-DRTSPL-2015-0137-O</t>
  </si>
  <si>
    <t>1104347156</t>
  </si>
  <si>
    <t>MDT-DRTSPL-2015-0264-M</t>
  </si>
  <si>
    <t>MDT-DRTSPL-2015-0141-O</t>
  </si>
  <si>
    <t>MDT-DRTSPL-2015-0265-M</t>
  </si>
  <si>
    <t>MDT-DRTSPL-2015-0142-O</t>
  </si>
  <si>
    <t>MDT-DRTSPL-2015-0266-M</t>
  </si>
  <si>
    <t>MDT-DRTSPL-2015-0143-O</t>
  </si>
  <si>
    <t>MDT-DRTSPL-2015-0276-M</t>
  </si>
  <si>
    <t>MDT-DRTSPL-2015-0154-O</t>
  </si>
  <si>
    <t>MDT-DRTSPL-2015-0249-M</t>
  </si>
  <si>
    <t>MDT-DRTSPL-2015-0138-O</t>
  </si>
  <si>
    <t>1101079117</t>
  </si>
  <si>
    <t>MDT-DRTSPL-2015-0246-M</t>
  </si>
  <si>
    <t>MDT-DRTSPL-2015-0139-O</t>
  </si>
  <si>
    <t>MDT-DRTSPL-2015-0178-O</t>
  </si>
  <si>
    <t>MDT-DRTSPL-2015-0311-M</t>
  </si>
  <si>
    <t>MDT-DRTSPL-2015-0146-O</t>
  </si>
  <si>
    <t>1105206062</t>
  </si>
  <si>
    <t>MDT-DRTSPL-2015-0312-M</t>
  </si>
  <si>
    <t>MDT-DRTSPL-2015-0148-O</t>
  </si>
  <si>
    <t>MDT-DRTSPL-2015-0313-M</t>
  </si>
  <si>
    <t>MDT-DRTSPL-2015-0147-O</t>
  </si>
  <si>
    <t>MDT-DRTSPL-2015-0314-M</t>
  </si>
  <si>
    <t>MDT-DRTSPL-2015-0149-O</t>
  </si>
  <si>
    <t>1105682502</t>
  </si>
  <si>
    <t>MDT-DRTSPL-2015-0365-M</t>
  </si>
  <si>
    <t>MDT-DRTSPL-2015-0183-O</t>
  </si>
  <si>
    <t>MDT-DRTSPL-2015-0364-M</t>
  </si>
  <si>
    <t>MDT-DRTSPL-2015-0184-O</t>
  </si>
  <si>
    <t>MDT-DRTSPL-2015-0366-M</t>
  </si>
  <si>
    <t>MDT-DRTSPL-2015-0185-O</t>
  </si>
  <si>
    <t>MDT-DRTSPL-2015-0367-M</t>
  </si>
  <si>
    <t>MDT-DRTSPL-2015-0186-O</t>
  </si>
  <si>
    <t>PRIMERA SALA DEL TRIBUNAL DISTRITAL DE LO CONTENCIOSO ADMINISTRATIVO N° 5 DE LOJA Y ZAMORA CHINCHIPE</t>
  </si>
  <si>
    <t>MDT-DRTSPL-2015-0379-M</t>
  </si>
  <si>
    <t>MDT-DRTSPL-2015-0342-M</t>
  </si>
  <si>
    <t>MDT-DRTSPL-2015-0169-O</t>
  </si>
  <si>
    <t>MDT-DRTSPL-2015-0343-M</t>
  </si>
  <si>
    <t>MDT-DRTSPL-2015-0166-O</t>
  </si>
  <si>
    <t>DEFENSORIA PUBLICA DE LOJA</t>
  </si>
  <si>
    <t>MDT-DRTSPL-2015-0368-M</t>
  </si>
  <si>
    <t>MDT-DRTSPL-2015-0187-O</t>
  </si>
  <si>
    <t>MDT-DRTSPL-2015-0370-M</t>
  </si>
  <si>
    <t>MDT-DRTSPL-2015-0180-O</t>
  </si>
  <si>
    <t>MDT-DRTSPL-2015-0369-M</t>
  </si>
  <si>
    <t>MDT-DRTSPL-2015-0181-O</t>
  </si>
  <si>
    <t>MDT-DRTSPL-2015-0344-M</t>
  </si>
  <si>
    <t>MDT-DRTSPL-2015-0168-O</t>
  </si>
  <si>
    <t>1104144611</t>
  </si>
  <si>
    <t>MDT-DRTSPL-2015-0345-M</t>
  </si>
  <si>
    <t>MDT-DRTSPL-2015-0167-O</t>
  </si>
  <si>
    <t>1102968789</t>
  </si>
  <si>
    <t>MDT-DRTSPL-2015-0339-M</t>
  </si>
  <si>
    <t>MDT-DRTSPL-2015-0206-O</t>
  </si>
  <si>
    <t>1101767778</t>
  </si>
  <si>
    <t>MDT-DRTSPL-2015-0340-M</t>
  </si>
  <si>
    <t>MDT-DRTSPL-2015-0208-O</t>
  </si>
  <si>
    <t>1101791422</t>
  </si>
  <si>
    <t>MDT-DRTSPL-2015-0347-M</t>
  </si>
  <si>
    <t>MDT-DRTSPL-2015-0165-O</t>
  </si>
  <si>
    <t>MDT-DRTSPL-2015-0332-M</t>
  </si>
  <si>
    <t>MDT-DRTSPL-2015-0150-O</t>
  </si>
  <si>
    <t>MDT-DRTSPL-2015-0371-M</t>
  </si>
  <si>
    <t>MDT-DRTSPL-2015-0182-O</t>
  </si>
  <si>
    <t>MDT-DRTSPL-2015-0201-O</t>
  </si>
  <si>
    <t>DIRECCION DE ANALISIS SALARIAL</t>
  </si>
  <si>
    <t>MDT-DRTSPL-2015-0394-M</t>
  </si>
  <si>
    <t>MDT-DRTSPL-2015-0203-O</t>
  </si>
  <si>
    <t>UNIDAD JUDICIAL DE LO CIVIL DE CELICA</t>
  </si>
  <si>
    <t>MDT-DRTSPL-2015-0397-M</t>
  </si>
  <si>
    <t>MDT-DRTSPL-2015-0188-O</t>
  </si>
  <si>
    <t>1900491299</t>
  </si>
  <si>
    <t>MDT-DRTSPL-2015-0348-M</t>
  </si>
  <si>
    <t>MDT-DRTSPL-2015-0164-O</t>
  </si>
  <si>
    <t>MDT-DRTSPL-2015-0392-M</t>
  </si>
  <si>
    <t>MDT-DRTSPL-2015-0218-O</t>
  </si>
  <si>
    <t>MDT-DRTSPL-2015-0393-M</t>
  </si>
  <si>
    <t>MDT-DRTSPL-2015-0217-O</t>
  </si>
  <si>
    <t>MDT-DRTSPL-2015-0341-M</t>
  </si>
  <si>
    <t>MDT-DRTSPL-2015-0207-O</t>
  </si>
  <si>
    <t>1101068787</t>
  </si>
  <si>
    <t>MDT-DRTSPL-2015-0391-M</t>
  </si>
  <si>
    <t>MDT-DRTSPL-2015-0215-O</t>
  </si>
  <si>
    <t>MDT-DRTSPL-2015-0398-M</t>
  </si>
  <si>
    <t>MDT-DRTSPL-2015-0189-O</t>
  </si>
  <si>
    <t>1104761018</t>
  </si>
  <si>
    <t>UNIDAD JUDICIAL MULTICOMPETENTE DEL CANTON PALTAS</t>
  </si>
  <si>
    <t>PALTAS</t>
  </si>
  <si>
    <t>MDT-DRTSPL-2015-0390-M</t>
  </si>
  <si>
    <t>MDT-DRTSPL-2015-0216-O</t>
  </si>
  <si>
    <t>MDT-DRTSPL-2015-0389-M</t>
  </si>
  <si>
    <t>MDT-DRTSPL-2015-0219-O</t>
  </si>
  <si>
    <t>MDT-DRTSPL-2015-0395-M</t>
  </si>
  <si>
    <t>MDT-DRTSPL-2015-0388-M</t>
  </si>
  <si>
    <t>MDT-DRTSPL-2015-0210-O</t>
  </si>
  <si>
    <t>MDT-DRTSPL-2015-0400-M</t>
  </si>
  <si>
    <t>MDT-DRTSPL-2015-0190-O</t>
  </si>
  <si>
    <t>1105041089</t>
  </si>
  <si>
    <t>MDT-DRTSPL-2015-0387-M</t>
  </si>
  <si>
    <t>MDT-DRTSPL-2015-0211-O</t>
  </si>
  <si>
    <t>UNIVERSIDAD TÉCNICA PARTICULAR DE LOJA</t>
  </si>
  <si>
    <t>MDT-DRTSPL-2015-0440-M</t>
  </si>
  <si>
    <t>MDT-DRTSPL-2015-0224-O</t>
  </si>
  <si>
    <t>MDT-DRTSPL-2015-0378-M</t>
  </si>
  <si>
    <t>MDT-DRTSPL-2015-0205-O</t>
  </si>
  <si>
    <t>MDT-DRTSPL-2015-0386-M</t>
  </si>
  <si>
    <t>MDT-DRTSPL-2015-0202-O</t>
  </si>
  <si>
    <t>MDT-DRTSPL-2015-0384-M</t>
  </si>
  <si>
    <t>MDT-DRTSPL-2015-0212-O</t>
  </si>
  <si>
    <t>ANDRES PAUL FLORES YAZBEK</t>
  </si>
  <si>
    <t>ARCHIVAR</t>
  </si>
  <si>
    <t>TRAMITE EFECTUADO</t>
  </si>
  <si>
    <t>MDT-DRTSPL-2015-0383-M</t>
  </si>
  <si>
    <t>MDT-DRTSPL-2015-0213-O</t>
  </si>
  <si>
    <t>MDT-DRTSPL-2015-0382-M</t>
  </si>
  <si>
    <t>MDT-DRTSPL-2015-0234-O</t>
  </si>
  <si>
    <t>MDT-DRTSPL-2015-0381-M</t>
  </si>
  <si>
    <t>MDT-DRTSPL-2015-0214-O</t>
  </si>
  <si>
    <t>MDT-DRTSPL-2015-0380-M</t>
  </si>
  <si>
    <t>MDT-DRTSPL-2015-0200-O</t>
  </si>
  <si>
    <t>MDT-DRTSPL-2015-0401-M</t>
  </si>
  <si>
    <t>MDT-DRTSPL-2015-0191-O</t>
  </si>
  <si>
    <t>1104748163</t>
  </si>
  <si>
    <t>MDT-DRTSPL-2015-0192-O</t>
  </si>
  <si>
    <t>1105742942</t>
  </si>
  <si>
    <t>MDT-DRTSPL-2015-0444-M</t>
  </si>
  <si>
    <t>MDT-DRTSPL-2015-0239-O</t>
  </si>
  <si>
    <t>MDT-DRTSPL-2015-0408-M</t>
  </si>
  <si>
    <t>MDT-DRTSPL-2015-0409-M</t>
  </si>
  <si>
    <t>MDT-DRTSPL-2015-0410-M</t>
  </si>
  <si>
    <t>MDT-DRTSPL-2015-0412-M</t>
  </si>
  <si>
    <t>MDT-DRTSPL-2015-0443-M</t>
  </si>
  <si>
    <t>MDT-DRTSPL-2015-0414-M</t>
  </si>
  <si>
    <t>MDT-DRTSPL-2015-0470-M</t>
  </si>
  <si>
    <t>MDT-DRTSPL-2015-0445-M</t>
  </si>
  <si>
    <t>MDT-DRTSPL-2015-0446-M</t>
  </si>
  <si>
    <t>MDT-DRTSPL-2015-0448-M</t>
  </si>
  <si>
    <t>MDT-DRTSPL-2015-0449-M</t>
  </si>
  <si>
    <t>MDT-DRTSPL-2015-0453-M</t>
  </si>
  <si>
    <t>MDT-DRTSPL-2015-0455-M</t>
  </si>
  <si>
    <t>MDT-DRTSPL-2015-0454-M</t>
  </si>
  <si>
    <t>MDT-DRTSPL-2015-0456-M</t>
  </si>
  <si>
    <t>MDT-DRTSPL-2015-0457-M</t>
  </si>
  <si>
    <t>MDT-DRTSPL-2015-0460-M</t>
  </si>
  <si>
    <t>MDT-DRTSPL-2015-0468-M</t>
  </si>
  <si>
    <t>MDT-DRTSPL-2015-0459-M</t>
  </si>
  <si>
    <t>MDT-DRTSPL-2015-0458-M</t>
  </si>
  <si>
    <t>MDT-DRTSPL-2015-0461-M</t>
  </si>
  <si>
    <t>MDT-DRTSPL-2015-0462-M</t>
  </si>
  <si>
    <t>MDT-DRTSPL-2015-0464-M</t>
  </si>
  <si>
    <t>MDT-DRTSPL-2015-0465-M</t>
  </si>
  <si>
    <t>MDT-DRTSPL-2015-0469-M</t>
  </si>
  <si>
    <t>MDT-DRTSPL-2015-0466-M</t>
  </si>
  <si>
    <t>MDT-DRTSPL-2015-0473-M</t>
  </si>
  <si>
    <t>MDT-DRTSPL-2015-0474-M</t>
  </si>
  <si>
    <t>MDT-DRTSPL-2015-0467-M</t>
  </si>
  <si>
    <t>MDT-DRTSPL-2015-0475-M</t>
  </si>
  <si>
    <t>MDT-DRTSPL-2015-0476-M</t>
  </si>
  <si>
    <t>MDT-DRTSPL-2015-0525-M</t>
  </si>
  <si>
    <t>MDT-DRTSPL-2015-0489-M</t>
  </si>
  <si>
    <t>MDT-DRTSPL-2015-0490-M</t>
  </si>
  <si>
    <t>MDT-DRTSPL-2015-0492-M</t>
  </si>
  <si>
    <t>MDT-DRTSPL-2015-0493-M</t>
  </si>
  <si>
    <t>MDT-DRTSPL-2015-0510-M</t>
  </si>
  <si>
    <t>MDT-DRTSPL-2015-0513-M</t>
  </si>
  <si>
    <t>MDT-DRTSPL-2015-0512-M</t>
  </si>
  <si>
    <t>MDT-DRTSPL-2015-0517-M</t>
  </si>
  <si>
    <t>MDT-DRTSPL-2015-0514-M</t>
  </si>
  <si>
    <t>MDT-DRTSPL-2015-0494-M</t>
  </si>
  <si>
    <t>MDT-DRTSPL-2015-0495-M</t>
  </si>
  <si>
    <t>MDT-DRTSPL-2015-0515-M</t>
  </si>
  <si>
    <t>MDT-DRTSPL-2015-0496-M</t>
  </si>
  <si>
    <t>MDT-DRTSPL-2015-0526-M</t>
  </si>
  <si>
    <t>MDT-DRTSPL-2015-0521-M</t>
  </si>
  <si>
    <t>MDT-DRTSPL-2015-0516-M</t>
  </si>
  <si>
    <t>MDT-DRTSPL-2015-0519-M</t>
  </si>
  <si>
    <t>MDT-DRTSPL-2015-0520-M</t>
  </si>
  <si>
    <t>MDT-DRTSPL-2015-0522-M</t>
  </si>
  <si>
    <t>MDT-DRTSPL-2015-0527-M</t>
  </si>
  <si>
    <t>MDT-DRTSPL-2015-0528-M</t>
  </si>
  <si>
    <t>MDT-DRTSPL-2015-0524-M</t>
  </si>
  <si>
    <t xml:space="preserve">Silvana Elizabeth Silva Cuenca </t>
  </si>
  <si>
    <t xml:space="preserve">María Josefa Apolo Ordoñez </t>
  </si>
  <si>
    <t>María Josefa Apolo Ordoñez</t>
  </si>
  <si>
    <t>Mayte del Cisne Elizalde Vivanco</t>
  </si>
  <si>
    <t>Silvana Elizabeth Silva Cuenca</t>
  </si>
  <si>
    <t>MDT-DRTSPL-2015-0544-M</t>
  </si>
  <si>
    <t>MDT-DRTSPL-2015-0545-M</t>
  </si>
  <si>
    <t>MDT-DRTSPL-2015-0547-M</t>
  </si>
  <si>
    <t>MDT-DRTSPL-2015-0546-M</t>
  </si>
  <si>
    <t>MDT-DRTSPL-2015-0549-M</t>
  </si>
  <si>
    <t>MDT-DRTSPL-2015-0550-M</t>
  </si>
  <si>
    <t>MDT-DRTSPL-2015-0572-M</t>
  </si>
  <si>
    <t>MDT-DRTSPL-2015-0555-M</t>
  </si>
  <si>
    <t>MDT-DRTSPL-2015-0573-M</t>
  </si>
  <si>
    <t>MDT-DRTSPL-2015-0576-M</t>
  </si>
  <si>
    <t>MDT-DRTSPL-2015-0577-M</t>
  </si>
  <si>
    <t>MDT-DRTSPL-2015-0578-M</t>
  </si>
  <si>
    <t>MDT-DRTSPL-2015-0588-M</t>
  </si>
  <si>
    <t>MDT-DRTSPL-2015-0591-M</t>
  </si>
  <si>
    <t>MDT-DRTSPL-2015-0592-M</t>
  </si>
  <si>
    <t>MDT-DRTSPL-2015-0602-M</t>
  </si>
  <si>
    <t>MDT-DRTSPL-2015-0601-M</t>
  </si>
  <si>
    <t>MDT-DRTSPL-2015-0600-M</t>
  </si>
  <si>
    <t>MDT-DRTSPL-2015-0603-M</t>
  </si>
  <si>
    <t>MDT-DRTSPL-2015-0604-M</t>
  </si>
  <si>
    <t>MDT-DRTSPL-2015-0605-M</t>
  </si>
  <si>
    <t>MDT-DRTSPL-2015-0606-M</t>
  </si>
  <si>
    <t>MDT-DRTSPL-2015-0607-M</t>
  </si>
  <si>
    <t>MDT-DRTSPL-2015-0608-M</t>
  </si>
  <si>
    <t>MDT-DRTSPL-2015-0624-M</t>
  </si>
  <si>
    <t>MDT-DRTSPL-2015-0628-M</t>
  </si>
  <si>
    <t>MDT-DRTSPL-2015-0623-M</t>
  </si>
  <si>
    <t>MDT-DRTSPL-2015-0625-M</t>
  </si>
  <si>
    <t>MDT-DRTSPL-2015-0626-M</t>
  </si>
  <si>
    <t>MDT-DRTSPL-2015-0677-M</t>
  </si>
  <si>
    <t>MDT-DRTSPL-2015-0627-M</t>
  </si>
  <si>
    <t xml:space="preserve">Diana Karina Amay Burguan </t>
  </si>
  <si>
    <t>MDT-DRTSPL-2015-0314-O</t>
  </si>
  <si>
    <t>MDT-DRTSPL-2015-0302-O</t>
  </si>
  <si>
    <t>MDT-DRTSPL-2015-0305-O</t>
  </si>
  <si>
    <t>MDT-DRTSPL-2015-0301-O</t>
  </si>
  <si>
    <t>MDT-DRTSPL-2015-0303-O</t>
  </si>
  <si>
    <t>MDT-DRTSPL-2015-0304-O</t>
  </si>
  <si>
    <t>MDT-DRTSPL-2015-0377-O</t>
  </si>
  <si>
    <t>MDT-DRTSPL-2015-0282-O</t>
  </si>
  <si>
    <t>MDT-DRTSPL-2015-0378-O</t>
  </si>
  <si>
    <t>MDT-DRTSPL-2015-0376-O</t>
  </si>
  <si>
    <t>MDT-DRTSPL-2015-0379-O</t>
  </si>
  <si>
    <t>MDT-DRTSPL-2015-0381-O</t>
  </si>
  <si>
    <t>MDT-DRTSPL-2015-0388-O</t>
  </si>
  <si>
    <t>MDT-DRTSPL-2015-0389-O</t>
  </si>
  <si>
    <t>MDT-DRTSPL-2015-0390-O</t>
  </si>
  <si>
    <t>MDT-DRTSPL-2015-0391-O</t>
  </si>
  <si>
    <t>MDT-DRTSPL-2015-0393-O</t>
  </si>
  <si>
    <t>MDT-DRTSPL-2015-0392-O</t>
  </si>
  <si>
    <t>MDT-DRTSPL-2015-0394-O</t>
  </si>
  <si>
    <t>MDT-DRTSPL-2015-0395-O</t>
  </si>
  <si>
    <t>MDT-DRTSPL-2015-0396-O</t>
  </si>
  <si>
    <t>MDT-DRTSPL-2015-0397-O</t>
  </si>
  <si>
    <t>MDT-DRTSPL-2015-0398-O</t>
  </si>
  <si>
    <t>MDT-DRTSPL-2015-0399-O</t>
  </si>
  <si>
    <t>MDT-DRTSPL-2015-0402-O</t>
  </si>
  <si>
    <t>MDT-DRTSPL-2015-0403-O</t>
  </si>
  <si>
    <t>MDT-DRTSPL-2015-0405-O</t>
  </si>
  <si>
    <t>MDT-DRTSPL-2015-0406-O</t>
  </si>
  <si>
    <t>MDT-DRTSPL-2015-0404-O</t>
  </si>
  <si>
    <t>MDT-DRTSPL-2015-0407-O</t>
  </si>
  <si>
    <t>MDT-DRTSPL-2015-0197-O</t>
  </si>
  <si>
    <t>MDT-DRTSPL-2015-0196-O</t>
  </si>
  <si>
    <t>MDT-DRTSPL-2015-0193-O</t>
  </si>
  <si>
    <t>MDT-DRTSPL-2015-0194-O</t>
  </si>
  <si>
    <t>MDT-DRTSPL-2015-0195-O</t>
  </si>
  <si>
    <t>MDT-DRTSPL-2015-0233-O</t>
  </si>
  <si>
    <t>MDT-DRTSPL-2015-0198-O</t>
  </si>
  <si>
    <t>MDT-DRTSPL-2015-0228-O</t>
  </si>
  <si>
    <t>MDT-DRTSPL-2015-0240-O</t>
  </si>
  <si>
    <t>MDT-DRTSPL-2015-0242-O</t>
  </si>
  <si>
    <t>MDT-DRTSPL-2015-0229-O</t>
  </si>
  <si>
    <t>MDT-DRTSPL-2015-0221-O</t>
  </si>
  <si>
    <t>MDT-DRTSPL-2015-0225-O</t>
  </si>
  <si>
    <t>MDT-DRTSPL-2015-0227-O</t>
  </si>
  <si>
    <t>MDT-DRTSPL-2015-0226-O</t>
  </si>
  <si>
    <t>MDT-DRTSPL-2015-0244-O</t>
  </si>
  <si>
    <t>MDT-DRTSPL-2015-0245-O</t>
  </si>
  <si>
    <t>MDT-DRTSPL-2015-0230-O</t>
  </si>
  <si>
    <t>MDT-DRTSPL-2015-0252-O</t>
  </si>
  <si>
    <t>MDT-DRTSPL-2015-0248-O</t>
  </si>
  <si>
    <t>MDT-DRTSPL-2015-0246-O</t>
  </si>
  <si>
    <t>MDT-DRTSPL-2015-0247-O</t>
  </si>
  <si>
    <t>MDT-DRTSPL-2015-0236-O</t>
  </si>
  <si>
    <t>MDT-DRTSPL-2015-0249-O</t>
  </si>
  <si>
    <t>MDT-DRTSPL-2015-0235-O</t>
  </si>
  <si>
    <t>MDT-DRTSPL-2015-0243-O</t>
  </si>
  <si>
    <t>MDT-DRTSPL-2015-0231-O</t>
  </si>
  <si>
    <t>MDT-DRTSPL-2015-0253-O</t>
  </si>
  <si>
    <t>MDT-DRTSPL-2015-0238-O</t>
  </si>
  <si>
    <t>MDT-DRTSPL-2015-0237-O</t>
  </si>
  <si>
    <t>MDT-DRTSPL-2015-0232-O</t>
  </si>
  <si>
    <t>MDT-DRTSPL-2015-0223-O</t>
  </si>
  <si>
    <t>MDT-DRTSPL-2015-0255-O</t>
  </si>
  <si>
    <t>MDT-DRTSPL-2015-0256-O</t>
  </si>
  <si>
    <t>MDT-DRTSPL-2015-0257-O</t>
  </si>
  <si>
    <t>MDT-DRTSPL-2015-0277-O</t>
  </si>
  <si>
    <t>MDT-DRTSPL-2015-0278-O</t>
  </si>
  <si>
    <t>MDT-DRTSPL-2015-0276-O</t>
  </si>
  <si>
    <t>MDT-DRTSPL-2015-0279-O</t>
  </si>
  <si>
    <t>MDT-DRTSPL-2015-0280-O</t>
  </si>
  <si>
    <t>MDT-DRTSPL-2015-0258-O</t>
  </si>
  <si>
    <t>MDT-DRTSPL-2015-0380-O</t>
  </si>
  <si>
    <t>MDT-DRTSPL-2015-0259-O</t>
  </si>
  <si>
    <t>MDT-DRTSPL-2015-0273-O</t>
  </si>
  <si>
    <t>MDT-DRTSPL-2015-0270-O</t>
  </si>
  <si>
    <t>MDT-DRTSPL-2015-0269-O</t>
  </si>
  <si>
    <t>MDT-DRTSPL-2015-0274-O</t>
  </si>
  <si>
    <t>MDT-DRTSPL-2015-0275-O</t>
  </si>
  <si>
    <t>MDT-DRTSPL-2015-0267-O</t>
  </si>
  <si>
    <t>MDT-DRTSPL-2015-0272-O</t>
  </si>
  <si>
    <t>MDT-DRTSPL-2015-0271-O</t>
  </si>
  <si>
    <t>MDT-DRTSPL-2015-0268-O</t>
  </si>
  <si>
    <t>Diana Fabiola Morocho Sánchez</t>
  </si>
  <si>
    <t xml:space="preserve">Diana Fabiola Morocho Sánchez </t>
  </si>
  <si>
    <t>Oficio devuelto, por no pertenecer a nuestro Ministerios.</t>
  </si>
  <si>
    <t>devuelto</t>
  </si>
  <si>
    <t>Jefferson Jamil Rojas Jaramillo</t>
  </si>
  <si>
    <t>se procedió a despechar la presente solicitud</t>
  </si>
  <si>
    <t>Archivado</t>
  </si>
  <si>
    <t>Patricia Elizabeth Ayala Herrera</t>
  </si>
  <si>
    <t>Diana Karina Amay Burguan</t>
  </si>
  <si>
    <t>SOLICITA EL ARCHIVO DEL PRESENTE EXPEDIENTE CON CÓDIGO 0000676LOJ2015</t>
  </si>
  <si>
    <t xml:space="preserve"> Luis Alfredo Durazno Alvarado</t>
  </si>
  <si>
    <t xml:space="preserve">Jenny Maritza Jaramillo Serrano </t>
  </si>
  <si>
    <t>Eduardo Patricio rmijos Tandazo</t>
  </si>
  <si>
    <t>Monica Gianella Gonzalez Zaruma</t>
  </si>
  <si>
    <t>MDT-DRTSPL-2015-0410-O</t>
  </si>
  <si>
    <t>1105703266</t>
  </si>
  <si>
    <t>0105628846</t>
  </si>
  <si>
    <t>1105109373</t>
  </si>
  <si>
    <t>1104869548</t>
  </si>
  <si>
    <t>1104298656</t>
  </si>
  <si>
    <t>1102562350</t>
  </si>
  <si>
    <t>1104465107</t>
  </si>
  <si>
    <t>1103498976</t>
  </si>
  <si>
    <t>1102003033</t>
  </si>
  <si>
    <t>1103812614</t>
  </si>
  <si>
    <t>Jorge Augusto Correa Valarezo</t>
  </si>
  <si>
    <t>MDT-DRTSPL-2015-0688-M</t>
  </si>
  <si>
    <t>MDT-DRTSPL-2015-0416-O</t>
  </si>
  <si>
    <t>MDT-DRTSPL-2015-0689-M</t>
  </si>
  <si>
    <t>MDT-DRTSPL-2015-0417-O</t>
  </si>
  <si>
    <t>Jorge Vicente Fernandez Ortiz</t>
  </si>
  <si>
    <t>MDT-DRTSPL-2015-0690-M</t>
  </si>
  <si>
    <t>MDT-DRTSPL-2015-0418-O</t>
  </si>
  <si>
    <t>1101834206</t>
  </si>
  <si>
    <t>JUZGADO MULTICOMPETENTE DEL CANTON MACARA</t>
  </si>
  <si>
    <t>MACARA</t>
  </si>
  <si>
    <t>MDT-DRTSPL-2015-0691-M</t>
  </si>
  <si>
    <t>MDT-DRTSPL-2015-0692-M</t>
  </si>
  <si>
    <t>MDT-DRTSPL-2015-0411-O</t>
  </si>
  <si>
    <t>1104725252</t>
  </si>
  <si>
    <t>Claudia Lorena Tandazo Tandazo</t>
  </si>
  <si>
    <t>Jackeline del Cisne Reyes Rodriguez</t>
  </si>
  <si>
    <t>MDT-DRTSPL-2015-0693-M</t>
  </si>
  <si>
    <t>MDT-DRTSPL-2015-0413-O</t>
  </si>
  <si>
    <t>1900479377</t>
  </si>
  <si>
    <t>Angel Leonardo Tapia Gonzaga</t>
  </si>
  <si>
    <t>MDT-DRTSPL-2015-0694-M</t>
  </si>
  <si>
    <t>MDT-DRTSPL-2015-0420-O</t>
  </si>
  <si>
    <t>1103194666</t>
  </si>
  <si>
    <t xml:space="preserve">Luis Oswaldo Benitez Nero </t>
  </si>
  <si>
    <t xml:space="preserve">Darwin Yammil Benitez Nero </t>
  </si>
  <si>
    <t xml:space="preserve">Katerine Yesenia Valdiviezo Armijos </t>
  </si>
  <si>
    <t xml:space="preserve">Carlos Manuel Gallardo Apolo </t>
  </si>
  <si>
    <t xml:space="preserve">Marco Antonio Marco Antonio </t>
  </si>
  <si>
    <t xml:space="preserve">María Cecilia Vivanco Araujo </t>
  </si>
  <si>
    <t xml:space="preserve">Carmen Cenaida Ordoñez Quezada </t>
  </si>
  <si>
    <t xml:space="preserve">Veronica Maria Vasquez Ramirez </t>
  </si>
  <si>
    <t xml:space="preserve">José Germán Montenegro Valdivieso </t>
  </si>
  <si>
    <t xml:space="preserve">Karina del Pilar Zhapa Montoya </t>
  </si>
  <si>
    <t xml:space="preserve">Maria Isabel Burneo Gonzalez </t>
  </si>
  <si>
    <t xml:space="preserve">Nila Crisantema Luzuriaga Vasquez </t>
  </si>
  <si>
    <t xml:space="preserve">Irvin Rene Encalada Jaramillo </t>
  </si>
  <si>
    <t xml:space="preserve">Yessenia del Rossio Yunga Chimbo </t>
  </si>
  <si>
    <t xml:space="preserve">Norman Pardo Torres </t>
  </si>
  <si>
    <t xml:space="preserve">Marcelo Saritama Carrera </t>
  </si>
  <si>
    <t xml:space="preserve">Martha Asanza Jaramillo </t>
  </si>
  <si>
    <t xml:space="preserve">Antonio Patricio Quito Sanmartin </t>
  </si>
  <si>
    <t xml:space="preserve">Giovanna Gabriela Jimbo Galarza </t>
  </si>
  <si>
    <t xml:space="preserve">Roy David Faller Tinoco </t>
  </si>
  <si>
    <t xml:space="preserve">Trosky Alberto Rodriguez Leon </t>
  </si>
  <si>
    <t xml:space="preserve">Guillermo Alberto Ponce Fierro </t>
  </si>
  <si>
    <t xml:space="preserve">Maria Clementina Gualan Valverde </t>
  </si>
  <si>
    <t xml:space="preserve">Albita Ines Acaro Perez </t>
  </si>
  <si>
    <t xml:space="preserve">Cisne Yolanda Lojan Chaunay </t>
  </si>
  <si>
    <t xml:space="preserve">Laady Janneth Mendieta Davila </t>
  </si>
  <si>
    <t xml:space="preserve">Carlos Correa Jaramillo </t>
  </si>
  <si>
    <t xml:space="preserve">Veronica del Carmen Alban Vallejo </t>
  </si>
  <si>
    <t xml:space="preserve">Ronald Campoverde Campoverde </t>
  </si>
  <si>
    <t xml:space="preserve">Franklin Byron Guanuche Ortega </t>
  </si>
  <si>
    <t xml:space="preserve">Rossy Nathaly Gaona Correa </t>
  </si>
  <si>
    <t xml:space="preserve">Ivonne del Pilar Quizhpe Armijos </t>
  </si>
  <si>
    <t xml:space="preserve">Víctor Emilio Santín Salazar </t>
  </si>
  <si>
    <t xml:space="preserve">Pablo Vinicio Muñoz Abarca </t>
  </si>
  <si>
    <t>ARCHIVADO</t>
  </si>
  <si>
    <t>SARAGURO</t>
  </si>
  <si>
    <t>CALVAS</t>
  </si>
  <si>
    <t>EN616300211EC</t>
  </si>
  <si>
    <t>EN616300225EC</t>
  </si>
  <si>
    <t>MDT-DRTSPL-2015-0120-O</t>
  </si>
  <si>
    <t>MDT-DRTSPL-2015-0090-O</t>
  </si>
  <si>
    <t>EN616595564EC</t>
  </si>
  <si>
    <t>MDT-DRTSPL-2015-0140-O</t>
  </si>
  <si>
    <t>MDT-DRTSPL-2015-0220-O</t>
  </si>
  <si>
    <t>EN616833811EC</t>
  </si>
  <si>
    <t>EN616833825EC</t>
  </si>
  <si>
    <t>MDT-DRTSPL-2015-0250-O</t>
  </si>
  <si>
    <t>EN616930711EC</t>
  </si>
  <si>
    <t>EN616930725EC</t>
  </si>
  <si>
    <t>MDT-DRTSPL-2015-0251-O</t>
  </si>
  <si>
    <t>EN617149991EC</t>
  </si>
  <si>
    <t>MDT-DRTSPL-2015-0425-O</t>
  </si>
  <si>
    <t>EN617428143EC</t>
  </si>
  <si>
    <t>MDT-DRTSPL-2015-0023-EXTERNO</t>
  </si>
  <si>
    <t>1103831598</t>
  </si>
  <si>
    <t>1103660039</t>
  </si>
  <si>
    <t>1900517986</t>
  </si>
  <si>
    <t>1103561633</t>
  </si>
  <si>
    <t>1103822118</t>
  </si>
  <si>
    <t>1100642741</t>
  </si>
  <si>
    <t>MDT-DRTSPL-2015-0122-O</t>
  </si>
  <si>
    <t>MDT-DRTSPL-2015-0156-EXTERNO</t>
  </si>
  <si>
    <t>MDT-DRTSPL-2015-0028-O</t>
  </si>
  <si>
    <t>1105403811</t>
  </si>
  <si>
    <t>1102927108</t>
  </si>
  <si>
    <t>48351157</t>
  </si>
  <si>
    <t>MDT-DRTSPL-2015-0241-EXTERNO</t>
  </si>
  <si>
    <t>MDT-DRTSPL-2015-0100-O</t>
  </si>
  <si>
    <t>0703829184</t>
  </si>
  <si>
    <t>0703216267</t>
  </si>
  <si>
    <t>1714572862</t>
  </si>
  <si>
    <t>1711831311</t>
  </si>
  <si>
    <t>1104786403</t>
  </si>
  <si>
    <t>1103857361</t>
  </si>
  <si>
    <t>MDT-DRTSPL-2015-0373-EXTERNO</t>
  </si>
  <si>
    <t>MDT-DSG-2015-0970-MEMORANDO</t>
  </si>
  <si>
    <t>MDT-DRTSPL-2015-0510-O</t>
  </si>
  <si>
    <t>1102750666</t>
  </si>
  <si>
    <t>1104860133</t>
  </si>
  <si>
    <t>1105142895</t>
  </si>
  <si>
    <t>0103222998</t>
  </si>
  <si>
    <t>1900332451</t>
  </si>
  <si>
    <t>MDT-DRTSPL-2015-0431-EXTERNO</t>
  </si>
  <si>
    <t>MDT-DRTSPL-2015-0179-O</t>
  </si>
  <si>
    <t>1103109573</t>
  </si>
  <si>
    <t>MDT-DRTSPL-2015-0445-EXTERNO</t>
  </si>
  <si>
    <t>MDT-DSG-2015-1094-MEMORANDO</t>
  </si>
  <si>
    <t>luis Miguel Quezada Coba</t>
  </si>
  <si>
    <t>DIRECCION DE SECRETARIA GENERAL</t>
  </si>
  <si>
    <t>MDT-DRTSPL-2015-0535-O</t>
  </si>
  <si>
    <t>MDT-DRTSPL-2015-0449-EXTERNO</t>
  </si>
  <si>
    <t>MDT-DSG-2015-1099-MEMORANDO</t>
  </si>
  <si>
    <t>MDT-DRTSPL-2015-0513-O, MDT-DRTSPL-2015-0684-O</t>
  </si>
  <si>
    <t>MDT-DRTSPL-2015-0562-EXTERNO</t>
  </si>
  <si>
    <t>MDT-DSG-2015-1141-MEMORANDO</t>
  </si>
  <si>
    <t>MDT-DRTSPL-2015-0516-O</t>
  </si>
  <si>
    <t>MDT-DRTSPL-2015-0582-EXTERNO</t>
  </si>
  <si>
    <t>MDT-DSG-2015-1440-MEMORANDO</t>
  </si>
  <si>
    <t>MDT-DRTSPL-2015-0683-O</t>
  </si>
  <si>
    <t>1104209125</t>
  </si>
  <si>
    <t>1104977416</t>
  </si>
  <si>
    <t>1103013858</t>
  </si>
  <si>
    <t>1102770375</t>
  </si>
  <si>
    <t>1100613858</t>
  </si>
  <si>
    <t>1104403322</t>
  </si>
  <si>
    <t>MDT-DRTSPL-2015-0673-EXTERNO</t>
  </si>
  <si>
    <t>MDT-DSG-2015-1140-MEMORANDO</t>
  </si>
  <si>
    <t>MDT-DRTSPL-2015-0515-O</t>
  </si>
  <si>
    <t>1102765490</t>
  </si>
  <si>
    <t>1104503170</t>
  </si>
  <si>
    <t>1150171245</t>
  </si>
  <si>
    <t>MDT-DRTSPL-2015-0695-EXTERNO</t>
  </si>
  <si>
    <t>MDT-DSG-2015-1101-MEMORANDO</t>
  </si>
  <si>
    <t>MDT-DRTSPL-2015-0514-O</t>
  </si>
  <si>
    <t>1103255780</t>
  </si>
  <si>
    <t>MDT-DRTSPL-2015-0740-EXTERNO</t>
  </si>
  <si>
    <t>MDT-DSG-2015-1441-MEMORANDO</t>
  </si>
  <si>
    <t>MDT-DRTSPL-2015-0705-O</t>
  </si>
  <si>
    <t>1723249791</t>
  </si>
  <si>
    <t>1150494175</t>
  </si>
  <si>
    <t>MDT-DPTSPOM-2015-0705-EXTERNO</t>
  </si>
  <si>
    <t>MDT-DRTSPL-2015-0415-O</t>
  </si>
  <si>
    <t>1104429731</t>
  </si>
  <si>
    <t>1103483432</t>
  </si>
  <si>
    <t>MDT-DRTSPL-2015-0837-EXTERNO</t>
  </si>
  <si>
    <t>MDT-DRTSPL-2015-0409-O</t>
  </si>
  <si>
    <t>MDT-DRTSPL-2015-0880-EXTERNO</t>
  </si>
  <si>
    <t>MDT-DRTSPL-2015-0695-M</t>
  </si>
  <si>
    <t>MDT-DRTSPL-2015-0412-O</t>
  </si>
  <si>
    <t xml:space="preserve">Xavier Eduardo Morocho Suriaga </t>
  </si>
  <si>
    <t>EN617428174EC</t>
  </si>
  <si>
    <t>Sandra Maritza Torres Guarnizo</t>
  </si>
  <si>
    <t>MDT-DSG-2015-1246-MEMORANDO</t>
  </si>
  <si>
    <t>MDT-DRTSPL-2015-0745-O</t>
  </si>
  <si>
    <t>1100133634</t>
  </si>
  <si>
    <t>MDT-DRTSPL-2015-0912-EXTERNO</t>
  </si>
  <si>
    <t>MDT-DRTSPL-2015-0712-M</t>
  </si>
  <si>
    <t>MDT-DRTSPL-2015-0431-O</t>
  </si>
  <si>
    <t>MDT-DRTSPL-2015-0918-EXTERNO</t>
  </si>
  <si>
    <t>MDT-DRTSPL-2015-0714-M</t>
  </si>
  <si>
    <t>MDT-DRTSPL-2015-0427-O</t>
  </si>
  <si>
    <t>1104917701</t>
  </si>
  <si>
    <t>MDT-DRTSPL-2015-0919-EXTERNO</t>
  </si>
  <si>
    <t>MDT-DRTSPL-2015-0715-M</t>
  </si>
  <si>
    <t>MDT-DRTSPL-2015-0428-O</t>
  </si>
  <si>
    <t>1104210909</t>
  </si>
  <si>
    <t>MDT-DRTSPL-2015-0921-EXTERNO</t>
  </si>
  <si>
    <t>MDT-DRTSPL-2015-0716-M</t>
  </si>
  <si>
    <t>MDT-DRTSPL-2015-0430-O</t>
  </si>
  <si>
    <t xml:space="preserve">David Fernando Torres Ordoñez </t>
  </si>
  <si>
    <t>1104427412</t>
  </si>
  <si>
    <t>MDT-DRTSPL-2015-0923-EXTERNO</t>
  </si>
  <si>
    <t>MDT-DRTSPL-2015-0717-M</t>
  </si>
  <si>
    <t>MDT-DRTSPL-2015-0432-O</t>
  </si>
  <si>
    <t xml:space="preserve">Erika Johanna Pachar Saquipulla </t>
  </si>
  <si>
    <t>0704581602</t>
  </si>
  <si>
    <t>MDT-DRTSPL-2015-0925-EXTERNO</t>
  </si>
  <si>
    <t>MDT-DRTSPL-2015-0727-M</t>
  </si>
  <si>
    <t>MDT-DRTSPL-2015-0441-O</t>
  </si>
  <si>
    <t xml:space="preserve">Luis Patricio Jaramillo Reyes </t>
  </si>
  <si>
    <t>MDT-DRTSPL-2015-0928-EXTERNO</t>
  </si>
  <si>
    <t>MDT-DRTSPL-2015-0726-M</t>
  </si>
  <si>
    <t>MDT-DRTSPL-2015-0442-O</t>
  </si>
  <si>
    <t>EN617519051EC</t>
  </si>
  <si>
    <t>MDT-DRTSPL-2015-0931-EXTERNO</t>
  </si>
  <si>
    <t>MDT-DRTSPL-2015-0728-M</t>
  </si>
  <si>
    <t>MDT-DRTSPL-2015-0434-O</t>
  </si>
  <si>
    <t xml:space="preserve">Max Alejandro Tandazo Encalada </t>
  </si>
  <si>
    <t>EN617519082EC</t>
  </si>
  <si>
    <t>MDT-DRTSPL-2015-0932-EXTERNO</t>
  </si>
  <si>
    <t>MDT-DRTSPL-2015-0724-M</t>
  </si>
  <si>
    <t>MDT-DRTSPL-2015-0435-O</t>
  </si>
  <si>
    <t xml:space="preserve">Byron Antonio Salgado Castillo </t>
  </si>
  <si>
    <t>MDT-DRTSPL-2015-0933-EXTERNO</t>
  </si>
  <si>
    <t>MDT-DRTSPL-2015-0718-M</t>
  </si>
  <si>
    <t>MDT-DRTSPL-2015-0433-O</t>
  </si>
  <si>
    <t xml:space="preserve">Diana Karina Ovelencio Ovelencio </t>
  </si>
  <si>
    <t>1105551384</t>
  </si>
  <si>
    <t>MDT-DRTSPL-2015-0934-EXTERNO</t>
  </si>
  <si>
    <t>MDT-DRTSPL-2015-0723-M</t>
  </si>
  <si>
    <t>MDT-DRTSPL-2015-0436-O</t>
  </si>
  <si>
    <t>MDT-DRTSPL-2015-0935-EXTERNO</t>
  </si>
  <si>
    <t>MDT-DRTSPL-2015-0725-M</t>
  </si>
  <si>
    <t>MDT-DRTSPL-2015-0437-O</t>
  </si>
  <si>
    <t>PINDAL</t>
  </si>
  <si>
    <t>EN617519065EC</t>
  </si>
  <si>
    <t>MDT-DRTSPL-2015-0936-EXTERNO</t>
  </si>
  <si>
    <t>MDT-DRTSPL-2015-0731-M</t>
  </si>
  <si>
    <t>MDT-DRTSPL-2015-0438-O</t>
  </si>
  <si>
    <t>MDT-DRTSPL-2015-0937-EXTERNO</t>
  </si>
  <si>
    <t>MDT-DRTSPL-2015-0730-M</t>
  </si>
  <si>
    <t>MDT-DRTSPL-2015-0439-O</t>
  </si>
  <si>
    <t>MDT-DRTSPL-2015-0938-EXTERNO</t>
  </si>
  <si>
    <t>MDT-DRTSPL-2015-0729-M</t>
  </si>
  <si>
    <t>MDT-DRTSPL-2015-0440-O</t>
  </si>
  <si>
    <t xml:space="preserve">Martha Elizabeth Jaramillo Jumbo </t>
  </si>
  <si>
    <t>MDT-DRTSPL-2015-0939-EXTERNO</t>
  </si>
  <si>
    <t>MDT-DRTSPL-2015-0722-M</t>
  </si>
  <si>
    <t>MDT-DRTSPL-2015-0443-O</t>
  </si>
  <si>
    <t>MDT-DRTSPL-2015-0940-EXTERNO</t>
  </si>
  <si>
    <t>MDT-DRTSPL-2015-0732-M</t>
  </si>
  <si>
    <t>MDT-DRTSPL-2015-0444-O</t>
  </si>
  <si>
    <t>MDT-DRTSPL-2015-0941-EXTERNO</t>
  </si>
  <si>
    <t>MDT-DRTSPL-2015-0733-M</t>
  </si>
  <si>
    <t>MDT-DRTSPL-2015-0445-O</t>
  </si>
  <si>
    <t>MDT-DRTSPL-2015-0942-EXTERNO</t>
  </si>
  <si>
    <t>MDT-DRTSPL-2015-0734-M</t>
  </si>
  <si>
    <t>MDT-DRTSPL-2015-0446-O</t>
  </si>
  <si>
    <t>MDT-DRTSPL-2015-0944-EXTERNO</t>
  </si>
  <si>
    <t>MDT-DRTSPL-2015-0638-O</t>
  </si>
  <si>
    <t>Maria Josefa Apolo Ordoñez</t>
  </si>
  <si>
    <t xml:space="preserve">SECRETARIA </t>
  </si>
  <si>
    <t xml:space="preserve">Galo Arturo Jaramillo González </t>
  </si>
  <si>
    <t>MDT-DRTSPL-2015-0945-EXTERNO</t>
  </si>
  <si>
    <t>MDT-DRTSPL-2015-0735-M</t>
  </si>
  <si>
    <t>MDT-DRTSPL-2015-0447-O</t>
  </si>
  <si>
    <t>EN617519079EC</t>
  </si>
  <si>
    <t>MDT-DRTSPL-2015-0946-EXTERNO</t>
  </si>
  <si>
    <t>MDT-DRTSPL-2015-0740-M</t>
  </si>
  <si>
    <t>MDT-DRTSPL-2015-0448-O</t>
  </si>
  <si>
    <t xml:space="preserve">Gabriela Altamirano Salcedo </t>
  </si>
  <si>
    <t>MDT-DRTSPL-2015-0948-EXTERNO</t>
  </si>
  <si>
    <t>MDT-DRTSPL-2015-0426-O</t>
  </si>
  <si>
    <t>UNIDAD JUDICIAL TERCERA ESPECIALIZADA DE LA FAMILIA, MUJER,
NIÑEZ Y ADOLESCENCIA DEL CANTON LOJ</t>
  </si>
  <si>
    <t>MDT-DRTSPL-2015-0950-EXTERNO</t>
  </si>
  <si>
    <t>MDT-DRTSPL-2015-0736-M</t>
  </si>
  <si>
    <t>MDT-DRTSPL-2015-0449-O</t>
  </si>
  <si>
    <t>MDT-DRTSPL-2015-0951-EXTERNO</t>
  </si>
  <si>
    <t>MDT-DRTSPL-2015-0720-M</t>
  </si>
  <si>
    <t>MDT-DRTSPL-2015-0429-O</t>
  </si>
  <si>
    <t xml:space="preserve">Milton Manuel Yaguana Jimenez </t>
  </si>
  <si>
    <t>1716712185</t>
  </si>
  <si>
    <t>MDT-DRTSPL-2015-0953-EXTERNO</t>
  </si>
  <si>
    <t>MDT-DRTSPL-2015-0737-M</t>
  </si>
  <si>
    <t>MDT-DRTSPL-2015-0450-O</t>
  </si>
  <si>
    <t xml:space="preserve">Roberto Carlos Ordoñez Sinche </t>
  </si>
  <si>
    <t>MDT-DRTSPL-2015-0965-EXTERNO</t>
  </si>
  <si>
    <t>MDT-DRTSPL-2015-0746-M</t>
  </si>
  <si>
    <t>MDT-DRTSPL-2015-0451-O</t>
  </si>
  <si>
    <t xml:space="preserve">Jose Elias Gallegos Roman </t>
  </si>
  <si>
    <t>1104102254</t>
  </si>
  <si>
    <t>MDT-DRTSPL-2015-0966-EXTERNO</t>
  </si>
  <si>
    <t>MDT-DRTSPL-2015-0742-M</t>
  </si>
  <si>
    <t>MDT-DRTSPL-2015-0452-O</t>
  </si>
  <si>
    <t xml:space="preserve">Angel Stalin Sarmiento Ramos </t>
  </si>
  <si>
    <t>1900552660</t>
  </si>
  <si>
    <t>MDT-DRTSPL-2015-0967-EXTERNO</t>
  </si>
  <si>
    <t>MDT-DRTSPL-2015-0749-M</t>
  </si>
  <si>
    <t>MDT-DRTSPL-2015-0453-O</t>
  </si>
  <si>
    <t xml:space="preserve">Franklin Fernando Betancourt Soto </t>
  </si>
  <si>
    <t>1102568365</t>
  </si>
  <si>
    <t>MDT-DRTSPL-2015-0968-EXTERNO</t>
  </si>
  <si>
    <t>MDT-DRTSPL-2015-0748-M</t>
  </si>
  <si>
    <t>MDT-DRTSPL-2015-0455-O</t>
  </si>
  <si>
    <t xml:space="preserve">Wilson Carlos Diaz Azuero </t>
  </si>
  <si>
    <t>1900541291</t>
  </si>
  <si>
    <t>MDT-DRTSPL-2015-0970-EXTERNO</t>
  </si>
  <si>
    <t>MDT-DRTSPL-2015-0745-M</t>
  </si>
  <si>
    <t>MDT-DRTSPL-2015-0456-O</t>
  </si>
  <si>
    <t xml:space="preserve">Pablo Wladimir Benitez Jaramillo </t>
  </si>
  <si>
    <t>1105743163</t>
  </si>
  <si>
    <t>MDT-DRTSPL-2015-0985-EXTERNO</t>
  </si>
  <si>
    <t>MDT-DRTSPL-2015-0744-M</t>
  </si>
  <si>
    <t>MDT-DRTSPL-2015-0457-O</t>
  </si>
  <si>
    <t xml:space="preserve">Luis Eduardo Faican Ambuludi </t>
  </si>
  <si>
    <t>1103632889</t>
  </si>
  <si>
    <t>MDT-DRTSPL-2015-0995-EXTERNO</t>
  </si>
  <si>
    <t>MDT-DRTSPL-2015-0743-M</t>
  </si>
  <si>
    <t>MDT-DRTSPL-2015-0454-O</t>
  </si>
  <si>
    <t xml:space="preserve">Reina Maria Agila Agila </t>
  </si>
  <si>
    <t>1102644281</t>
  </si>
  <si>
    <t>MDT-DRTSPL-2015-0999-EXTERNO</t>
  </si>
  <si>
    <t>MDT-DRTSPL-2015-0831-M</t>
  </si>
  <si>
    <t>MDT-DRTSPL-2015-0491-O</t>
  </si>
  <si>
    <t>EN617798784EC</t>
  </si>
  <si>
    <t>MDT-DRTSPL-2015-1003-EXTERNO</t>
  </si>
  <si>
    <t>MDT-DRTSPL-2015-0815-M</t>
  </si>
  <si>
    <t>MDT-DRTSPL-2015-0465-O</t>
  </si>
  <si>
    <t xml:space="preserve">Angel Danilo Sinchiri Lalvay </t>
  </si>
  <si>
    <t>0102741899</t>
  </si>
  <si>
    <t>MDT-DRTSPL-2015-1004-EXTERNO</t>
  </si>
  <si>
    <t>MDT-DRTSPL-2015-0807-M</t>
  </si>
  <si>
    <t>MDT-DRTSPL-2015-0466-O</t>
  </si>
  <si>
    <t xml:space="preserve">Jose Olegario Tandazo Guaman </t>
  </si>
  <si>
    <t>1100235280</t>
  </si>
  <si>
    <t>MDT-DRTSPL-2015-1005-EXTERNO</t>
  </si>
  <si>
    <t>MDT-DRTSPL-2015-0814-M</t>
  </si>
  <si>
    <t>MDT-DRTSPL-2015-0467-O</t>
  </si>
  <si>
    <t xml:space="preserve">Amparo Maribel Urgiles Juarez </t>
  </si>
  <si>
    <t>1105214694</t>
  </si>
  <si>
    <t>MDT-DRTSPL-2015-1007-EXTERNO</t>
  </si>
  <si>
    <t>MDT-DRTSPL-2015-0832-M</t>
  </si>
  <si>
    <t>MDT-DRTSPL-2015-1008-EXTERNO</t>
  </si>
  <si>
    <t>MDT-DRTSPL-2015-0835-M</t>
  </si>
  <si>
    <t>MDT-DRTSPL-2015-0490-O</t>
  </si>
  <si>
    <t xml:space="preserve">Guillermo Esteban Molina Sacoto </t>
  </si>
  <si>
    <t>MDT-DRTSPL-2015-1009-EXTERNO</t>
  </si>
  <si>
    <t>MDT-DRTSPL-2015-0845-M</t>
  </si>
  <si>
    <t>MDT-DRTSPL-2015-0489-O</t>
  </si>
  <si>
    <t>EN617798775EC</t>
  </si>
  <si>
    <t>MDT-DRTSPL-2015-1010-EXTERNO</t>
  </si>
  <si>
    <t>Ximena Alexandra Carvallo Ortega</t>
  </si>
  <si>
    <t>MDT-DSG-2015-1358-MEMORANDO, MDT-DRTSPL-2015-1204-M</t>
  </si>
  <si>
    <t xml:space="preserve">Luis Miguel Quezada Coba, Marjorie Maribel Lopez Jimenez </t>
  </si>
  <si>
    <t>DIRECCIÓN DE SECRETARIA GENERAL</t>
  </si>
  <si>
    <t>MDT-DSG-2015-2160-OFICIO,  MDT-DRTSPL-2015-0662-O</t>
  </si>
  <si>
    <t>MDT-DRTSPL-2015-1012-EXTERNO</t>
  </si>
  <si>
    <t>MDT-DRTSPL-2015-0847-M</t>
  </si>
  <si>
    <t>MDT-DRTSPL-2015-0495-O</t>
  </si>
  <si>
    <t>MDT-DRTSPL-2015-1013-EXTERNO</t>
  </si>
  <si>
    <t>MDT-DRTSPL-2015-0812-M</t>
  </si>
  <si>
    <t>MDT-DRTSPL-2015-0468-O</t>
  </si>
  <si>
    <t xml:space="preserve">Deicy Dayana Ochoa Valencia </t>
  </si>
  <si>
    <t>1105692923</t>
  </si>
  <si>
    <t>MDT-DRTSPL-2015-1015-EXTERNO</t>
  </si>
  <si>
    <t>MDT-DRTSPL-2015-0805-M</t>
  </si>
  <si>
    <t>MDT-DRTSPL-2015-0497-O</t>
  </si>
  <si>
    <t>1105931537</t>
  </si>
  <si>
    <t>MDT-DRTSPL-2015-1016-EXTERNO</t>
  </si>
  <si>
    <t>MDT-DRTSPL-2015-0816-M</t>
  </si>
  <si>
    <t>MDT-DRTSPL-2015-0469-O</t>
  </si>
  <si>
    <t xml:space="preserve">Inocencio Luciano Garcia </t>
  </si>
  <si>
    <t>1706711338</t>
  </si>
  <si>
    <t>MDT-DRTSPL-2015-1017-EXTERNO</t>
  </si>
  <si>
    <t>MDT-DRTSPL-2015-0803-M</t>
  </si>
  <si>
    <t>MDT-DRTSPL-2015-0470-O</t>
  </si>
  <si>
    <t xml:space="preserve">Monica del Cisne Ludeña Espinoza </t>
  </si>
  <si>
    <t>1104469364</t>
  </si>
  <si>
    <t>MDT-DRTSPL-2015-1018-EXTERNO</t>
  </si>
  <si>
    <t>MDT-DRTSPL-2015-0848-M</t>
  </si>
  <si>
    <t>MDT-DRTSPL-2015-0485-O</t>
  </si>
  <si>
    <t>MDT-DRTSPL-2015-1021-EXTERNO</t>
  </si>
  <si>
    <t>MDT-DRTSPL-2015-0849-M</t>
  </si>
  <si>
    <t>MDT-DRTSPL-2015-0483-O</t>
  </si>
  <si>
    <t>EN617798798EC</t>
  </si>
  <si>
    <t>MDT-DRTSPL-2015-1022-EXTERNO</t>
  </si>
  <si>
    <t>MDT-DRTSPL-2015-0850-M</t>
  </si>
  <si>
    <t>MDT-DRTSPL-2015-0482-O</t>
  </si>
  <si>
    <t>EN617798767EC</t>
  </si>
  <si>
    <t>MDT-DRTSPL-2015-1023-EXTERNO</t>
  </si>
  <si>
    <t>MDT-DRTSPL-2015-0851-M</t>
  </si>
  <si>
    <t>MDT-DRTSPL-2015-0481-O</t>
  </si>
  <si>
    <t>MDT-DRTSPL-2015-1024-EXTERNO</t>
  </si>
  <si>
    <t>MDT-DRTSPL-2015-0852-M</t>
  </si>
  <si>
    <t>MDT-DRTSPL-2015-0480-O</t>
  </si>
  <si>
    <t>MDT-DRTSPL-2015-1025-EXTERNO</t>
  </si>
  <si>
    <t>MDT-DRTSPL-2015-0853-M</t>
  </si>
  <si>
    <t>MDT-DRTSPL-2015-0479-O</t>
  </si>
  <si>
    <t xml:space="preserve">Manuel Lozada Ramirez </t>
  </si>
  <si>
    <t>MDT-DRTSPL-2015-1026-EXTERNO</t>
  </si>
  <si>
    <t>MDT-DRTSPL-2015-0855-M</t>
  </si>
  <si>
    <t>MDT-DRTSPL-2015-0499-O</t>
  </si>
  <si>
    <t>MDT-DRTSPL-2015-1027-EXTERNO</t>
  </si>
  <si>
    <t>MDT-DRTSPL-2015-0856-M</t>
  </si>
  <si>
    <t>MDT-DRTSPL-2015-0487-O</t>
  </si>
  <si>
    <t>MDT-DRTSPL-2015-1031-EXTERNO</t>
  </si>
  <si>
    <t>MDT-DRTSPL-2015-0802-M</t>
  </si>
  <si>
    <t>MDT-DRTSPL-2015-0498-O</t>
  </si>
  <si>
    <t>1102956743</t>
  </si>
  <si>
    <t>MDT-DRTSPL-2015-1032-EXTERNO</t>
  </si>
  <si>
    <t>MDT-DRTSPL-2015-0486-O</t>
  </si>
  <si>
    <t>MDT-DRTSPL-2015-1042-EXTERNO</t>
  </si>
  <si>
    <t>MDT-DRTSPL-2015-0800-M</t>
  </si>
  <si>
    <t>MDT-DRTSPL-2015-0471-O</t>
  </si>
  <si>
    <t xml:space="preserve">Bolivar Pardo Bravo </t>
  </si>
  <si>
    <t>1101350526</t>
  </si>
  <si>
    <t>MDT-DRTSPL-2015-1054-EXTERNO</t>
  </si>
  <si>
    <t>MDT-DRTSPL-2015-0801-M</t>
  </si>
  <si>
    <t>MDT-DRTSPL-2015-0472-O</t>
  </si>
  <si>
    <t xml:space="preserve">Lourdes Hidalgo </t>
  </si>
  <si>
    <t>1900583616</t>
  </si>
  <si>
    <t>MDT-DRTSPL-2015-1062-EXTERNO</t>
  </si>
  <si>
    <t>MDT-DRTSPL-2015-0891-M</t>
  </si>
  <si>
    <t>MDT-DRTSPL-2015-0501-O</t>
  </si>
  <si>
    <t xml:space="preserve">Cornelio Agustin Borja Pozo </t>
  </si>
  <si>
    <t>0301377636</t>
  </si>
  <si>
    <t>MDT-DRTSPL-2015-1077-EXTERNO</t>
  </si>
  <si>
    <t>MDT-DRTSPL-2015-0917-M</t>
  </si>
  <si>
    <t>MDT-DRTSPL-2015-0517-O</t>
  </si>
  <si>
    <t>EN617976391EC</t>
  </si>
  <si>
    <t>MDT-DRTSPL-2015-1078-EXTERNO</t>
  </si>
  <si>
    <t>MDT-DRTSPL-2015-0899-M</t>
  </si>
  <si>
    <t>MDT-DRTSPL-2015-0502-O</t>
  </si>
  <si>
    <t>EN617892612EC</t>
  </si>
  <si>
    <t>MDT-DRTSPL-2015-1079-EXTERNO</t>
  </si>
  <si>
    <t>MDT-DRTSPL-2015-0901-M</t>
  </si>
  <si>
    <t>MDT-DRTSPL-2015-0503-O</t>
  </si>
  <si>
    <t>MDT-DRTSPL-2015-1080-EXTERNO</t>
  </si>
  <si>
    <t>MDT-DRTSPL-2015-0900-M</t>
  </si>
  <si>
    <t>MDT-DRTSPL-2015-0504-O</t>
  </si>
  <si>
    <t>MDT-DRTSPL-2015-1081-EXTERNO</t>
  </si>
  <si>
    <t>MDT-DRTSPL-2015-0918-M</t>
  </si>
  <si>
    <t>MDT-DRTSPL-2015-0518-O</t>
  </si>
  <si>
    <t>EN617976388EC</t>
  </si>
  <si>
    <t>MDT-DRTSPL-2015-1091-EXTERNO</t>
  </si>
  <si>
    <t>MDT-DRTSPL-2015-0892-M</t>
  </si>
  <si>
    <t>0702989641</t>
  </si>
  <si>
    <t>MDT-DRTSPL-2015-1094-EXTERNO</t>
  </si>
  <si>
    <t>MDT-DRTSPL-2015-0898-M</t>
  </si>
  <si>
    <t>MDT-DRTSPL-2015-0507-O</t>
  </si>
  <si>
    <t xml:space="preserve">Jorge Luis Rivera Gualán </t>
  </si>
  <si>
    <t>MDT-DRTSPL-2015-1096-EXTERNO</t>
  </si>
  <si>
    <t>MDT-DRTSPL-2015-0897-M</t>
  </si>
  <si>
    <t>MDT-DRTSPL-2015-0508-O</t>
  </si>
  <si>
    <t>MDT-DRTSPL-2015-1099-EXTERNO</t>
  </si>
  <si>
    <t>MDT-DRTSPL-2015-0896-M</t>
  </si>
  <si>
    <t>MDT-DRTSPL-2015-0505-O</t>
  </si>
  <si>
    <t>MDT-DRTSPL-2015-1100-EXTERNO</t>
  </si>
  <si>
    <t>MDT-DRTSPL-2015-0895-M</t>
  </si>
  <si>
    <t>MDT-DRTSPL-2015-0506-O</t>
  </si>
  <si>
    <t>MDT-DRTSPL-2015-1101-EXTERNO</t>
  </si>
  <si>
    <t>MDT-DRTSPL-2015-0894-M</t>
  </si>
  <si>
    <t>MDT-DRTSPL-2015-0509-O</t>
  </si>
  <si>
    <t>MDT-DRTSPL-2015-1110-EXTERNO</t>
  </si>
  <si>
    <t>MDT-DRTSPL-2015-0902-M</t>
  </si>
  <si>
    <t>MDT-DRTSPL-2015-0520-O</t>
  </si>
  <si>
    <t xml:space="preserve">Esperanza Paola Jaramillo Chamba </t>
  </si>
  <si>
    <t>1104099294</t>
  </si>
  <si>
    <t>MDT-DRTSPL-2015-1113-EXTERNO</t>
  </si>
  <si>
    <t>MDT-DRTSPL-2015-0893-M</t>
  </si>
  <si>
    <t>1105181877</t>
  </si>
  <si>
    <t>MDT-DRTSPL-2015-1114-EXTERNO</t>
  </si>
  <si>
    <t>MDT-DRTSPL-2015-0919-M</t>
  </si>
  <si>
    <t>MDT-DRTSPL-2015-0519-O</t>
  </si>
  <si>
    <t xml:space="preserve">Angel Medardo Romero Paladines </t>
  </si>
  <si>
    <t>1102717426</t>
  </si>
  <si>
    <t>MDT-DRTSPL-2015-1116-EXTERNO</t>
  </si>
  <si>
    <t>MDT-DRTSPL-2015-0920-M</t>
  </si>
  <si>
    <t>MDT-DRTSPL-2015-0526-O</t>
  </si>
  <si>
    <t>MDT-DRTSPL-2015-1123-EXTERNO</t>
  </si>
  <si>
    <t>MDT-DRTSPL-2015-0921-M</t>
  </si>
  <si>
    <t>MDT-DRTSPL-2015-0511-O</t>
  </si>
  <si>
    <t xml:space="preserve">Andrea Yajaira Garcia Jimenez </t>
  </si>
  <si>
    <t>1723516249</t>
  </si>
  <si>
    <t>MDT-DRTSPL-2015-1129-EXTERNO</t>
  </si>
  <si>
    <t>MDT-DRTSPL-2015-0925-M</t>
  </si>
  <si>
    <t>MDT-DRTSPL-2015-0524-O</t>
  </si>
  <si>
    <t>1722777024</t>
  </si>
  <si>
    <t>MDT-DRTSPL-2015-1149-EXTERNO</t>
  </si>
  <si>
    <t>MDT-DRTSPL-2015-1081-M</t>
  </si>
  <si>
    <t>MDT-DRTSPL-2015-0616-O</t>
  </si>
  <si>
    <t>Juan José Puertas Ortega</t>
  </si>
  <si>
    <t>MDT-DRTSPL-2015-1150-EXTERNO</t>
  </si>
  <si>
    <t>MDT-DRTSPL-2015-0946-M</t>
  </si>
  <si>
    <t>MDT-DRTSPL-2015-0555-O</t>
  </si>
  <si>
    <t>MDT-DRTSPL-2015-1151-EXTERNO</t>
  </si>
  <si>
    <t>MDT-DRTSPL-2015-0938-M</t>
  </si>
  <si>
    <t>MDT-DRTSPL-2015-0531-O</t>
  </si>
  <si>
    <t>MDT-DRTSPL-2015-1152-EXTERNO</t>
  </si>
  <si>
    <t>MDT-DRTSPL-2015-0939-M</t>
  </si>
  <si>
    <t>MDT-DRTSPL-2015-0530-O</t>
  </si>
  <si>
    <t xml:space="preserve">Jorge Augusto Correa Valarezo </t>
  </si>
  <si>
    <t>MDT-DRTSPL-2015-1154-EXTERNO</t>
  </si>
  <si>
    <t>MDT-DRTSPL-2015-0940-M</t>
  </si>
  <si>
    <t>MDT-DRTSPL-2015-0529-O</t>
  </si>
  <si>
    <t>MDT-DRTSPL-2015-1155-EXTERNO</t>
  </si>
  <si>
    <t>MDT-DRTSPL-2015-0941-M</t>
  </si>
  <si>
    <t>MDT-DRTSPL-2015-0528-O</t>
  </si>
  <si>
    <t>MDT-DRTSPL-2015-1156-EXTERNO</t>
  </si>
  <si>
    <t>MDT-DRTSPL-2015-0942-M</t>
  </si>
  <si>
    <t>MDT-DRTSPL-2015-0527-O</t>
  </si>
  <si>
    <t>MDT-DRTSPL-2015-1157-EXTERNO</t>
  </si>
  <si>
    <t>MDT-DRTSPL-2015-0943-M</t>
  </si>
  <si>
    <t>MDT-DRTSPL-2015-0523-O</t>
  </si>
  <si>
    <t>MDT-DRTSPL-2015-1158-EXTERNO</t>
  </si>
  <si>
    <t>MDT-DRTSPL-2015-0944-M</t>
  </si>
  <si>
    <t>MDT-DRTSPL-2015-0522-O</t>
  </si>
  <si>
    <t>MDT-DRTSPL-2015-1159-EXTERNO</t>
  </si>
  <si>
    <t>MDT-DRTSPL-2015-0947-M</t>
  </si>
  <si>
    <t>MDT-DRTSPL-2015-0556-O</t>
  </si>
  <si>
    <t>MDT-DRTSPL-2015-1160-EXTERNO</t>
  </si>
  <si>
    <t>MDT-DRTSPL-2015-0945-M</t>
  </si>
  <si>
    <t>MDT-DRTSPL-2015-0521-O</t>
  </si>
  <si>
    <t>MDT-DRTSPL-2015-1161-EXTERNO</t>
  </si>
  <si>
    <t>MDT-DRTSPL-2015-0934-M</t>
  </si>
  <si>
    <t>MDT-DRTSPL-2015-0533-O</t>
  </si>
  <si>
    <t xml:space="preserve">Tania Gabriela Cruz Lima </t>
  </si>
  <si>
    <t>MDT-DRTSPL-2015-1163-EXTERNO</t>
  </si>
  <si>
    <t>MDT-DRTSPL-2015-0948-M</t>
  </si>
  <si>
    <t>MDT-DRTSPL-2015-0554-O</t>
  </si>
  <si>
    <t>MDT-DRTSPL-2015-1164-EXTERNO</t>
  </si>
  <si>
    <t>MDT-DRTSPL-2015-0949-M</t>
  </si>
  <si>
    <t>MDT-DRTSPL-2015-0550-O</t>
  </si>
  <si>
    <t>EN618059802EC</t>
  </si>
  <si>
    <t>MDT-DRTSPL-2015-1165-EXTERNO</t>
  </si>
  <si>
    <t>MDT-DRTSPL-2015-0950-M</t>
  </si>
  <si>
    <t>MDT-DRTSPL-2015-0581-O</t>
  </si>
  <si>
    <t>MDT-DRTSPL-2015-1166-EXTERNO</t>
  </si>
  <si>
    <t>MDT-DRTSPL-2015-0951-M</t>
  </si>
  <si>
    <t>MDT-DRTSPL-2015-0557-O</t>
  </si>
  <si>
    <t>MDT-DRTSPL-2015-1167-EXTERNO</t>
  </si>
  <si>
    <t>MDT-DRTSPL-2015-0952-M</t>
  </si>
  <si>
    <t>MDT-DRTSPL-2015-0558-O</t>
  </si>
  <si>
    <t>MDT-DRTSPL-2015-1168-EXTERNO</t>
  </si>
  <si>
    <t>MDT-DRTSPL-2015-0954-M</t>
  </si>
  <si>
    <t>MDT-DRTSPL-2015-0559-O</t>
  </si>
  <si>
    <t>MDT-DRTSPL-2015-1169-EXTERNO</t>
  </si>
  <si>
    <t>MDT-DRTSPL-2015-0955-M</t>
  </si>
  <si>
    <t>MDT-DRTSPL-2015-0560-O</t>
  </si>
  <si>
    <t>MDT-DRTSPL-2015-1170-EXTERNO</t>
  </si>
  <si>
    <t>MDT-DRTSPL-2015-0956-M</t>
  </si>
  <si>
    <t>MDT-DRTSPL-2015-0561-O</t>
  </si>
  <si>
    <t>MDT-DRTSPL-2015-1181-EXTERNO</t>
  </si>
  <si>
    <t>MDT-DRTSPL-2015-0957-M</t>
  </si>
  <si>
    <t>MDT-DRTSPL-2015-0562-O</t>
  </si>
  <si>
    <t xml:space="preserve">Rosa Beatriz León Ojeda </t>
  </si>
  <si>
    <t>MDT-DRTSPL-2015-1182-EXTERNO</t>
  </si>
  <si>
    <t>MDT-DRTSPL-2015-0958-M</t>
  </si>
  <si>
    <t>MDT-DRTSPL-2015-0563-O</t>
  </si>
  <si>
    <t xml:space="preserve">Talia Maldonado Castro </t>
  </si>
  <si>
    <t>MDT-DRTSPL-2015-1183-EXTERNO</t>
  </si>
  <si>
    <t>MDT-DRTSPL-2015-0959-M</t>
  </si>
  <si>
    <t>MDT-DRTSPL-2015-0564-O</t>
  </si>
  <si>
    <t xml:space="preserve">Vinicio Josè Bravo Merchan </t>
  </si>
  <si>
    <t>MDT-DRTSPL-2015-1198-EXTERNO</t>
  </si>
  <si>
    <t>MDT-DRTSPL-2015-0991-M</t>
  </si>
  <si>
    <t>MDT-DRTSPL-2015-0553-O</t>
  </si>
  <si>
    <t xml:space="preserve">Efrain Dagoberto Carreño Celi </t>
  </si>
  <si>
    <t>1102484613</t>
  </si>
  <si>
    <t>MDT-DRTSPL-2015-1209-EXTERNO</t>
  </si>
  <si>
    <t>MDT-DRTSPL-2015-0936-M</t>
  </si>
  <si>
    <t>MDT-DRTSPL-2015-0532-O</t>
  </si>
  <si>
    <t xml:space="preserve">Maria Fernanda Granda Gonzaga </t>
  </si>
  <si>
    <t>1104013212</t>
  </si>
  <si>
    <t>MDT-DRTSPL-2015-1211-EXTERNO</t>
  </si>
  <si>
    <t>MDT-DRTSPL-2015-0933-M</t>
  </si>
  <si>
    <t>MDT-DRTSPL-2015-0534-O</t>
  </si>
  <si>
    <t xml:space="preserve">Ela Stefania Garcia Salas </t>
  </si>
  <si>
    <t>1104557549</t>
  </si>
  <si>
    <t>MDT-DRTSPL-2015-1222-EXTERNO</t>
  </si>
  <si>
    <t>MDT-DRTSPL-2015-0961-M</t>
  </si>
  <si>
    <t>MDT-DRTSPL-2015-0537-O</t>
  </si>
  <si>
    <t>MDT-DRTSPL-2015-1223-EXTERNO</t>
  </si>
  <si>
    <t>MDT-DRTSPL-2015-0962-M</t>
  </si>
  <si>
    <t>MDT-DRTSPL-2015-0536-O</t>
  </si>
  <si>
    <t xml:space="preserve">Franco Carrión Paz </t>
  </si>
  <si>
    <t>MDT-DRTSPL-2015-1224-EXTERNO</t>
  </si>
  <si>
    <t>MDT-DRTSPL-2015-0963-M</t>
  </si>
  <si>
    <t>MDT-DRTSPL-2015-0543-O</t>
  </si>
  <si>
    <t>MDT-DRTSPL-2015-1225-EXTERNO</t>
  </si>
  <si>
    <t>MDT-DRTSPL-2015-0965-M</t>
  </si>
  <si>
    <t>MDT-DRTSPL-2015-0542-O</t>
  </si>
  <si>
    <t>MDT-DRTSPL-2015-1226-EXTERNO</t>
  </si>
  <si>
    <t>MDT-DRTSPL-2015-0975-M</t>
  </si>
  <si>
    <t>MDT-DRTSPL-2015-0541-O</t>
  </si>
  <si>
    <t>MDT-DRTSPL-2015-1227-EXTERNO</t>
  </si>
  <si>
    <t>MDT-DRTSPL-2015-0974-M</t>
  </si>
  <si>
    <t>MDT-DRTSPL-2015-0540-O</t>
  </si>
  <si>
    <t>MDT-DRTSPL-2015-1228-EXTERNO</t>
  </si>
  <si>
    <t>MDT-DRTSPL-2015-0976-M</t>
  </si>
  <si>
    <t>MDT-DRTSPL-2015-0539-O</t>
  </si>
  <si>
    <t>MDT-DRTSPL-2015-1229-EXTERNO</t>
  </si>
  <si>
    <t>MDT-DRTSPL-2015-0978-M</t>
  </si>
  <si>
    <t>MDT-DRTSPL-2015-0544-O</t>
  </si>
  <si>
    <t>MDT-DRTSPL-2015-1230-EXTERNO</t>
  </si>
  <si>
    <t>MDT-DRTSPL-2015-0980-M</t>
  </si>
  <si>
    <t>MDT-DRTSPL-2015-0538-O</t>
  </si>
  <si>
    <t>MDT-DRTSPL-2015-1231-EXTERNO</t>
  </si>
  <si>
    <t>MDT-DRTSPL-2015-0981-M</t>
  </si>
  <si>
    <t>MDT-DRTSPL-2015-0547-O</t>
  </si>
  <si>
    <t>MDT-DRTSPL-2015-1232-EXTERNO</t>
  </si>
  <si>
    <t>MDT-DRTSPL-2015-0983-M</t>
  </si>
  <si>
    <t>MDT-DRTSPL-2015-0546-O</t>
  </si>
  <si>
    <t>MDT-DRTSPL-2015-1233-EXTERNO</t>
  </si>
  <si>
    <t>MDT-DRTSPL-2015-0987-M</t>
  </si>
  <si>
    <t>MDT-DRTSPL-2015-0545-O</t>
  </si>
  <si>
    <t>MDT-DRTSPL-2015-1235-EXTERNO</t>
  </si>
  <si>
    <t>MDT-DRTSPL-2015-1014-M</t>
  </si>
  <si>
    <t>Diana Fabiola Morocho Sanchez</t>
  </si>
  <si>
    <t>1104856539</t>
  </si>
  <si>
    <t>MDT-DRTSPL-2015-1236-EXTERNO</t>
  </si>
  <si>
    <t>MDT-DRTSPL-2015-1013-M</t>
  </si>
  <si>
    <t>MDT-DRTSPL-2015-0585-O</t>
  </si>
  <si>
    <t>Gladys Alexandra Zhingre Angamarca</t>
  </si>
  <si>
    <t>1105057655</t>
  </si>
  <si>
    <t>MDT-DRTSPL-2015-1248-EXTERNO</t>
  </si>
  <si>
    <t>MDT-DRTSPL-2015-1012-M</t>
  </si>
  <si>
    <t>MDT-DRTSPL-2015-0551-O</t>
  </si>
  <si>
    <t xml:space="preserve">Pablo Fernando Iñiguez Valverde </t>
  </si>
  <si>
    <t>1103348551</t>
  </si>
  <si>
    <t>MDT-DRTSPL-2015-1253-EXTERNO</t>
  </si>
  <si>
    <t>MDT-DRTSPL-2015-1070-M</t>
  </si>
  <si>
    <t>MDT-DRTSPL-2015-0619-O</t>
  </si>
  <si>
    <t>FISCALIA DE LOJA</t>
  </si>
  <si>
    <t>María Antonieta León Ojeda</t>
  </si>
  <si>
    <t>MDT-DRTSPL-2015-1255-EXTERNO</t>
  </si>
  <si>
    <t>MDT-DRTSPL-2015-1045-M</t>
  </si>
  <si>
    <t>1900434307</t>
  </si>
  <si>
    <t>MDT-DRTSPL-2015-1264-EXTERNO</t>
  </si>
  <si>
    <t>MDT-DRTSPL-2015-1067-M</t>
  </si>
  <si>
    <t>MDT-DRTSPL-2015-0620-O</t>
  </si>
  <si>
    <t>Rosa Beatriz León Ojeda</t>
  </si>
  <si>
    <t>MDT-DRTSPL-2015-1265-EXTERNO</t>
  </si>
  <si>
    <t>MDT-DRTSPL-2015-1065-M</t>
  </si>
  <si>
    <t>MDT-DRTSPL-2015-0606-O</t>
  </si>
  <si>
    <t>Carmen Luisa Paladines Criollo</t>
  </si>
  <si>
    <t>MDT-DRTSPL-2015-1270-EXTERNO</t>
  </si>
  <si>
    <t>MDT-DRTSPL-2015-0525-O</t>
  </si>
  <si>
    <t>MDT-DRTSPL-2015-1271-EXTERNO</t>
  </si>
  <si>
    <t>MDT-DRTSPL-2015-1040-M</t>
  </si>
  <si>
    <t>MDT-DRTSPL-2015-0596-O</t>
  </si>
  <si>
    <t>EN618196352EC</t>
  </si>
  <si>
    <t>MDT-DRTSPL-2015-1277-EXTERNO</t>
  </si>
  <si>
    <t>MDT-DRTSPL-2015-0999-M</t>
  </si>
  <si>
    <t>MDT-DRTSPL-2015-0593-O</t>
  </si>
  <si>
    <t>Yhelenna Angelica Lojan Armijos</t>
  </si>
  <si>
    <t>MDT-DRTSPL-2015-1280-EXTERNO</t>
  </si>
  <si>
    <t>MDT-DRTSPL-2015-0997-M</t>
  </si>
  <si>
    <t>MDT-DRTSPL-2015-0595-O</t>
  </si>
  <si>
    <t>Ramiro Arevalo Malo</t>
  </si>
  <si>
    <t>MDT-DRTSPL-2015-1283-EXTERNO</t>
  </si>
  <si>
    <t>MDT-DRTSPL-2015-0995-M</t>
  </si>
  <si>
    <t>MDT-DRTSPL-2015-0592-O</t>
  </si>
  <si>
    <t>María Cecilia Vivanco Araujo</t>
  </si>
  <si>
    <t>MDT-DRTSPL-2015-1284-EXTERNO</t>
  </si>
  <si>
    <t>MDT-DRTSPL-2015-0989-M</t>
  </si>
  <si>
    <t>MDT-DRTSPL-2015-0565-O</t>
  </si>
  <si>
    <t xml:space="preserve">Crosbyn Saul Valarezo Tandazo </t>
  </si>
  <si>
    <t>MDT-DRTSPL-2015-1285-EXTERNO</t>
  </si>
  <si>
    <t>MDT-DRTSPL-2015-0988-M</t>
  </si>
  <si>
    <t>MDT-DRTSPL-2015-0567-O</t>
  </si>
  <si>
    <t>EN618059816EC</t>
  </si>
  <si>
    <t>MDT-DRTSPL-2015-1287-EXTERNO</t>
  </si>
  <si>
    <t>MDT-DRTSPL-2015-0986-M</t>
  </si>
  <si>
    <t>MDT-DRTSPL-2015-0549-O</t>
  </si>
  <si>
    <t>MDT-DRTSPL-2015-1288-EXTERNO</t>
  </si>
  <si>
    <t>MDT-DRTSPL-2015-0972-M</t>
  </si>
  <si>
    <t>MDT-DRTSPL-2015-0568-O</t>
  </si>
  <si>
    <t>MDT-DRTSPL-2015-1289-EXTERNO</t>
  </si>
  <si>
    <t>MDT-DRTSPL-2015-1063-M</t>
  </si>
  <si>
    <t>MDT-DRTSPL-2015-0607-O</t>
  </si>
  <si>
    <t>MDT-DRTSPL-2015-1291-EXTERNO</t>
  </si>
  <si>
    <t>MDT-DRTSPL-2015-0967-M</t>
  </si>
  <si>
    <t>MDT-DRTSPL-2015-0566-O</t>
  </si>
  <si>
    <t>MDT-DRTSPL-2015-1292-EXTERNO</t>
  </si>
  <si>
    <t>MDT-DRTSPL-2015-0990-M</t>
  </si>
  <si>
    <t>MDT-DRTSPL-2015-0589-O</t>
  </si>
  <si>
    <t>Pablo Muñoz Abarca</t>
  </si>
  <si>
    <t>MDT-DRTSPL-2015-1293-EXTERNO</t>
  </si>
  <si>
    <t>MDT-DRTSPL-2015-1041-M</t>
  </si>
  <si>
    <t>MDT-DRTSPL-2015-0597-O</t>
  </si>
  <si>
    <t>MDT-DRTSPL-2015-1294-EXTERNO</t>
  </si>
  <si>
    <t>MDT-DRTSPL-2015-1077-M</t>
  </si>
  <si>
    <t>MDT-DRTSPL-2015-0617-O</t>
  </si>
  <si>
    <t>MDT-DRTSPL-2015-1295-EXTERNO</t>
  </si>
  <si>
    <t>MDT-DRTSPL-2015-1043-M</t>
  </si>
  <si>
    <t>MDT-DRTSPL-2015-0598-O</t>
  </si>
  <si>
    <t>MDT-DRTSPL-2015-1296-EXTERNO</t>
  </si>
  <si>
    <t>MDT-DRTSPL-2015-1075-M</t>
  </si>
  <si>
    <t>MDT-DRTSPL-2015-0618-O</t>
  </si>
  <si>
    <t>MDT-DRTSPL-2015-1297-EXTERNO</t>
  </si>
  <si>
    <t>MDT-DRTSPL-2015-1083-M</t>
  </si>
  <si>
    <t>MDT-DRTSPL-2015-0615-O</t>
  </si>
  <si>
    <t>EN618196366EC</t>
  </si>
  <si>
    <t>MDT-DRTSPL-2015-1298-EXTERNO</t>
  </si>
  <si>
    <t>MDT-DRTSPL-2015-1062-M</t>
  </si>
  <si>
    <t>MDT-DRTSPL-2015-0609-O</t>
  </si>
  <si>
    <t>MDT-DRTSPL-2015-1299-EXTERNO</t>
  </si>
  <si>
    <t>MDT-DRTSPL-2015-1046-M</t>
  </si>
  <si>
    <t>MDT-DRTSPL-2015-0600-O</t>
  </si>
  <si>
    <t>Trosky Alberto Rodriguez Leon</t>
  </si>
  <si>
    <t>MDT-DRTSPL-2015-1300-EXTERNO</t>
  </si>
  <si>
    <t>MDT-DRTSPL-2015-1261-M</t>
  </si>
  <si>
    <t>Mayte Del Cisne Elizalde Vivanco</t>
  </si>
  <si>
    <t>MDT-DRTSPL-2015-0682-O</t>
  </si>
  <si>
    <t>MDT-DRTSPL-2015-1301-EXTERNO</t>
  </si>
  <si>
    <t>MDT-DSG-2015-1507-MEMORANDO</t>
  </si>
  <si>
    <t>MDT-DRTSPL-2015-0719-O</t>
  </si>
  <si>
    <t>Pablo Vinicio Muñoz Abarca</t>
  </si>
  <si>
    <t>MDT-DRTSPL-2015-1302-EXTERNO</t>
  </si>
  <si>
    <t>MDT-DRTSPL-2015-1262-M</t>
  </si>
  <si>
    <t>MDT-DRTSPL-2015-0688-O</t>
  </si>
  <si>
    <t>MDT-DRTSPL-2015-1303-EXTERNO</t>
  </si>
  <si>
    <t>MDT-DRTSPL-2015-1011-M</t>
  </si>
  <si>
    <t>MDT-DRTSPL-2015-0582-O</t>
  </si>
  <si>
    <t>Maria Jose Solorzano Moreno</t>
  </si>
  <si>
    <t>MDT-DRTSPL-2015-1304-EXTERNO</t>
  </si>
  <si>
    <t>MDT-DRTSPL-2015-1047-M</t>
  </si>
  <si>
    <t>MDT-DRTSPL-2015-0601-O</t>
  </si>
  <si>
    <t>MDT-DRTSPL-2015-1305-EXTERNO</t>
  </si>
  <si>
    <t>MDT-DRTSPL-2015-1020-M</t>
  </si>
  <si>
    <t>MDT-DRTSPL-2015-0608-O</t>
  </si>
  <si>
    <t>MDT-DRTSPL-2015-1306-EXTERNO</t>
  </si>
  <si>
    <t>MDT-DRTSPL-2015-1010-M</t>
  </si>
  <si>
    <t>MDT-DRTSPL-2015-0594-O</t>
  </si>
  <si>
    <t>Janny del Cisne Duarte Lopez</t>
  </si>
  <si>
    <t>1104089139</t>
  </si>
  <si>
    <t>MDT-DRTSPL-2015-1308-EXTERNO</t>
  </si>
  <si>
    <t>MDT-DRTSPL-2015-1061-M</t>
  </si>
  <si>
    <t>MDT-DRTSPL-2015-0622-O</t>
  </si>
  <si>
    <t>MDT-DRTSPL-2015-1309-EXTERNO</t>
  </si>
  <si>
    <t>MDT-DRTSPL-2015-1060-M</t>
  </si>
  <si>
    <t>MDT-DRTSPL-2015-0623-O</t>
  </si>
  <si>
    <t>MDT-DRTSPL-2015-1310-EXTERNO</t>
  </si>
  <si>
    <t>MDT-DRTSPL-2015-0599-O</t>
  </si>
  <si>
    <t>Jorge Luis Rivera</t>
  </si>
  <si>
    <t>MDT-DRTSPL-2015-1311-EXTERNO</t>
  </si>
  <si>
    <t>MDT-DRTSPL-2015-1059-M</t>
  </si>
  <si>
    <t>MDT-DRTSPL-2015-0612-O</t>
  </si>
  <si>
    <t>MDT-DRTSPL-2015-1313-EXTERNO</t>
  </si>
  <si>
    <t>MDT-DRTSPL-2015-1039-M</t>
  </si>
  <si>
    <t>MDT-DRTSPL-2015-0605-O</t>
  </si>
  <si>
    <t>Byron Antonio Salgado Castillo</t>
  </si>
  <si>
    <t>MDT-DRTSPL-2015-1314-EXTERNO</t>
  </si>
  <si>
    <t>MDT-DRTSPL-2015-1019-M</t>
  </si>
  <si>
    <t>MDT-DRTSPL-2015-0584-O</t>
  </si>
  <si>
    <t>MDT-DRTSPL-2015-1315-EXTERNO</t>
  </si>
  <si>
    <t>MDT-DRTSPL-2015-1018-M</t>
  </si>
  <si>
    <t>MDT-DRTSPL-2015-0586-O</t>
  </si>
  <si>
    <t>MDT-DRTSPL-2015-1316-EXTERNO</t>
  </si>
  <si>
    <t>MDT-DRTSPL-2015-1016-M</t>
  </si>
  <si>
    <t>MDT-DRTSPL-2015-0587-O</t>
  </si>
  <si>
    <t>Manuel Lozada Ramirez</t>
  </si>
  <si>
    <t>MDT-DRTSPL-2015-1317-EXTERNO</t>
  </si>
  <si>
    <t>MDT-DRTSPL-2015-1009-M</t>
  </si>
  <si>
    <t>MDT-DRTSPL-2015-0583-O</t>
  </si>
  <si>
    <t>Marcelo Eduardo Chamba Medina</t>
  </si>
  <si>
    <t>1103051916</t>
  </si>
  <si>
    <t>MDT-DRTSPL-2015-1318-EXTERNO</t>
  </si>
  <si>
    <t>MDT-DRTSPL-2015-1021-M</t>
  </si>
  <si>
    <t>MDT-DRTSPL-2015-0602-O</t>
  </si>
  <si>
    <t>Yessenia Lissett Peñarreta Rodriguez</t>
  </si>
  <si>
    <t>1900794403</t>
  </si>
  <si>
    <t>MDT-DRTSPL-2015-1326-EXTERNO</t>
  </si>
  <si>
    <t>MDT-DRTSPL-2015-1008-M</t>
  </si>
  <si>
    <t>MDT-DRTSPL-2015-0590-O</t>
  </si>
  <si>
    <t>Manuel Benigno Gualan Guaillas</t>
  </si>
  <si>
    <t>1104648454</t>
  </si>
  <si>
    <t>MDT-DRTSPL-2015-1328-EXTERNO</t>
  </si>
  <si>
    <t>MDT-DSG-2015-1488-MEMORANDO</t>
  </si>
  <si>
    <t>lUIs Miguel Quezada Coba</t>
  </si>
  <si>
    <t>MDT-DRTSPL-2015-0689-O</t>
  </si>
  <si>
    <t>1104690472</t>
  </si>
  <si>
    <t>MDT-DRTSPL-2015-1332-EXTERNO</t>
  </si>
  <si>
    <t>MDT-DRTSPL-2015-1007-M</t>
  </si>
  <si>
    <t>MDT-DRTSPL-2015-0591-O</t>
  </si>
  <si>
    <t>Daysi Mireya Erreyes Pinzón</t>
  </si>
  <si>
    <t>1103494736</t>
  </si>
  <si>
    <t>MDT-DRTSPL-2015-1336-EXTERNO</t>
  </si>
  <si>
    <t>MDT-DRTSPL-2015-1048-M</t>
  </si>
  <si>
    <t>MDT-DRTSPL-2015-0614-O</t>
  </si>
  <si>
    <t>Martha Asanza Jaramillo</t>
  </si>
  <si>
    <t>MDT-DRTSPL-2015-1338-EXTERNO</t>
  </si>
  <si>
    <t>MDT-DRTSPL-2015-1049-M</t>
  </si>
  <si>
    <t>MDT-DRTSPL-2015-0603-O</t>
  </si>
  <si>
    <t>Antonio Patricio Quito Sanmartin</t>
  </si>
  <si>
    <t>MDT-DRTSPL-2015-1341-EXTERNO</t>
  </si>
  <si>
    <t>MDT-DRTSPL-2015-1095-M</t>
  </si>
  <si>
    <t>MDT-DRTSPL-2015-0613-O</t>
  </si>
  <si>
    <t>MDT-DRTSPL-2015-1343-EXTERNO</t>
  </si>
  <si>
    <t>MDT-DRTSPL-2015-1050-M</t>
  </si>
  <si>
    <t>MDT-DRTSPL-2015-0604-O</t>
  </si>
  <si>
    <t>Vicente Patricio Merino Landivar</t>
  </si>
  <si>
    <t>1104355803</t>
  </si>
  <si>
    <t>MDT-DRTSPL-2015-1368-EXTERNO</t>
  </si>
  <si>
    <t>MDT-DRTSPL-2015-1104-M</t>
  </si>
  <si>
    <t>MDT-DRTSPL-2015-0631-O</t>
  </si>
  <si>
    <t>0704219807</t>
  </si>
  <si>
    <t>MDT-DRTSPL-2015-1375-EXTERNO</t>
  </si>
  <si>
    <t>MDT-DRTSPL-2015-1107-M</t>
  </si>
  <si>
    <t>MDT-DRTSPL-2015-0630-O</t>
  </si>
  <si>
    <t>EN618662641EC</t>
  </si>
  <si>
    <t>MDT-DRTSPL-2015-1377-EXTERNO</t>
  </si>
  <si>
    <t>MDT-DRTSPL-2015-1108-M</t>
  </si>
  <si>
    <t>MDT-DRTSPL-2015-0628-O</t>
  </si>
  <si>
    <t>Jandry Daniel Pinos Gonzalez</t>
  </si>
  <si>
    <t>1104204712</t>
  </si>
  <si>
    <t>MDT-DRTSPL-2015-1381-EXTERNO</t>
  </si>
  <si>
    <t>MDT-DRTSPL-2015-1109-M</t>
  </si>
  <si>
    <t>MDT-DRTSPL-2015-0629-O</t>
  </si>
  <si>
    <t>Maria Magdalena Pambi Gonzaga</t>
  </si>
  <si>
    <t>1104879273</t>
  </si>
  <si>
    <t>MDT-DRTSPL-2015-1390-EXTERNO</t>
  </si>
  <si>
    <t>MDT-DRTSPL-2015-1142-M</t>
  </si>
  <si>
    <t>MDT-DRTSPL-2015-0639-O</t>
  </si>
  <si>
    <t>Lorena Fernanda Rojas Ovaco</t>
  </si>
  <si>
    <t>1104380009</t>
  </si>
  <si>
    <t>MDT-DRTSPL-2015-1393-EXTERNO</t>
  </si>
  <si>
    <t>MDT-DRTSPL-2015-1111-M</t>
  </si>
  <si>
    <t>MDT-DRTSPL-2015-0627-O</t>
  </si>
  <si>
    <t>Mayra Maricela Castillo Granda</t>
  </si>
  <si>
    <t>1103875520</t>
  </si>
  <si>
    <t>MDT-DRTSPL-2015-1394-EXTERNO</t>
  </si>
  <si>
    <t>SAndra Maritza Torres Guarnizo</t>
  </si>
  <si>
    <t>MDT-DRTSPL-2015-1317-M</t>
  </si>
  <si>
    <t>MDT-DRTSPL-2015-0717-O</t>
  </si>
  <si>
    <t>MDT-DRTSPL-2015-1398-EXTERNO</t>
  </si>
  <si>
    <t>SANdra Maritza Torres Guarnizo</t>
  </si>
  <si>
    <t>MDT-DRTSPL-2015-1143-M</t>
  </si>
  <si>
    <t>1103868343</t>
  </si>
  <si>
    <t>MDT-DRTSPL-2015-1405-EXTERNO</t>
  </si>
  <si>
    <t>MDT-DRTSPL-2015-1113-M</t>
  </si>
  <si>
    <t>MDT-DRTSPL-2015-0626-O</t>
  </si>
  <si>
    <t>Lizzett Maria Belduma Belduma</t>
  </si>
  <si>
    <t>1105177552</t>
  </si>
  <si>
    <t>MDT-DRTSPL-2015-1409-EXTERNO</t>
  </si>
  <si>
    <t>MDT-DRTSPL-2015-1144-M</t>
  </si>
  <si>
    <t>MDT-DRTSPL-2015-0640-O</t>
  </si>
  <si>
    <t>MDT-DRTSPL-2015-1410-EXTERNO</t>
  </si>
  <si>
    <t>MDT-DRTSPL-2015-1146-M</t>
  </si>
  <si>
    <t>MDT-DRTSPL-2015-0636-O</t>
  </si>
  <si>
    <t>EN618322651EC</t>
  </si>
  <si>
    <t>MDT-DRTSPL-2015-1414-EXTERNO</t>
  </si>
  <si>
    <t>MDT-DRTSPL-2015-1159-M</t>
  </si>
  <si>
    <t>MDT-DRTSPL-2015-0635-O</t>
  </si>
  <si>
    <t>Wilson Gustavo Quizhpe Guaman</t>
  </si>
  <si>
    <t>1103522742</t>
  </si>
  <si>
    <t>MDT-DRTSPL-2015-1415-EXTERNO</t>
  </si>
  <si>
    <t>MDT-DRTSPL-2015-1160-M</t>
  </si>
  <si>
    <t>MDT-DRTSPL-2015-0652-O</t>
  </si>
  <si>
    <t>Luis Alfredo Cunispuma Tenemuela</t>
  </si>
  <si>
    <t>0602495335</t>
  </si>
  <si>
    <t>MDT-DRTSPL-2015-1421-EXTERNO</t>
  </si>
  <si>
    <t>MDT-DRTSPL-2015-1163-M</t>
  </si>
  <si>
    <t>MDT-DRTSPL-2015-0637-O</t>
  </si>
  <si>
    <t>MDT-DRTSPL-2015-1424-EXTERNO</t>
  </si>
  <si>
    <t>MDT-DRTSPL-2015-1164-M</t>
  </si>
  <si>
    <t>MDT-DRTSPL-2015-0641-O</t>
  </si>
  <si>
    <t>MDT-DRTSPL-2015-1435-EXTERNO</t>
  </si>
  <si>
    <t>MDT-DRTSPL-2015-1166-M</t>
  </si>
  <si>
    <t>MDT-DRTSPL-2015-0642-O</t>
  </si>
  <si>
    <t>MDT-DRTSPL-2015-1436-EXTERNO</t>
  </si>
  <si>
    <t>MDT-DRTSPL-2015-1168-M</t>
  </si>
  <si>
    <t>MDT-DRTSPL-2015-0643-O</t>
  </si>
  <si>
    <t>Jenny Maritza Jaramillo Serrano</t>
  </si>
  <si>
    <t>MDT-DRTSPL-2015-1437-EXTERNO</t>
  </si>
  <si>
    <t>MDT-DRTSPL-2015-1169-M</t>
  </si>
  <si>
    <t>MDT-DRTSPL-2015-0644-O</t>
  </si>
  <si>
    <t>MDT-DRTSPL-2015-1438-EXTERNO</t>
  </si>
  <si>
    <t>MDT-DRTSPL-2015-1170-M</t>
  </si>
  <si>
    <t>MDT-DRTSPL-2015-0645-O</t>
  </si>
  <si>
    <t>MDT-DRTSPL-2015-1439-EXTERNO</t>
  </si>
  <si>
    <t>MDT-DRTSPL-2015-1201-M</t>
  </si>
  <si>
    <t>MDT-DRTSPL-2015-0659-O</t>
  </si>
  <si>
    <t>Luis Patricio Jaramillo Reyes</t>
  </si>
  <si>
    <t>MDT-DRTSPL-2015-1457-EXTERNO</t>
  </si>
  <si>
    <t>MDT-DRTSPL-2015-1175-M</t>
  </si>
  <si>
    <t>MDT-DRTSPL-2015-0646-O</t>
  </si>
  <si>
    <t>MDT-DRTSPL-2015-1460-EXTERNO</t>
  </si>
  <si>
    <t>MDT-DRTSPL-2015-1176-M</t>
  </si>
  <si>
    <t>MDT-DRTSPL-2015-0647-O</t>
  </si>
  <si>
    <t>Manuel Vicente Patiño Campoverde</t>
  </si>
  <si>
    <t>1103798664</t>
  </si>
  <si>
    <t>MDT-DRTSPL-2015-1464-EXTERNO</t>
  </si>
  <si>
    <t>MDT-DRTSPL-2015-1177-M</t>
  </si>
  <si>
    <t>MDT-DRTSPL-2015-0648-O</t>
  </si>
  <si>
    <t>Indira Roberta Velepucha Ovaco</t>
  </si>
  <si>
    <t>1104608664</t>
  </si>
  <si>
    <t>MDT-DRTSPL-2015-1465-EXTERNO</t>
  </si>
  <si>
    <t>MDT-DRTSPL-2015-1145-M</t>
  </si>
  <si>
    <t>MDT-DRTSPL-2015-0634-O</t>
  </si>
  <si>
    <t>YANTZAZA</t>
  </si>
  <si>
    <t>EN618322665EC</t>
  </si>
  <si>
    <t>MDT-DRTSPL-2015-1467-EXTERNO</t>
  </si>
  <si>
    <t>MDT-DRTSPL-2015-1178-M</t>
  </si>
  <si>
    <t>MDT-DRTSPL-2015-0649-O</t>
  </si>
  <si>
    <t>MDT-DRTSPL-2015-1468-EXTERNO</t>
  </si>
  <si>
    <t>MDT-DRTSPL-2015-1179-M</t>
  </si>
  <si>
    <t>MDT-DRTSPL-2015-0650-O</t>
  </si>
  <si>
    <t>Ana Elizabeth Moncayo Peña</t>
  </si>
  <si>
    <t>1104989924</t>
  </si>
  <si>
    <t>MDT-DRTSPL-2015-1469-EXTERNO</t>
  </si>
  <si>
    <t>MDT-DRTSPL-2015-1191-M</t>
  </si>
  <si>
    <t>MDT-DRTSPL-2015-1471-EXTERNO</t>
  </si>
  <si>
    <t>MDT-DRTSPL-2015-1199-M</t>
  </si>
  <si>
    <t>MDT-DRTSPL-2015-0661-O</t>
  </si>
  <si>
    <t>Jenny Victoria Orozco Ferrer</t>
  </si>
  <si>
    <t>0702110503</t>
  </si>
  <si>
    <t>23/022015</t>
  </si>
  <si>
    <t>MDT-DRTSPL-2015-1481-EXTERNO</t>
  </si>
  <si>
    <t>MDT-DRTSPL-2015-1228-M</t>
  </si>
  <si>
    <t>MDT-DRTSPL-2015-0666-O</t>
  </si>
  <si>
    <t>Jose Francisco Sarango Cartuchi</t>
  </si>
  <si>
    <t>1102072913</t>
  </si>
  <si>
    <t>MDT-DRTSPL-2015-1486-EXTERNO</t>
  </si>
  <si>
    <t>MDT-DRTSPL-2015-1180-M</t>
  </si>
  <si>
    <t>MDT-DRTSPL-2015-0651-O</t>
  </si>
  <si>
    <t>MDT-DRTSPL-2015-1494-EXTERNO</t>
  </si>
  <si>
    <t>MDT-DRTSPL-2015-1185-M</t>
  </si>
  <si>
    <t>MDT-DRTSPL-2015-0655-O</t>
  </si>
  <si>
    <t>Carlos Rolando Correa Jaramillo</t>
  </si>
  <si>
    <t>MDT-DRTSPL-2015-1495-EXTERNO</t>
  </si>
  <si>
    <t>MDT-DRTSPL-2015-1187-M</t>
  </si>
  <si>
    <t>MDT-DRTSPL-2015-0653-O</t>
  </si>
  <si>
    <t>Leonardo Andres Eguiguren Bermeo</t>
  </si>
  <si>
    <t>1900527560</t>
  </si>
  <si>
    <t>MDT-DRTSPL-2015-1496-EXTERNO</t>
  </si>
  <si>
    <t>MDT-DRTSPL-2015-1195-M</t>
  </si>
  <si>
    <t>MDT-DRTSPL-2015-0669-O</t>
  </si>
  <si>
    <t>MDT-DRTSPL-2015-1497-EXTERNO</t>
  </si>
  <si>
    <t>MDT-DRTSPL-2015-1190-M</t>
  </si>
  <si>
    <t>MDT-DRTSPL-2015-0654-O</t>
  </si>
  <si>
    <t>Ronald Campoverde Campoverde</t>
  </si>
  <si>
    <t>MDT-DRTSPL-2015-1498-EXTERNO</t>
  </si>
  <si>
    <t>MDT-DRTSPL-2015-1192-M</t>
  </si>
  <si>
    <t>MDT-DRTSPL-2015-0657-O</t>
  </si>
  <si>
    <t>MDT-DRTSPL-2015-1503-EXTERNO</t>
  </si>
  <si>
    <t>MDT-DRTSPL-2015-1206-M</t>
  </si>
  <si>
    <t>MDT-DRTSPL-2015-0660-O</t>
  </si>
  <si>
    <t>Jorge Rolando Castillo Elizalde</t>
  </si>
  <si>
    <t>1104083199</t>
  </si>
  <si>
    <t>MDT-DRTSPL-2015-1505-EXTERNO</t>
  </si>
  <si>
    <t>MDT-DRTSPL-2015-1231-M</t>
  </si>
  <si>
    <t>MDT-DRTSPL-2015-0667-O</t>
  </si>
  <si>
    <t>EN618453396EC</t>
  </si>
  <si>
    <t>MDT-DRTSPL-2015-1506-EXTERNO</t>
  </si>
  <si>
    <t>MDT-DRTSPL-2015-1232-M</t>
  </si>
  <si>
    <t>MDT-DRTSPL-2015-0665-O</t>
  </si>
  <si>
    <t>MDT-DRTSPL-2015-1507-EXTERNO</t>
  </si>
  <si>
    <t>MDT-DRTSPL-2015-1233-M</t>
  </si>
  <si>
    <t>MDT-DRTSPL-2015-0664-O</t>
  </si>
  <si>
    <t>MDT-DRTSPL-2015-1514-EXTERNO</t>
  </si>
  <si>
    <t>MDT-DRTSPL-2015-1235-M</t>
  </si>
  <si>
    <t>MDT-DRTSPL-2015-0671-O</t>
  </si>
  <si>
    <t>MDT-DRTSPL-2015-1516-EXTERNO</t>
  </si>
  <si>
    <t>MDT-DRTSPL-2015-1202-M</t>
  </si>
  <si>
    <t>MDT-DRTSPL-2015-0658-O</t>
  </si>
  <si>
    <t>Luis Alfredo Durazno Alvarado</t>
  </si>
  <si>
    <t>1102972245</t>
  </si>
  <si>
    <t>MDT-DRTSPL-2015-1518-EXTERNO</t>
  </si>
  <si>
    <t>MDT-DRTSPL-2015-1236-M</t>
  </si>
  <si>
    <t>MDT-DRTSPL-2015-0672-O</t>
  </si>
  <si>
    <t>MDT-DRTSPL-2015-1520-EXTERNO</t>
  </si>
  <si>
    <t xml:space="preserve">Mayte Del Cisne Elizalde Vivanco </t>
  </si>
  <si>
    <t>MDT-DRTSPL-2015-1309-M</t>
  </si>
  <si>
    <t>1300052482</t>
  </si>
  <si>
    <t>MDT-DRTSPL-2015-1522-EXTERNO</t>
  </si>
  <si>
    <t>MDT-DRTSPL-2015-1237-M</t>
  </si>
  <si>
    <t>MDT-DRTSPL-2015-0712-O</t>
  </si>
  <si>
    <t>MDT-DRTSPL-2015-1524-EXTERNO</t>
  </si>
  <si>
    <t>MDT-DRTSPL-2015-1238-M</t>
  </si>
  <si>
    <t>MDT-DRTSPL-2015-0693-O</t>
  </si>
  <si>
    <t>MDT-DRTSPL-2015-1525-EXTERNO</t>
  </si>
  <si>
    <t>MDT-DRTSPL-2015-1240-M</t>
  </si>
  <si>
    <t>MDT-DRTSPL-2015-0674-O</t>
  </si>
  <si>
    <t>Irene Elizabeth Sarmiento Guerrero</t>
  </si>
  <si>
    <t>1900617786</t>
  </si>
  <si>
    <t>MDT-DRTSPL-2015-1528-EXTERNO</t>
  </si>
  <si>
    <t>MDT-DRTSPL-2015-1241-M</t>
  </si>
  <si>
    <t>MDT-DRTSPL-2015-0691-O</t>
  </si>
  <si>
    <t>Nataly Mireya Loaiza Macias</t>
  </si>
  <si>
    <t>1104895139</t>
  </si>
  <si>
    <t>MDT-DRTSPL-2015-1529-EXTERNO</t>
  </si>
  <si>
    <t>MDT-DRTSPL-2015-1243-M</t>
  </si>
  <si>
    <t>MDT-DRTSPL-2015-0713-O</t>
  </si>
  <si>
    <t>MDT-DRTSPL-2015-1530-EXTERNO</t>
  </si>
  <si>
    <t>MDT-DRTSPL-2015-1244-M</t>
  </si>
  <si>
    <t>MDT-DRTSPL-2015-0677-O</t>
  </si>
  <si>
    <t>MDT-DRTSPL-2015-1531-EXTERNO</t>
  </si>
  <si>
    <t>MDT-DRTSPL-2015-1251-M</t>
  </si>
  <si>
    <t>MDT-DRTSPL-2015-0686-O</t>
  </si>
  <si>
    <t>MDT-DRTSPL-2015-1532-EXTERNO</t>
  </si>
  <si>
    <t>MDT-DRTSPL-2015-1246-M</t>
  </si>
  <si>
    <t>MDT-DRTSPL-2015-0678-O</t>
  </si>
  <si>
    <t>MDT-DRTSPL-2015-1533-EXTERNO</t>
  </si>
  <si>
    <t>MDT-DRTSPL-2015-1248-M</t>
  </si>
  <si>
    <t>MDT-DRTSPL-2015-0692-O</t>
  </si>
  <si>
    <t>MDT-DRTSPL-2015-1534-EXTERNO</t>
  </si>
  <si>
    <t>MDT-DRTSPL-2015-1252-M</t>
  </si>
  <si>
    <t>MDT-DRTSPL-2015-0685-O</t>
  </si>
  <si>
    <t>MDT-DRTSPL-2015-1542-EXTERNO</t>
  </si>
  <si>
    <t>MDT-DRTSPL-2015-1253-M</t>
  </si>
  <si>
    <t>MDT-DRTSPL-2015-0690-O</t>
  </si>
  <si>
    <t>Carlos Marcelo Figueroa Miranda</t>
  </si>
  <si>
    <t>1104475445</t>
  </si>
  <si>
    <t>MDT-DRTSPL-2015-1554-EXTERNO</t>
  </si>
  <si>
    <t>MDT-DRTSPL-2015-1254-M</t>
  </si>
  <si>
    <t>MDT-DRTSPL-2015-0687-O</t>
  </si>
  <si>
    <t>Rosa Amalia Jimenez Vera</t>
  </si>
  <si>
    <t>1104759814</t>
  </si>
  <si>
    <t>MDT-DRTSPL-2015-1557-EXTERNO</t>
  </si>
  <si>
    <t>MDT-DRTSPL-2015-1255-M</t>
  </si>
  <si>
    <t>MDT-DRTSPL-2015-0679-O</t>
  </si>
  <si>
    <t>MDT-DRTSPL-2015-1561-EXTERNO</t>
  </si>
  <si>
    <t>MDT-DRTSPL-2015-1256-M</t>
  </si>
  <si>
    <t>MDT-DRTSPL-2015-0680-O</t>
  </si>
  <si>
    <t>Lorna Manena Silva Velastegui</t>
  </si>
  <si>
    <t>1102369491</t>
  </si>
  <si>
    <t>MDT-DRTSPL-2015-1562-EXTERNO</t>
  </si>
  <si>
    <t>MDT-DRTSPL-2015-1257-M</t>
  </si>
  <si>
    <t>MDT-DRTSPL-2015-0681-O</t>
  </si>
  <si>
    <t>Sonia Cumandad Merino Abad</t>
  </si>
  <si>
    <t>1712296662</t>
  </si>
  <si>
    <t>MDT-DRTSPL-2015-1565-EXTERNO</t>
  </si>
  <si>
    <t>MDT-DRTSPL-2015-1316-M</t>
  </si>
  <si>
    <t>MDT-DRTSPL-2015-0759-O</t>
  </si>
  <si>
    <t>Guillermo Alberto Ponce Fierro</t>
  </si>
  <si>
    <t>MDT-DRTSPL-2015-1566-EXTERNO</t>
  </si>
  <si>
    <t>MDT-DRTSPL-2015-1304-M</t>
  </si>
  <si>
    <t>MDT-DRTSPL-2015-0706-O</t>
  </si>
  <si>
    <t>MDT-DRTSPL-2015-1567-EXTERNO</t>
  </si>
  <si>
    <t>MDT-DRTSPL-2015-1303-M</t>
  </si>
  <si>
    <t>MDT-DRTSPL-2015-0707-O</t>
  </si>
  <si>
    <t>Carlos Correa Jaramillo</t>
  </si>
  <si>
    <t>MDT-DRTSPL-2015-1569-EXTERNO</t>
  </si>
  <si>
    <t>MDT-DRTSPL-2015-1302-M</t>
  </si>
  <si>
    <t>MDT-DRTSPL-2015-0708-O</t>
  </si>
  <si>
    <t>MDT-DRTSPL-2015-1575-EXTERNO</t>
  </si>
  <si>
    <t>MDT-DRTSPL-2015-1301-M</t>
  </si>
  <si>
    <t>MDT-DRTSPL-2015-0709-O</t>
  </si>
  <si>
    <t>MDT-DRTSPL-2015-1577-EXTERNO</t>
  </si>
  <si>
    <t>MDT-DRTSPL-2015-1300-M</t>
  </si>
  <si>
    <t>MDT-DRTSPL-2015-0710-O</t>
  </si>
  <si>
    <t>MDT-DRTSPL-2015-1578-EXTERNO</t>
  </si>
  <si>
    <t>MDT-DRTSPL-2015-1293-M</t>
  </si>
  <si>
    <t>MDT-DRTSPL-2015-0714-O</t>
  </si>
  <si>
    <t>Manuela Marina Pacheco Herrera</t>
  </si>
  <si>
    <t>1102718812</t>
  </si>
  <si>
    <t>MDT-DRTSPL-2015-1579-EXTERNO</t>
  </si>
  <si>
    <t>MDT-DRTSPL-2015-1291-M</t>
  </si>
  <si>
    <t>MDT-DRTSPL-2015-0704-O</t>
  </si>
  <si>
    <t>Esmeralda del Carmen Ortega Rodriguez</t>
  </si>
  <si>
    <t>1103163505</t>
  </si>
  <si>
    <t>MDT-DRTSPL-2015-1580-EXTERNO</t>
  </si>
  <si>
    <t>MDT-DRTSPL-2015-1299-M</t>
  </si>
  <si>
    <t>MDT-DRTSPL-2015-0711-O</t>
  </si>
  <si>
    <t>MDT-DRTSPL-2015-1581-EXTERNO</t>
  </si>
  <si>
    <t>MDT-DRTSPL-2015-1294-M</t>
  </si>
  <si>
    <t>MDT-DRTSPL-2015-0716-O</t>
  </si>
  <si>
    <t>MDT-DRTSPL-2015-1586-EXTERNO</t>
  </si>
  <si>
    <t>MDT-DRTSPL-2015-1446-M</t>
  </si>
  <si>
    <t>MDT-DRTSPL-2015-0767-O</t>
  </si>
  <si>
    <t>MDT-DRTSPL-2015-1587-EXTERNO</t>
  </si>
  <si>
    <t>MDT-DRTSPL-2015-1319-M</t>
  </si>
  <si>
    <t>MDT-DRTSPL-2015-0718-O</t>
  </si>
  <si>
    <t>MDT-DRTSPL-2015-1588-EXTERNO</t>
  </si>
  <si>
    <t>MDT-DRTSPL-2015-1310-M</t>
  </si>
  <si>
    <t>1100421732</t>
  </si>
  <si>
    <t>MDT-DRTSPL-2015-1592-EXTERNO</t>
  </si>
  <si>
    <t>MDT-DRTSPL-2015-1290-M</t>
  </si>
  <si>
    <t>MDT-DRTSPL-2015-0715-O</t>
  </si>
  <si>
    <t>Paul Orlando Carchi Bermeo</t>
  </si>
  <si>
    <t>1102815493</t>
  </si>
  <si>
    <t>MDT-DRTSPL-2015-1595-EXTERNO</t>
  </si>
  <si>
    <t>MDT-DRTSPL-2015-1289-M</t>
  </si>
  <si>
    <t>MDT-DRTSPL-2015-0699-O</t>
  </si>
  <si>
    <t>Juan Rosalino Abad Santin</t>
  </si>
  <si>
    <t>1711980282</t>
  </si>
  <si>
    <t>MDT-DRTSPL-2015-1597-EXTERNO</t>
  </si>
  <si>
    <t>MDT-DRTSPL-2015-1288-M</t>
  </si>
  <si>
    <t>MDT-DRTSPL-2015-0695-O</t>
  </si>
  <si>
    <t>MDT-DRTSPL-2015-1601-EXTERNO</t>
  </si>
  <si>
    <t>MDT-DRTSPL-2015-1287-M</t>
  </si>
  <si>
    <t>MDT-DRTSPL-2015-0698-O</t>
  </si>
  <si>
    <t>MDT-DRTSPL-2015-1602-EXTERNO</t>
  </si>
  <si>
    <t>MDT-DRTSPL-2015-1286-M</t>
  </si>
  <si>
    <t>MDT-DRTSPL-2015-0697-O</t>
  </si>
  <si>
    <t>MDT-DRTSPL-2015-1607-EXTERNO</t>
  </si>
  <si>
    <t>MDT-DRTSPL-2015-1320-M</t>
  </si>
  <si>
    <t>MDT-DRTSPL-2015-0729-O</t>
  </si>
  <si>
    <t>Max Alejandro Tandazo Encalada</t>
  </si>
  <si>
    <t>EN618662655EC</t>
  </si>
  <si>
    <t>MDT-DRTSPL-2015-1609-EXTERNO</t>
  </si>
  <si>
    <t>MDT-DSG-2015-1678-MEMORANDO</t>
  </si>
  <si>
    <t>MDT-DRTSPL-2015-0851-O</t>
  </si>
  <si>
    <t>EN619204015EC</t>
  </si>
  <si>
    <t>MDT-DRTSPL-2015-1611-EXTERNO</t>
  </si>
  <si>
    <t>MDT-DSMUATH-2015-0033</t>
  </si>
  <si>
    <t xml:space="preserve">Tania Guadalupe Gualli Culqui </t>
  </si>
  <si>
    <t>DIRECCION DE SEGUIMIENTO Y MONITOREO A LAS UATHS</t>
  </si>
  <si>
    <t>MDT-DSG-2015-2192-OFICIO</t>
  </si>
  <si>
    <t>Norman Pardo Torres</t>
  </si>
  <si>
    <t>MDT-DRTSPL-2015-1612-EXTERNO</t>
  </si>
  <si>
    <t>MDT-DSG-2015-1676-MEMORANDO</t>
  </si>
  <si>
    <t>MDT-DRTSPL-2015-0852-O</t>
  </si>
  <si>
    <t>MDT-DRTSPL-2015-1613-EXTERNO</t>
  </si>
  <si>
    <t>MDT-DSG-2015-1677-MEMORANDO, MDT-DRTSPL-2015-1599-M</t>
  </si>
  <si>
    <t>Luis Miguel Quezada Coba, Mayte Del Cisne Elizalde Vivanco</t>
  </si>
  <si>
    <t>MDT-DRTSPL-2015-0853-O</t>
  </si>
  <si>
    <t>MDT-DRTSPL-2015-1614-EXTERNO</t>
  </si>
  <si>
    <t>MDT-DRTSPL-2015-1285-M</t>
  </si>
  <si>
    <t>MDT-DRTSPL-2015-0700-O</t>
  </si>
  <si>
    <t>MDT-DRTSPL-2015-1615-EXTERNO</t>
  </si>
  <si>
    <t>MDT-DRTSPL-2015-1321-M</t>
  </si>
  <si>
    <t>MDT-DRTSPL-2015-0730-O</t>
  </si>
  <si>
    <t>MDT-DRTSPL-2015-1618-EXTERNO</t>
  </si>
  <si>
    <t>MDT-DRTSPL-2015-1284-M</t>
  </si>
  <si>
    <t>MDT-DRTSPL-2015-0701-O</t>
  </si>
  <si>
    <t>MDT-DRTSPL-2015-1619-EXTERNO</t>
  </si>
  <si>
    <t>MDT-DRTSPL-2015-1283-M</t>
  </si>
  <si>
    <t>MDT-DRTSPL-2015-0696-O</t>
  </si>
  <si>
    <t>MDT-DRTSPL-2015-1621-EXTERNO</t>
  </si>
  <si>
    <t>MDT-DRTSPL-2015-1282-M</t>
  </si>
  <si>
    <t>MDT-DRTSPL-2015-0702-O</t>
  </si>
  <si>
    <t>Veronica Talia Carrion Guerrero</t>
  </si>
  <si>
    <t>MDT-DRTSPL-2015-1624-EXTERNO</t>
  </si>
  <si>
    <t>MDT-DRTSPL-2015-1281-M</t>
  </si>
  <si>
    <t>MDT-DRTSPL-2015-0703-O</t>
  </si>
  <si>
    <t>Herminia Melisa Escobar Aviles</t>
  </si>
  <si>
    <t>MDT-DRTSPL-2015-1627-EXTERNO</t>
  </si>
  <si>
    <t>MDT-DRTSPL-2015-1279-M</t>
  </si>
  <si>
    <t>MDT-DRTSPL-2015-0694-O</t>
  </si>
  <si>
    <t>Angie Livania Armijos Riofrio</t>
  </si>
  <si>
    <t>1105685299</t>
  </si>
  <si>
    <t>MDT-DRTSPL-2015-1629-EXTERNO</t>
  </si>
  <si>
    <t>MDT-DRTSPL-2015-1323-M</t>
  </si>
  <si>
    <t>MDT-DRTSPL-2015-0720-O</t>
  </si>
  <si>
    <t>1104447014</t>
  </si>
  <si>
    <t>MDT-DRTSPL-2015-1630-EXTERNO</t>
  </si>
  <si>
    <t>MDT-DRTSPL-2015-1325-M</t>
  </si>
  <si>
    <t>MDT-DRTSPL-2015-0721-O</t>
  </si>
  <si>
    <t>Monica Alejandra Reinoso Ramon</t>
  </si>
  <si>
    <t>MDT-DRTSPL-2015-1631-EXTERNO</t>
  </si>
  <si>
    <t>MDT-DRTSPL-2015-1326-M</t>
  </si>
  <si>
    <t>MDT-DRTSPL-2015-0722-O</t>
  </si>
  <si>
    <t>Miryan Patricia Medina Ramon</t>
  </si>
  <si>
    <t>1104380090</t>
  </si>
  <si>
    <t>MDT-DRTSPL-2015-1640-EXTERNO</t>
  </si>
  <si>
    <t>MDT-DRTSPL-2015-1327-M</t>
  </si>
  <si>
    <t>MDT-DRTSPL-2015-0723-O</t>
  </si>
  <si>
    <t>Elthon German Isquierdo Tandazo</t>
  </si>
  <si>
    <t>MDT-DRTSPL-2015-1647-EXTERNO</t>
  </si>
  <si>
    <t>MDT-DRTSPL-2015-1328-M</t>
  </si>
  <si>
    <t>MDT-DRTSPL-2015-0724-O</t>
  </si>
  <si>
    <t>Franklin German Guaman Illescas</t>
  </si>
  <si>
    <t>1104682222</t>
  </si>
  <si>
    <t>MDT-DRTSPL-2015-1661-EXTERNO</t>
  </si>
  <si>
    <t>MDT-DRTSPL-2015-1331-M</t>
  </si>
  <si>
    <t>MDT-DRTSPL-2015-0725-O</t>
  </si>
  <si>
    <t>MDT-DRTSPL-2015-1663-EXTERNO</t>
  </si>
  <si>
    <t>MDT-DRTSPL-2015-1332-M</t>
  </si>
  <si>
    <t>MDT-DRTSPL-2015-0726-O</t>
  </si>
  <si>
    <t>MDT-DRTSPL-2015-1666-EXTERNO</t>
  </si>
  <si>
    <t>MDT-DRTSPL-2015-1333-M</t>
  </si>
  <si>
    <t>MDT-DRTSPL-2015-0727-O</t>
  </si>
  <si>
    <t>Jose Lino Poma Namcela</t>
  </si>
  <si>
    <t>1103842512</t>
  </si>
  <si>
    <t>MDT-DRTSPL-2015-1668-EXTERNO</t>
  </si>
  <si>
    <t>MDT-DRTSPL-2015-1334-M</t>
  </si>
  <si>
    <t>MDT-DRTSPL-2015-0758-O</t>
  </si>
  <si>
    <t>MDT-DRTSPL-2015-1670-EXTERNO</t>
  </si>
  <si>
    <t>MDT-DRTSPL-2015-1345-M</t>
  </si>
  <si>
    <t>MDT-DRTSPL-2015-0732-O</t>
  </si>
  <si>
    <t>Keilynn Marie Basque</t>
  </si>
  <si>
    <t>1752176907</t>
  </si>
  <si>
    <t>MDT-DRTSPL-2015-1676-EXTERNO</t>
  </si>
  <si>
    <t>MDT-DRTSPL-2015-1346-M</t>
  </si>
  <si>
    <t>MDT-DRTSPL-2015-0747-O</t>
  </si>
  <si>
    <t>Pablo Fidel Mendoza Jara</t>
  </si>
  <si>
    <t>MDT-DRTSPL-2015-1677-EXTERNO</t>
  </si>
  <si>
    <t>MDT-DRTSPL-2015-1347-M</t>
  </si>
  <si>
    <t>MDT-DRTSPL-2015-0737-O</t>
  </si>
  <si>
    <t>MDT-DRTSPL-2015-1678-EXTERNO</t>
  </si>
  <si>
    <t>MDT-DRTSPL-2015-1348-M</t>
  </si>
  <si>
    <t>MDT-DRTSPL-2015-0733-O</t>
  </si>
  <si>
    <t>Jackson Fabricio Medina Guaicha</t>
  </si>
  <si>
    <t>1101859096</t>
  </si>
  <si>
    <t>MDT-DRTSPL-2015-1681-EXTERNO</t>
  </si>
  <si>
    <t>MDT-DRTSPL-2015-1349-M</t>
  </si>
  <si>
    <t>MDT-DRTSPL-2015-0734-O</t>
  </si>
  <si>
    <t>Meliana Esperanza Armijos Tapia</t>
  </si>
  <si>
    <t>1102726617</t>
  </si>
  <si>
    <t>MDT-DRTSPL-2015-1683-EXTERNO</t>
  </si>
  <si>
    <t>MDT-DRTSPL-2015-1350-M</t>
  </si>
  <si>
    <t>MDT-DRTSPL-2015-0735-O</t>
  </si>
  <si>
    <t>MDT-DRTSPL-2015-1691-EXTERNO</t>
  </si>
  <si>
    <t>MDT-DRTSPL-2015-1352-M</t>
  </si>
  <si>
    <t>MDT-DRTSPL-2015-0736-O</t>
  </si>
  <si>
    <t>Jenny Mariela Salinas Mora</t>
  </si>
  <si>
    <t>MDT-DRTSPL-2015-1692-EXTERNO</t>
  </si>
  <si>
    <t>MDT-DRTSPL-2015-1517-M</t>
  </si>
  <si>
    <t>MDT-DRTSPL-2015-0838-O</t>
  </si>
  <si>
    <t>Jose Antonio Jaramillo Pintado</t>
  </si>
  <si>
    <t>MDT-DRTSPL-2015-1694-EXTERNO</t>
  </si>
  <si>
    <t>MDT-DRTSPL-2015-1437-M</t>
  </si>
  <si>
    <t>MDT-DRTSPL-2015-0765-O</t>
  </si>
  <si>
    <t>Julia Marisol Ortega Quizhpe</t>
  </si>
  <si>
    <t>MDT-DRTSPL-2015-1695-EXTERNO</t>
  </si>
  <si>
    <t>MDT-DRTSPL-2015-1361-M</t>
  </si>
  <si>
    <t>MDT-DRTSPL-2015-0739-O</t>
  </si>
  <si>
    <t>PUYANGO</t>
  </si>
  <si>
    <t>UNIDAD JUDICIAL CIVIL CON SEDE EN EL CANTON PUYANGO</t>
  </si>
  <si>
    <t>EN618765632EC</t>
  </si>
  <si>
    <t>MDT-DRTSPL-2015-1699-EXTERNO</t>
  </si>
  <si>
    <t>MDT-DRTSPL-2015-1354-M</t>
  </si>
  <si>
    <t>MDT-DRTSPL-2015-0738-O</t>
  </si>
  <si>
    <t>MDT-DRTSPL-2015-1702-EXTERNO</t>
  </si>
  <si>
    <t>MDT-DRTSPL-2015-1355-M</t>
  </si>
  <si>
    <t>MDT-DRTSPL-2015-0740-O</t>
  </si>
  <si>
    <t>MDT-DRTSPL-2015-1703-EXTERNO</t>
  </si>
  <si>
    <t>MDT-DRTSPL-2015-1356-M</t>
  </si>
  <si>
    <t>MDT-DRTSPL-2015-0741-O</t>
  </si>
  <si>
    <t>MDT-DRTSPL-2015-1706-EXTERNO</t>
  </si>
  <si>
    <t>MDT-DRTSPL-2015-1357-M</t>
  </si>
  <si>
    <t>MDT-DRTSPL-2015-0757-O</t>
  </si>
  <si>
    <t>Marcelo Saritama Carrera</t>
  </si>
  <si>
    <t>MDT-DRTSPL-2015-1707-EXTERNO</t>
  </si>
  <si>
    <t>MDT-DRTSPL-2015-1358-M</t>
  </si>
  <si>
    <t>MDT-DRTSPL-2015-0743-O</t>
  </si>
  <si>
    <t>MDT-DRTSPL-2015-1714-EXTERNO</t>
  </si>
  <si>
    <t>MDT-DRTSPL-2015-1441-M</t>
  </si>
  <si>
    <t>MDT-DRTSPL-2015-0768-O</t>
  </si>
  <si>
    <t>Jorge Vinicio Torres Trujillo</t>
  </si>
  <si>
    <t>MDT-DRTSPL-2015-1718-EXTERNO</t>
  </si>
  <si>
    <t>MDT-DRTSPL-2015-1440-M</t>
  </si>
  <si>
    <t>MDT-DRTSPL-2015-0769-O</t>
  </si>
  <si>
    <t>Gabriela Stefania Vargas Cuenca</t>
  </si>
  <si>
    <t>MDT-DRTSPL-2015-1721-EXTERNO</t>
  </si>
  <si>
    <t>MDT-DRTSPL-2015-1439-M</t>
  </si>
  <si>
    <t>MDT-DRTSPL-2015-0781-O</t>
  </si>
  <si>
    <t>MDT-DRTSPL-2015-1725-EXTERNO</t>
  </si>
  <si>
    <t>MDT-DRTSPL-2015-1449-M</t>
  </si>
  <si>
    <t>MDT-DRTSPL-2015-0766-O</t>
  </si>
  <si>
    <t>Jose Ricardo Salinas Mendieta</t>
  </si>
  <si>
    <t>MDT-DRTSPL-2015-1732-EXTERNO</t>
  </si>
  <si>
    <t>MDT-DRTSPL-2015-1442-M</t>
  </si>
  <si>
    <t>MDT-DRTSPL-2015-0770-O</t>
  </si>
  <si>
    <t>MDT-DRTSPL-2015-1734-EXTERNO</t>
  </si>
  <si>
    <t>MDT-DRTSPL-2015-1443-M</t>
  </si>
  <si>
    <t>MDT-DRTSPL-2015-0771-O</t>
  </si>
  <si>
    <t>Guillermo Esteban Molina Sacoto</t>
  </si>
  <si>
    <t>MDT-DRTSPL-2015-1735-EXTERNO</t>
  </si>
  <si>
    <t>MDT-DRTSPL-2015-1444-M</t>
  </si>
  <si>
    <t>MDT-DRTSPL-2015-0774-O</t>
  </si>
  <si>
    <t>MDT-DRTSPL-2015-1889-EXTERNO</t>
  </si>
  <si>
    <t xml:space="preserve">Sandra Maritza Torres Guarnizo </t>
  </si>
  <si>
    <t>MDT-DRTSPL-2015-1527-M</t>
  </si>
  <si>
    <t>MDT-DRTSPL-2015-0830-O</t>
  </si>
  <si>
    <t>UNIDAD JUDICIAL DE LOJA</t>
  </si>
  <si>
    <t>MDT-DRTSPL-2015-1890-EXTERNO</t>
  </si>
  <si>
    <t>MDT-DRTSPL-2015-1528-M</t>
  </si>
  <si>
    <t>MDT-DRTSPL-2015-0820-O</t>
  </si>
  <si>
    <t>MDT-DRTSPL-2015-1891-EXTERNO</t>
  </si>
  <si>
    <t>MDT-DRTSPL-2015-1529-M</t>
  </si>
  <si>
    <t>MDT-DRTSPL-2015-0827-O</t>
  </si>
  <si>
    <t>MDT-DRTSPL-2015-1892-EXTERNO</t>
  </si>
  <si>
    <t>MDT-DRTSPL-2015-1530-M</t>
  </si>
  <si>
    <t>MDT-DRTSPL-2015-0826-O</t>
  </si>
  <si>
    <t>MDT-DRTSPL-2015-1893-EXTERNO</t>
  </si>
  <si>
    <t>MDT-DRTSPL-2015-1532-M</t>
  </si>
  <si>
    <t>MDT-DRTSPL-2015-0819-O</t>
  </si>
  <si>
    <t xml:space="preserve">Karina Torres Maldonado </t>
  </si>
  <si>
    <t>MDT-DRTSPL-2015-1894-EXTERNO</t>
  </si>
  <si>
    <t>MDT-DRTSPL-2015-1533-M</t>
  </si>
  <si>
    <t>MDT-DRTSPL-2015-0824-O</t>
  </si>
  <si>
    <t xml:space="preserve">Diego Quezada Quezada </t>
  </si>
  <si>
    <t>EN619201133EC</t>
  </si>
  <si>
    <t>MDT-DRTSPL-2015-1895-EXTERNO</t>
  </si>
  <si>
    <t>MDT-DRTSPL-2015-1535-M</t>
  </si>
  <si>
    <t>MDT-DRTSPL-2015-0818-O</t>
  </si>
  <si>
    <t>MDT-DRTSPL-2015-1896-EXTERNO</t>
  </si>
  <si>
    <t>MDT-DRTSPL-2015-1536-M</t>
  </si>
  <si>
    <t>MDT-DRTSPL-2015-0817-O</t>
  </si>
  <si>
    <t>MDT-DRTSPL-2015-1897-EXTERNO</t>
  </si>
  <si>
    <t>MDT-DRTSPL-2015-1537-M</t>
  </si>
  <si>
    <t>MDT-DRTSPL-2015-0815-O</t>
  </si>
  <si>
    <t>MDT-DRTSPL-2015-1898-EXTERNO</t>
  </si>
  <si>
    <t>MDT-DRTSPL-2015-1538-M</t>
  </si>
  <si>
    <t>MDT-DRTSPL-2015-0816-O</t>
  </si>
  <si>
    <t>MDT-DRTSPL-2015-1901-EXTERNO</t>
  </si>
  <si>
    <t>MDT-DRTSPL-2015-1539-M</t>
  </si>
  <si>
    <t>MDT-DRTSPL-2015-0812-O</t>
  </si>
  <si>
    <t xml:space="preserve">Byron Salgado Castillo </t>
  </si>
  <si>
    <t>1104114846</t>
  </si>
  <si>
    <t>MDT-DRTSPL-2015-1908-EXTERNO</t>
  </si>
  <si>
    <t>MDT-DRTSPL-2015-1522-M</t>
  </si>
  <si>
    <t>MDT-DRTSPL-2015-0813-O</t>
  </si>
  <si>
    <t xml:space="preserve">Carmen Elizabeth Puchaicela Sanmartin </t>
  </si>
  <si>
    <t>1104616329</t>
  </si>
  <si>
    <t>MDT-DRTSPL-2015-1909-EXTERNO</t>
  </si>
  <si>
    <t>MDT-DRTSPL-2015-1540-M</t>
  </si>
  <si>
    <t>MDT-DRTSPL-2015-0811-O</t>
  </si>
  <si>
    <t xml:space="preserve">Ketty Elizabeth Armijos Peralta </t>
  </si>
  <si>
    <t>1104596695</t>
  </si>
  <si>
    <t>MDT-DRTSPL-2015-1912-EXTERNO</t>
  </si>
  <si>
    <t>MDT-DRTSPL-2015-1546-M</t>
  </si>
  <si>
    <t>MDT-DRTSPL-2015-0835-O</t>
  </si>
  <si>
    <t xml:space="preserve">Juan José Puertas Ortega </t>
  </si>
  <si>
    <t>MDT-DRTSPL-2015-1913-EXTERNO</t>
  </si>
  <si>
    <t>MDT-DRTSPL-2015-1541-M</t>
  </si>
  <si>
    <t>MDT-DRTSPL-2015-0810-O</t>
  </si>
  <si>
    <t>MDT-DRTSPL-2015-1914-EXTERNO</t>
  </si>
  <si>
    <t>MDT-DSG-2015-1831-MEMORANDO</t>
  </si>
  <si>
    <t>MDT-DRTSPL-2015-1496-O</t>
  </si>
  <si>
    <t>Yesenia del Rocio Macas Avila</t>
  </si>
  <si>
    <t>1103635338</t>
  </si>
  <si>
    <t>MDT-DRTSPL-2015-1916-EXTERNO</t>
  </si>
  <si>
    <t>MDT-DRTSPL-2015-1598-M</t>
  </si>
  <si>
    <t>MDT-DRTSPL-2015-0861-O</t>
  </si>
  <si>
    <t xml:space="preserve">Saul Ivan Carrion Herrera </t>
  </si>
  <si>
    <t>1300052402</t>
  </si>
  <si>
    <t>MDT-DRTSPL-2015-1918-EXTERNO</t>
  </si>
  <si>
    <t>MDT-DRTSPL-2015-1523-M</t>
  </si>
  <si>
    <t>MDT-DRTSPL-2015-0814-O</t>
  </si>
  <si>
    <t xml:space="preserve">Richar Eduardo Delgado Pardo </t>
  </si>
  <si>
    <t>1103348015</t>
  </si>
  <si>
    <t>MDT-DRTSPL-2015-1919-EXTERNO</t>
  </si>
  <si>
    <t>MDT-DRTSPL-2015-1544-M</t>
  </si>
  <si>
    <t>MDT-DRTSPL-2015-0829-O</t>
  </si>
  <si>
    <t>MDT-DRTSPL-2015-1920-EXTERNO</t>
  </si>
  <si>
    <t>MDT-DRTSPL-2015-1545-M</t>
  </si>
  <si>
    <t>MDT-DRTSPL-2015-0837-O</t>
  </si>
  <si>
    <t>MDT-DRTSPL-2015-1921-EXTERNO</t>
  </si>
  <si>
    <t>MDT-DRTSPL-2015-1553-M</t>
  </si>
  <si>
    <t>MDT-DRTSPL-2015-0847-O</t>
  </si>
  <si>
    <t>MDT-DRTSPL-2015-1925-EXTERNO</t>
  </si>
  <si>
    <t>MDT-DRTSPL-2015-1550-M</t>
  </si>
  <si>
    <t>MDT-DRTSPL-2015-0832-O</t>
  </si>
  <si>
    <t xml:space="preserve">Jose Alberto Agreda Perez </t>
  </si>
  <si>
    <t>1103701952</t>
  </si>
  <si>
    <t>MDT-DRTSPL-2015-1926-EXTERNO</t>
  </si>
  <si>
    <t>MDT-DRTSPL-2015-1551-M</t>
  </si>
  <si>
    <t>MDT-DRTSPL-2015-0833-O</t>
  </si>
  <si>
    <t xml:space="preserve">Julio Cesar Oviedo Oviedo </t>
  </si>
  <si>
    <t>0705958825</t>
  </si>
  <si>
    <t>MDT-DRTSPL-2015-1927-EXTERNO</t>
  </si>
  <si>
    <t>MDT-DRTSPL-2015-1554-M</t>
  </si>
  <si>
    <t>MDT-DRTSPL-2015-0843-O</t>
  </si>
  <si>
    <t>MDT-DRTSPL-2015-1928-EXTERNO</t>
  </si>
  <si>
    <t>MDT-DRTSPL-2015-1555-M</t>
  </si>
  <si>
    <t>MDT-DRTSPL-2015-0848-O</t>
  </si>
  <si>
    <t>MDT-DRTSPL-2015-1931-EXTERNO</t>
  </si>
  <si>
    <t>MDT-DRTSPL-2015-1556-M</t>
  </si>
  <si>
    <t>MDT-DRTSPL-2015-0850-O</t>
  </si>
  <si>
    <t xml:space="preserve">Antonio Patricio Quito </t>
  </si>
  <si>
    <t>MDT-DRTSPL-2015-1933-EXTERNO</t>
  </si>
  <si>
    <t>MDT-DRTSPL-2015-1560-M</t>
  </si>
  <si>
    <t>MDT-DRTSPL-2015-0841-O</t>
  </si>
  <si>
    <t>Juan Oswaldo Merino Soto (MSP)</t>
  </si>
  <si>
    <t>1100018501</t>
  </si>
  <si>
    <t>MDT-DRTSPL-2015-1934-EXTERNO</t>
  </si>
  <si>
    <t>MDT-DRTSPL-2015-1557-M</t>
  </si>
  <si>
    <t>MDT-DRTSPL-2015-0849-O</t>
  </si>
  <si>
    <t xml:space="preserve">Pedro Gustavo Ruiz Reinoso </t>
  </si>
  <si>
    <t>MDT-DRTSPL-2015-1935-EXTERNO</t>
  </si>
  <si>
    <t>MDT-DRTSPL-2015-1558-M</t>
  </si>
  <si>
    <t>MDT-DRTSPL-2015-0844-O</t>
  </si>
  <si>
    <t>MDT-DRTSPL-2015-1946-EXTERNO</t>
  </si>
  <si>
    <t>MDT-DRTSPL-2015-1561-M</t>
  </si>
  <si>
    <t>MDT-DRTSPL-2015-0831-O</t>
  </si>
  <si>
    <t xml:space="preserve">yina Patricia Pinzon Prado </t>
  </si>
  <si>
    <t>1103386205</t>
  </si>
  <si>
    <t>MDT-DRTSPL-2015-1947-EXTERNO</t>
  </si>
  <si>
    <t>MDT-DRTSPL-2015-1559-M</t>
  </si>
  <si>
    <t>MDT-DRTSPL-2015-0839-O</t>
  </si>
  <si>
    <t>MDT-DRTSPL-2015-1948-EXTERNO</t>
  </si>
  <si>
    <t>MDT-DRTSPL-2015-0883-O</t>
  </si>
  <si>
    <t>MDT-DRTSPL-2015-1949-EXTERNO</t>
  </si>
  <si>
    <t>MDT-DRTSPL-2015-1600-M</t>
  </si>
  <si>
    <t>MDT-DRTSPL-2015-0868-O</t>
  </si>
  <si>
    <t>MDT-DRTSPL-2015-1950-EXTERNO</t>
  </si>
  <si>
    <t>MDT-DRTSPL-2015-0842-O</t>
  </si>
  <si>
    <t xml:space="preserve">Carlos Rodrigo Bermeo Abraham </t>
  </si>
  <si>
    <t>1101986113</t>
  </si>
  <si>
    <t>MDT-DRTSPL-2015-1959-EXTERNO</t>
  </si>
  <si>
    <t>MDT-DRTSPL-2015-1605-M</t>
  </si>
  <si>
    <t>MDT-DRTSPL-2015-0859-O</t>
  </si>
  <si>
    <t xml:space="preserve">Tania Lucia Garcia Sarango </t>
  </si>
  <si>
    <t>1104718463</t>
  </si>
  <si>
    <t>MDT-DRTSPL-2015-1964-EXTERNO</t>
  </si>
  <si>
    <t>MDT-DRTSPL-2015-1603-M</t>
  </si>
  <si>
    <t>MDT-DRTSPL-2015-0882-O</t>
  </si>
  <si>
    <t>MDT-DRTSPL-2015-1965-EXTERNO</t>
  </si>
  <si>
    <t>MDT-DRTSPL-2015-1601-M</t>
  </si>
  <si>
    <t>MDT-DRTSPL-2015-0862-O</t>
  </si>
  <si>
    <t>MDT-DRTSPL-2015-1966-EXTERNO</t>
  </si>
  <si>
    <t>MDT-DRTSPL-2015-1604-M</t>
  </si>
  <si>
    <t>MDT-DRTSPL-2015-0860-O</t>
  </si>
  <si>
    <t>MDT-DRTSPL-2015-1970-EXTERNO</t>
  </si>
  <si>
    <t>MDT-DRTSPL-2015-1606-M</t>
  </si>
  <si>
    <t>MDT-DRTSPL-2015-0864-O</t>
  </si>
  <si>
    <t xml:space="preserve">Karen Liliana Jaramillo Espinoza </t>
  </si>
  <si>
    <t>1105036931</t>
  </si>
  <si>
    <t>MDT-DRTSPL-2015-1971-EXTERNO</t>
  </si>
  <si>
    <t>MDT-DRTSPL-2015-1616-M</t>
  </si>
  <si>
    <t>MDT-DRTSPL-2015-0867-O</t>
  </si>
  <si>
    <t xml:space="preserve">Katherine Elizabeth Armijos Añazco </t>
  </si>
  <si>
    <t>1106084799</t>
  </si>
  <si>
    <t>MDT-DRTSPL-2015-1972-EXTERNO</t>
  </si>
  <si>
    <t>MDT-DRTSPL-2015-1607-M</t>
  </si>
  <si>
    <t>MDT-DRTSPL-2015-0863-O</t>
  </si>
  <si>
    <t>MDT-DRTSPL-2015-1978-EXTERNO</t>
  </si>
  <si>
    <t>MDT-DRTSPL-2015-1602-M</t>
  </si>
  <si>
    <t>MDT-DRTSPL-2015-0865-O</t>
  </si>
  <si>
    <t xml:space="preserve">Eliana Elizabeth Armijos Loaiza </t>
  </si>
  <si>
    <t>1102981998</t>
  </si>
  <si>
    <t>MDT-DRTSPL-2015-1980-EXTERNO</t>
  </si>
  <si>
    <t>MDT-DRTSPL-2015-1608-M</t>
  </si>
  <si>
    <t>MDT-DRTSPL-2015-0866-O</t>
  </si>
  <si>
    <t>MDT-DRTSPL-2015-1992-EXTERNO</t>
  </si>
  <si>
    <t>MDT-DRTSPL-2015-1609-M</t>
  </si>
  <si>
    <t>MDT-DRTSPL-2015-0858-O</t>
  </si>
  <si>
    <t xml:space="preserve">Stefany Michelle Vasquez Pineda </t>
  </si>
  <si>
    <t>1104956774</t>
  </si>
  <si>
    <t>MDT-DRTSPL-2015-1994-EXTERNO</t>
  </si>
  <si>
    <t>MDT-DRTSPL-2015-1619-M</t>
  </si>
  <si>
    <t>MDT-DRTSPL-2015-0869-O</t>
  </si>
  <si>
    <t xml:space="preserve">Sonia Cumandad Merino Abad </t>
  </si>
  <si>
    <t>MDT-DRTSPL-2015-1996-EXTERNO</t>
  </si>
  <si>
    <t>MDT-DRTSPL-2015-1813-M</t>
  </si>
  <si>
    <t>MDT-DRTSPL-2015-0960-O</t>
  </si>
  <si>
    <t>MDT-DRTSPL-2015-1998-EXTERNO</t>
  </si>
  <si>
    <t>MDT-DRTSPL-2015-1621-M</t>
  </si>
  <si>
    <t>MDT-DRTSPL-2015-0870-O</t>
  </si>
  <si>
    <t xml:space="preserve">Johanna Alexandra Guaicha Gonzalez </t>
  </si>
  <si>
    <t>1103227078</t>
  </si>
  <si>
    <t>MDT-DRTSPL-2015-2001-EXTERNO</t>
  </si>
  <si>
    <t>MDT-DRTSPL-2015-1623-M</t>
  </si>
  <si>
    <t>MDT-DRTSPL-2015-0873-O</t>
  </si>
  <si>
    <t xml:space="preserve">Wilma del Rocio Palta Medina </t>
  </si>
  <si>
    <t>1103544480</t>
  </si>
  <si>
    <t>MDT-DRTSPL-2015-2004-EXTERNO</t>
  </si>
  <si>
    <t>MDT-DRTSPL-2015-1622-M</t>
  </si>
  <si>
    <t>MDT-DRTSPL-2015-0874-O</t>
  </si>
  <si>
    <t xml:space="preserve">Alexandra Nohemi Bustamante Sinche </t>
  </si>
  <si>
    <t>1104223340</t>
  </si>
  <si>
    <t>MDT-DRTSPL-2015-2011-EXTERNO</t>
  </si>
  <si>
    <t>MDT-DRTSPL-2015-1624-M</t>
  </si>
  <si>
    <t>MDT-DRTSPL-2015-0875-O</t>
  </si>
  <si>
    <t xml:space="preserve">Mariana Alexandra Valdez Pardo </t>
  </si>
  <si>
    <t>1717256299</t>
  </si>
  <si>
    <t>MDT-DRTSPL-2015-2012-EXTERNO</t>
  </si>
  <si>
    <t>MDT-DRTSPL-2015-1625-M</t>
  </si>
  <si>
    <t>MDT-DRTSPL-2015-0876-O</t>
  </si>
  <si>
    <t xml:space="preserve">Mercy del Cisne Sarango Amay </t>
  </si>
  <si>
    <t>1104564842</t>
  </si>
  <si>
    <t>MDT-DRTSPL-2015-2023-EXTERNO</t>
  </si>
  <si>
    <t>MDT-DRTSPL-2015-1626-M</t>
  </si>
  <si>
    <t>MDT-DRTSPL-2015-0872-O</t>
  </si>
  <si>
    <t xml:space="preserve">Angel Eduardo Ortega Salinas </t>
  </si>
  <si>
    <t>1100202116</t>
  </si>
  <si>
    <t>MDT-DRTSPL-2015-2025-EXTERNO</t>
  </si>
  <si>
    <t>MDT-DRTSPL-2015-1639-M</t>
  </si>
  <si>
    <t>MDT-DRTSPL-2015-0892-O</t>
  </si>
  <si>
    <t>MDT-DRTSPL-2015-2026-EXTERNO</t>
  </si>
  <si>
    <t>MDT-DRTSPL-2015-0893-O</t>
  </si>
  <si>
    <t>MDT-DRTSPL-2015-2027-EXTERNO</t>
  </si>
  <si>
    <t>MDT-DRTSPL-2015-1674-M</t>
  </si>
  <si>
    <t>MDT-DRTSPL-2015-0888-O</t>
  </si>
  <si>
    <t>MDT-DRTSPL-2015-2028-EXTERNO</t>
  </si>
  <si>
    <t>MDT-DRTSPL-2015-1681-M</t>
  </si>
  <si>
    <t>MDT-DRTSPL-2015-0909-O</t>
  </si>
  <si>
    <t xml:space="preserve">Valeria Elizabeth Arboleda Lascano </t>
  </si>
  <si>
    <t>1104046097</t>
  </si>
  <si>
    <t>MDT-DRTSPL-2015-2029-EXTERNO</t>
  </si>
  <si>
    <t>MDT-DRTSPL-2015-1675-M</t>
  </si>
  <si>
    <t>MDT-DRTSPL-2015-0894-O</t>
  </si>
  <si>
    <t xml:space="preserve">Fernando Alfonso Brayanes Lima </t>
  </si>
  <si>
    <t>MDT-DRTSPL-2015-2030-EXTERNO</t>
  </si>
  <si>
    <t>MDT-DRTSPL-2015-1677-M</t>
  </si>
  <si>
    <t>MDT-DRTSPL-2015-0889-O</t>
  </si>
  <si>
    <t>MDT-DRTSPL-2015-2035-EXTERNO</t>
  </si>
  <si>
    <t>MDT-DRTSPL-2015-1857-M</t>
  </si>
  <si>
    <t>MDT-DRTSPL-2015-1018-O</t>
  </si>
  <si>
    <t>MDT-DRTSPL-2015-2036-EXTERNO</t>
  </si>
  <si>
    <t>MDT-DRTSPL-2015-1678-M</t>
  </si>
  <si>
    <t>MDT-DRTSPL-2015-0890-O</t>
  </si>
  <si>
    <t>ESPINDOLA</t>
  </si>
  <si>
    <t>EN619540834EC</t>
  </si>
  <si>
    <t>MDT-DRTSPL-2015-2041-EXTERNO</t>
  </si>
  <si>
    <t>MDT-DRTSPL-2015-1679-M</t>
  </si>
  <si>
    <t>MDT-DRTSPL-2015-0895-O</t>
  </si>
  <si>
    <t xml:space="preserve">Victor Antonio Pineda Collaguazo </t>
  </si>
  <si>
    <t>1103821219</t>
  </si>
  <si>
    <t>MDT-DRTSPL-2015-2042-EXTERNO</t>
  </si>
  <si>
    <t>MDT-DRTSPL-2015-1668-M</t>
  </si>
  <si>
    <t>MDT-DRTSPL-2015-0896-O</t>
  </si>
  <si>
    <t xml:space="preserve">Hugo Ismael Granda Sanchez </t>
  </si>
  <si>
    <t>1103815252</t>
  </si>
  <si>
    <t>MDT-DRTSPL-2015-2043-EXTERNO</t>
  </si>
  <si>
    <t>MDT-DRTSPL-2015-1680-M</t>
  </si>
  <si>
    <t>MDT-DRTSPL-2015-0891-O</t>
  </si>
  <si>
    <t xml:space="preserve">Jose Antonio Jaramillo Pintado </t>
  </si>
  <si>
    <t>1100459335</t>
  </si>
  <si>
    <t>MDT-DRTSPL-2015-2047-EXTERNO</t>
  </si>
  <si>
    <t>MDT-DRTSPL-2015-1685-M</t>
  </si>
  <si>
    <t>MDT-DRTSPL-2015-0898-O</t>
  </si>
  <si>
    <t xml:space="preserve">Jorge Luis Rivera </t>
  </si>
  <si>
    <t>MDT-DRTSPL-2015-2050-EXTERNO</t>
  </si>
  <si>
    <t>MDT-DRTSPL-2015-1005-O</t>
  </si>
  <si>
    <t xml:space="preserve">Maria Alejandrina Gualan Contento </t>
  </si>
  <si>
    <t>1103010342</t>
  </si>
  <si>
    <t>MDT-DRTSPL-2015-2051-EXTERNO</t>
  </si>
  <si>
    <t>MDT-DRTSPL-2015-1724-M</t>
  </si>
  <si>
    <t>MDT-DRTSPL-2015-0925-O</t>
  </si>
  <si>
    <t>MDT-DRTSPL-2015-2052-EXTERNO</t>
  </si>
  <si>
    <t>MDT-DRTSPL-2015-1725-M</t>
  </si>
  <si>
    <t>MDT-DRTSPL-2015-0927-O</t>
  </si>
  <si>
    <t>MDT-DRTSPL-2015-2055-EXTERNO</t>
  </si>
  <si>
    <t>MDT-DRTSPL-2015-1686-M</t>
  </si>
  <si>
    <t>MDT-DRTSPL-2015-0899-O</t>
  </si>
  <si>
    <t>MDT-DRTSPL-2015-2056-EXTERNO</t>
  </si>
  <si>
    <t>MDT-DRTSPL-2015-1884-M</t>
  </si>
  <si>
    <t>MDT-DRTSPL-2015-0987-O</t>
  </si>
  <si>
    <t>MDT-DRTSPL-2015-2057-EXTERNO</t>
  </si>
  <si>
    <t>MDT-DRTSPL-2015-1819-M</t>
  </si>
  <si>
    <t>MDT-DRTSPL-2015-0962-O</t>
  </si>
  <si>
    <t>MDT-DRTSPL-2015-2066-EXTERNO</t>
  </si>
  <si>
    <t>MDT-DRTSPL-2015-1802-M</t>
  </si>
  <si>
    <t>MDT-DRTSPL-2015-0965-O</t>
  </si>
  <si>
    <t xml:space="preserve">Edgar Flores Criollo </t>
  </si>
  <si>
    <t>EN619747895EC</t>
  </si>
  <si>
    <t>MDT-DRTSPL-2015-2072-EXTERNO</t>
  </si>
  <si>
    <t>MDT-DRTSPL-2015-1726-M</t>
  </si>
  <si>
    <t>MDT-DRTSPL-2015-0928-O</t>
  </si>
  <si>
    <t xml:space="preserve">Hugo Ernesto Hurtado Hurtado </t>
  </si>
  <si>
    <t>1101474441</t>
  </si>
  <si>
    <t>MDT-DRTSPL-2015-2081-EXTERNO</t>
  </si>
  <si>
    <t>MDT-DRTSPL-2015-1706-M</t>
  </si>
  <si>
    <t>MDT-DRTSPL-2015-0923-O</t>
  </si>
  <si>
    <t>MDT-DRTSPL-2015-2083-EXTERNO</t>
  </si>
  <si>
    <t>MDT-DRTSPL-2015-1707-M</t>
  </si>
  <si>
    <t>MDT-DRTSPL-2015-0924-O</t>
  </si>
  <si>
    <t>MDT-DRTSPL-2015-2084-EXTERNO</t>
  </si>
  <si>
    <t>MDT-DRTSPL-2015-1702-M</t>
  </si>
  <si>
    <t>MDT-DRTSPL-2015-0917-O</t>
  </si>
  <si>
    <t>MDT-DRTSPL-2015-2085-EXTERNO</t>
  </si>
  <si>
    <t>MDT-DRTSPL-2015-1698-M</t>
  </si>
  <si>
    <t>MDT-DRTSPL-2015-0918-O</t>
  </si>
  <si>
    <t xml:space="preserve">Ana de Jesus Jumbo Soto </t>
  </si>
  <si>
    <t>2100410980</t>
  </si>
  <si>
    <t>MDT-DRTSPL-2015-2088-EXTERNO</t>
  </si>
  <si>
    <t>MDT-DRTSPL-2015-1701-M</t>
  </si>
  <si>
    <t>MDT-DRTSPL-2015-0914-O</t>
  </si>
  <si>
    <t>MDT-DRTSPL-2015-2089-EXTERNO</t>
  </si>
  <si>
    <t>MDT-DRTSPL-2015-1699-M</t>
  </si>
  <si>
    <t>MDT-DRTSPL-2015-0919-O</t>
  </si>
  <si>
    <t xml:space="preserve">Roosevelt Washington Guerra Jimenez </t>
  </si>
  <si>
    <t>1103534275</t>
  </si>
  <si>
    <t>MDT-DRTSPL-2015-2096-EXTERNO</t>
  </si>
  <si>
    <t>MDT-DRTSPL-2015-1700-M</t>
  </si>
  <si>
    <t>MDT-DRTSPL-2015-0920-O</t>
  </si>
  <si>
    <t xml:space="preserve">Alexandra Isabel Roldan Basurto </t>
  </si>
  <si>
    <t>2200007868</t>
  </si>
  <si>
    <t>MDT-DRTSPL-2015-2097-EXTERNO</t>
  </si>
  <si>
    <t>MDT-DRTSPL-2015-1693-M</t>
  </si>
  <si>
    <t>MDT-DRTSPL-2015-0921-O</t>
  </si>
  <si>
    <t>MDT-DRTSPL-2015-2102-EXTERNO</t>
  </si>
  <si>
    <t>MDT-DRTSPL-2015-1692-M</t>
  </si>
  <si>
    <t>MDT-DRTSPL-2015-0916-O</t>
  </si>
  <si>
    <t xml:space="preserve">Narcisa Acaro Castillo </t>
  </si>
  <si>
    <t>EN619540825EC</t>
  </si>
  <si>
    <t>MDT-DRTSPL-2015-2103-EXTERNO</t>
  </si>
  <si>
    <t>MDT-DRTSPL-2015-1691-M</t>
  </si>
  <si>
    <t>MDT-DRTSPL-2015-0915-O</t>
  </si>
  <si>
    <t>MDT-DRTSPL-2015-2104-EXTERNO</t>
  </si>
  <si>
    <t>MDT-DRTSPL-2015-1688-M</t>
  </si>
  <si>
    <t>MDT-DRTSPL-2015-0897-O</t>
  </si>
  <si>
    <t>MDT-DRTSPL-2015-2106-EXTERNO</t>
  </si>
  <si>
    <t>MDT-DRTSPL-2015-1728-M</t>
  </si>
  <si>
    <t>MDT-DRTSPL-2015-0935-O</t>
  </si>
  <si>
    <t>MDT-DRTSPL-2015-2107-EXTERNO</t>
  </si>
  <si>
    <t>MDT-DRTSPL-2015-1687-M</t>
  </si>
  <si>
    <t>MDT-DRTSPL-2015-0900-O</t>
  </si>
  <si>
    <t>MDT-DRTSPL-2015-2110-EXTERNO</t>
  </si>
  <si>
    <t>MDT-DRTSPL-2015-1729-M</t>
  </si>
  <si>
    <t>MDT-DRTSPL-2015-0934-O</t>
  </si>
  <si>
    <t>MDT-DRTSPL-2015-2128-EXTERNO</t>
  </si>
  <si>
    <t>MDT-DRTSPL-2015-1708-M</t>
  </si>
  <si>
    <t>MDT-DRTSPL-2015-0939-O</t>
  </si>
  <si>
    <t xml:space="preserve">Luis Fernando Sucunuta Morocho </t>
  </si>
  <si>
    <t>1105608689</t>
  </si>
  <si>
    <t>MDT-DRTSPL-2015-2129-EXTERNO</t>
  </si>
  <si>
    <t>MDT-DRTSPL-2015-1709-M</t>
  </si>
  <si>
    <t>MDT-DRTSPL-2015-0933-O</t>
  </si>
  <si>
    <t>MDT-DRTSPL-2015-2130-EXTERNO</t>
  </si>
  <si>
    <t>MDT-DRTSPL-2015-1710-M</t>
  </si>
  <si>
    <t>MDT-DRTSPL-2015-0938-O</t>
  </si>
  <si>
    <t>MDT-DRTSPL-2015-2131-EXTERNO</t>
  </si>
  <si>
    <t>MDT-DRTSPL-2015-1805-M</t>
  </si>
  <si>
    <t>MDT-DRTSPL-2015-0967-O</t>
  </si>
  <si>
    <t>MDT-DRTSPL-2015-2132-EXTERNO</t>
  </si>
  <si>
    <t>MDT-DRTSPL-2015-1711-M</t>
  </si>
  <si>
    <t>MDT-DRTSPL-2015-0931-O</t>
  </si>
  <si>
    <t xml:space="preserve">Otto Montesinos Guarnizo </t>
  </si>
  <si>
    <t>MDT-DRTSPL-2015-2135-EXTERNO</t>
  </si>
  <si>
    <t>MDT-DRTSPL-2015-1712-M</t>
  </si>
  <si>
    <t>MDT-DRTSPL-2015-0929-O</t>
  </si>
  <si>
    <t>MDT-DRTSPL-2015-2137-EXTERNO</t>
  </si>
  <si>
    <t>MDT-DRTSPL-2015-1713-M</t>
  </si>
  <si>
    <t>MDT-DRTSPL-2015-0930-O</t>
  </si>
  <si>
    <t xml:space="preserve">Maria Augusta Elizalde Rivera </t>
  </si>
  <si>
    <t>1104588056</t>
  </si>
  <si>
    <t>MDT-DRTSPL-2015-2138-EXTERNO</t>
  </si>
  <si>
    <t>MDT-DRTSPL-2015-1714-M</t>
  </si>
  <si>
    <t>MDT-DRTSPL-2015-0932-O</t>
  </si>
  <si>
    <t xml:space="preserve">Yessenia Maribel Albaran Azanza </t>
  </si>
  <si>
    <t>1105552358</t>
  </si>
  <si>
    <t>MDT-DRTSPL-2015-2146-EXTERNO</t>
  </si>
  <si>
    <t>MDT-DRTSPL-2015-1731-M</t>
  </si>
  <si>
    <t>MDT-DRTSPL-2015-0936-O</t>
  </si>
  <si>
    <t>MDT-DRTSPL-2015-2152-EXTERNO</t>
  </si>
  <si>
    <t>MDT-DRTSPL-2015-1733-M</t>
  </si>
  <si>
    <t>MDT-DRTSPL-2015-0940-O</t>
  </si>
  <si>
    <t xml:space="preserve">Karla Stefania Burneo Cueva </t>
  </si>
  <si>
    <t>MDT-DRTSPL-2015-2158-EXTERNO</t>
  </si>
  <si>
    <t>MDT-DRTSPL-2015-1741-M</t>
  </si>
  <si>
    <t>MDT-DRTSPL-2015-0945-O</t>
  </si>
  <si>
    <t>MDT-DRTSPL-2015-2159-EXTERNO</t>
  </si>
  <si>
    <t>MDT-DRTSPL-2015-1746-M</t>
  </si>
  <si>
    <t>MDT-DRTSPL-2015-0946-O</t>
  </si>
  <si>
    <t>EN619624891EC</t>
  </si>
  <si>
    <t>MDT-DRTSPL-2015-2164-EXTERNO</t>
  </si>
  <si>
    <t>MDT-DRTSPL-2015-1747-M</t>
  </si>
  <si>
    <t>MDT-DRTSPL-2015-0944-O</t>
  </si>
  <si>
    <t xml:space="preserve">Alicia del Carmen Ochoa Castillo </t>
  </si>
  <si>
    <t>EN619747900EC</t>
  </si>
  <si>
    <t>MDT-DRTSPL-2015-2166-EXTERNO</t>
  </si>
  <si>
    <t>MDT-DRTSPL-2015-1750-M</t>
  </si>
  <si>
    <t>MDT-DRTSPL-2015-0947-O</t>
  </si>
  <si>
    <t>EN619624874EC</t>
  </si>
  <si>
    <t>MDT-DRTSPL-2015-2167-EXTERNO</t>
  </si>
  <si>
    <t>MDT-DRTSPL-2015-1753-M</t>
  </si>
  <si>
    <t>MDT-DRTSPL-2015-0948-O</t>
  </si>
  <si>
    <t>EN619624888EC</t>
  </si>
  <si>
    <t>MDT-DRTSPL-2015-2168-EXTERNO</t>
  </si>
  <si>
    <t>MDT-DRTSPL-2015-1759-M</t>
  </si>
  <si>
    <t>MDT-DRTSPL-2015-0950-O</t>
  </si>
  <si>
    <t>MDT-DRTSPL-2015-2169-EXTERNO</t>
  </si>
  <si>
    <t>MDT-DRTSPL-2015-1763-M</t>
  </si>
  <si>
    <t>MDT-DRTSPL-2015-0949-O</t>
  </si>
  <si>
    <t>MDT-DRTSPL-2015-2170-EXTERNO</t>
  </si>
  <si>
    <t>MDT-DRTSPL-2015-1774-M</t>
  </si>
  <si>
    <t>MDT-DRTSPL-2015-0951-O</t>
  </si>
  <si>
    <t>MDT-DRTSPL-2015-2171-EXTERNO</t>
  </si>
  <si>
    <t>MDT-DRTSPL-2015-1775-M</t>
  </si>
  <si>
    <t>MDT-DRTSPL-2015-0952-O</t>
  </si>
  <si>
    <t>MDT-DRTSPL-2015-2172-EXTERNO</t>
  </si>
  <si>
    <t>MDT-DRTSPL-2015-1776-M</t>
  </si>
  <si>
    <t>MDT-DRTSPL-2015-0953-O</t>
  </si>
  <si>
    <t>MDT-DRTSPL-2015-2178-EXTERNO</t>
  </si>
  <si>
    <t>MDT-DRTSPL-2015-1786-M</t>
  </si>
  <si>
    <t>MDT-DRTSPL-2015-0955-O</t>
  </si>
  <si>
    <t xml:space="preserve">Diana Carmen Sarmiento Ponce </t>
  </si>
  <si>
    <t>1104553233</t>
  </si>
  <si>
    <t>MDT-DRTSPL-2015-2194-EXTERNO</t>
  </si>
  <si>
    <t>MDT-DRTSPL-2015-1812-M</t>
  </si>
  <si>
    <t>MDT-DRTSPL-2015-0984-O</t>
  </si>
  <si>
    <t>MDT-DRTSPL-2015-2195-EXTERNO</t>
  </si>
  <si>
    <t>MDT-DRTSPL-2015-1825-M</t>
  </si>
  <si>
    <t>MDT-DRTSPL-2015-0961-O</t>
  </si>
  <si>
    <t>MDT-DRTSPL-2015-2196-EXTERNO</t>
  </si>
  <si>
    <t>MDT-DRTSPL-2015-1830-M</t>
  </si>
  <si>
    <t>MDT-DRTSPL-2015-0977-O</t>
  </si>
  <si>
    <t>MDT-DRTSPL-2015-2197-EXTERNO</t>
  </si>
  <si>
    <t>MDT-DRTSPL-2015-1832-M</t>
  </si>
  <si>
    <t>MDT-DRTSPL-2015-0972-O</t>
  </si>
  <si>
    <t>MDT-DRTSPL-2015-2198-EXTERNO</t>
  </si>
  <si>
    <t>MDT-DRTSPL-2015-1827-M</t>
  </si>
  <si>
    <t>MDT-DRTSPL-2015-0974-O</t>
  </si>
  <si>
    <t>MDT-DRTSPL-2015-2199-EXTERNO</t>
  </si>
  <si>
    <t>MDT-DRTSPL-2015-1834-M</t>
  </si>
  <si>
    <t>MDT-DRTSPL-2015-0973-O</t>
  </si>
  <si>
    <t>MDT-DRTSPL-2015-2200-EXTERNO</t>
  </si>
  <si>
    <t>MDT-DRTSPL-2015-1854-M</t>
  </si>
  <si>
    <t>MDT-DRTSPL-2015-0976-O</t>
  </si>
  <si>
    <t>MDT-DRTSPL-2015-2201-EXTERNO</t>
  </si>
  <si>
    <t>MDT-DRTSPL-2015-1838-M</t>
  </si>
  <si>
    <t>MDT-DRTSPL-2015-0978-O</t>
  </si>
  <si>
    <t>MDT-DRTSPL-2015-2202-EXTERNO</t>
  </si>
  <si>
    <t>MDT-DRTSPL-2015-1842-M</t>
  </si>
  <si>
    <t>MDT-DRTSPL-2015-0979-O</t>
  </si>
  <si>
    <t>MDT-DRTSPL-2015-2203-EXTERNO</t>
  </si>
  <si>
    <t>MDT-DRTSPL-2015-1807-M</t>
  </si>
  <si>
    <t>MDT-DRTSPL-2015-0963-O</t>
  </si>
  <si>
    <t>MDT-DRTSPL-2015-2204-EXTERNO</t>
  </si>
  <si>
    <t>MDT-DRTSPL-2015-1787-M</t>
  </si>
  <si>
    <t>MDT-DRTSPL-2015-0956-O</t>
  </si>
  <si>
    <t xml:space="preserve">Marcia Paulina Gonzalez Medina </t>
  </si>
  <si>
    <t>1104571615</t>
  </si>
  <si>
    <t>MDT-DRTSPL-2015-2205-EXTERNO</t>
  </si>
  <si>
    <t>MDT-DRTSPL-2015-1886-M</t>
  </si>
  <si>
    <t>MDT-DRTSPL-2015-0986-O</t>
  </si>
  <si>
    <t>MDT-DRTSPL-2015-2206-EXTERNO</t>
  </si>
  <si>
    <t>MDT-DRTSPL-2015-1808-M</t>
  </si>
  <si>
    <t>MDT-DRTSPL-2015-0968-O</t>
  </si>
  <si>
    <t>MDT-DRTSPL-2015-2207-EXTERNO</t>
  </si>
  <si>
    <t>MDT-DRTSPL-2015-1849-M</t>
  </si>
  <si>
    <t>MDT-DRTSPL-2015-0981-O</t>
  </si>
  <si>
    <t>MDT-DRTSPL-2015-2209-EXTERNO</t>
  </si>
  <si>
    <t>MDT-DRTSPL-2015-1790-M</t>
  </si>
  <si>
    <t>MDT-DRTSPL-2015-0959-O</t>
  </si>
  <si>
    <t xml:space="preserve">Damaris Silvana Astudillo Vasquez </t>
  </si>
  <si>
    <t>1104989478</t>
  </si>
  <si>
    <t>MDT-DRTSPL-2015-2210-EXTERNO</t>
  </si>
  <si>
    <t>MDT-DRTSPL-2015-1789-M</t>
  </si>
  <si>
    <t>MDT-DRTSPL-2015-0954-O</t>
  </si>
  <si>
    <t xml:space="preserve">Angel Salvador Jaramillo Guarderas </t>
  </si>
  <si>
    <t>1100549250</t>
  </si>
  <si>
    <t>MDT-DRTSPL-2015-2211-EXTERNO</t>
  </si>
  <si>
    <t>MDT-DRTSPL-2015-1888-M</t>
  </si>
  <si>
    <t>MDT-DRTSPL-2015-0985-O</t>
  </si>
  <si>
    <t>MDT-DRTSPL-2015-2214-EXTERNO</t>
  </si>
  <si>
    <t>MDT-DRTSPL-2015-1795-M</t>
  </si>
  <si>
    <t xml:space="preserve">Santos Olivio Granda Ortega </t>
  </si>
  <si>
    <t>1104150840</t>
  </si>
  <si>
    <t>MDT-DRTSPL-2015-2215-EXTERNO</t>
  </si>
  <si>
    <t>MDT-DRTSPL-2015-1809-M</t>
  </si>
  <si>
    <t>MDT-DRTSPL-2015-0970-O</t>
  </si>
  <si>
    <t>MDT-DRTSPL-2015-2216-EXTERNO</t>
  </si>
  <si>
    <t>MDT-DRTSPL-2015-1810-M</t>
  </si>
  <si>
    <t>MDT-DRTSPL-2015-0971-O</t>
  </si>
  <si>
    <t>MDT-DRTSPL-2015-2218-EXTERNO</t>
  </si>
  <si>
    <t>MDT-DRTSPL-2015-1792-M</t>
  </si>
  <si>
    <t>MDT-DRTSPL-2015-0958-O</t>
  </si>
  <si>
    <t xml:space="preserve">Damaris Pricila Angamarca Troya </t>
  </si>
  <si>
    <t>1900540491</t>
  </si>
  <si>
    <t>MDT-DRTSPL-2015-2219-EXTERNO</t>
  </si>
  <si>
    <t>MDT-DRTSPL-2015-1791-M</t>
  </si>
  <si>
    <t>MDT-DRTSPL-2015-0957-O</t>
  </si>
  <si>
    <t xml:space="preserve">Mercedes del Pilar Jaramillo Pogo </t>
  </si>
  <si>
    <t>1103104939</t>
  </si>
  <si>
    <t>MDT-DRTSPL-2015-2222-EXTERNO</t>
  </si>
  <si>
    <t>MDT-DRTSPL-2015-1793-M</t>
  </si>
  <si>
    <t>MDT-DRTSPL-2015-0966-O</t>
  </si>
  <si>
    <t xml:space="preserve">Maria del Cisne Rios Rios </t>
  </si>
  <si>
    <t>1105697989</t>
  </si>
  <si>
    <t>MDT-DRTSPL-2015-2223-EXTERNO</t>
  </si>
  <si>
    <t>MDT-DRTSPL-2015-1835-M</t>
  </si>
  <si>
    <t>MDT-DRTSPL-2015-0975-O</t>
  </si>
  <si>
    <t>MDT-DRTSPL-2015-2224-EXTERNO</t>
  </si>
  <si>
    <t>MDT-DRTSPL-2015-1962-M</t>
  </si>
  <si>
    <t>MDT-DRTSPL-2015-1020-O</t>
  </si>
  <si>
    <t>MDT-DRTSPL-2015-2225-EXTERNO</t>
  </si>
  <si>
    <t>MDT-DRTSPL-2015-1841-M</t>
  </si>
  <si>
    <t>MDT-DRTSPL-2015-0980-O</t>
  </si>
  <si>
    <t>MDT-DRTSPL-2015-2231-EXTERNO</t>
  </si>
  <si>
    <t>MDT-DRTSPL-2015-1896-M</t>
  </si>
  <si>
    <t>MDT-DRTSPL-2015-0992-O</t>
  </si>
  <si>
    <t>MDT-DRTSPL-2015-2232-EXTERNO</t>
  </si>
  <si>
    <t>MDT-DRTSPL-2015-1905-M</t>
  </si>
  <si>
    <t>MDT-DRTSPL-2015-0994-O</t>
  </si>
  <si>
    <t>MDT-DRTSPL-2015-2233-EXTERNO</t>
  </si>
  <si>
    <t>MDT-DRTSPL-2015-1906-M</t>
  </si>
  <si>
    <t>MDT-DRTSPL-2015-0995-O</t>
  </si>
  <si>
    <t>MDT-DRTSPL-2015-2234-EXTERNO</t>
  </si>
  <si>
    <t>MDT-DRTSPL-2015-1907-M</t>
  </si>
  <si>
    <t>MDT-DRTSPL-2015-0996-O</t>
  </si>
  <si>
    <t>MDT-DRTSPL-2015-2240-EXTERNO</t>
  </si>
  <si>
    <t>MDT-DRTSPL-2015-1912-M</t>
  </si>
  <si>
    <t>MDT-DRTSPL-2015-0993-O</t>
  </si>
  <si>
    <t xml:space="preserve">Flor Margarita Mogrovejo Rojas </t>
  </si>
  <si>
    <t>1104249477</t>
  </si>
  <si>
    <t>MDT-DRTSPL-2015-2241-EXTERNO</t>
  </si>
  <si>
    <t>MDT-DRTSPL-2015-0999-O</t>
  </si>
  <si>
    <t xml:space="preserve">Lucia Virginia Tapia Cabrera </t>
  </si>
  <si>
    <t>MDT-DRTSPL-2015-2243-EXTERNO</t>
  </si>
  <si>
    <t>MDT-DRTSPL-2015-1946-M</t>
  </si>
  <si>
    <t>MDT-DRTSPL-2015-1021-O</t>
  </si>
  <si>
    <t xml:space="preserve">Carmen Luisa Paladines Criollo </t>
  </si>
  <si>
    <t>MDT-DRTSPL-2015-2244-EXTERNO</t>
  </si>
  <si>
    <t>MDT-DRTSPL-2015-1948-M</t>
  </si>
  <si>
    <t>MDT-DRTSPL-2015-1023-O</t>
  </si>
  <si>
    <t>MDT-DRTSPL-2015-2245-EXTERNO</t>
  </si>
  <si>
    <t>MDT-DRTSPL-2015-1949-M</t>
  </si>
  <si>
    <t>MDT-DRTSPL-2015-1022-O</t>
  </si>
  <si>
    <t>MDT-DRTSPL-2015-2246-EXTERNO</t>
  </si>
  <si>
    <t>MDT-DRTSPL-2015-1950-M</t>
  </si>
  <si>
    <t>MDT-DRTSPL-2015-1024-O</t>
  </si>
  <si>
    <t>MDT-DRTSPL-2015-2255-EXTERNO</t>
  </si>
  <si>
    <t>MDT-DRTSPL-2015-1951-M</t>
  </si>
  <si>
    <t>MDT-DRTSPL-2015-1027-O</t>
  </si>
  <si>
    <t>MDT-DRTSPL-2015-2262-EXTERNO</t>
  </si>
  <si>
    <t>MDT-DRTSPL-2015-1944-M</t>
  </si>
  <si>
    <t>María Cumanda Nole Nole</t>
  </si>
  <si>
    <t>FINANCIERA</t>
  </si>
  <si>
    <t>MDT-DRTSPL-2015-1053-O</t>
  </si>
  <si>
    <t>MDT-DRTSPL-2015-2263-EXTERNO</t>
  </si>
  <si>
    <t>MDT-DRTSPL-2015-2069-M</t>
  </si>
  <si>
    <t>MDT-DRTSPL-2015-1130-O</t>
  </si>
  <si>
    <t>MDT-DRTSPL-2015-2264-EXTERNO</t>
  </si>
  <si>
    <t>MDT-DRTSPL-2015-1054-O</t>
  </si>
  <si>
    <t>MDT-DRTSPL-2015-2265-EXTERNO</t>
  </si>
  <si>
    <t>MDT-DRTSPL-2015-1055-O</t>
  </si>
  <si>
    <t>MDT-DRTSPL-2015-2267-EXTERNO</t>
  </si>
  <si>
    <t>MDT-DRTSPL-2015-1953-M</t>
  </si>
  <si>
    <t>MDT-DRTSPL-2015-1026-O</t>
  </si>
  <si>
    <t>MDT-DRTSPL-2015-2268-EXTERNO</t>
  </si>
  <si>
    <t>MDT-DRTSPL-2015-2125-M</t>
  </si>
  <si>
    <t>MDT-DRTSPL-2015-1097-O</t>
  </si>
  <si>
    <t>MDT-DRTSPL-2015-2269-EXTERNO</t>
  </si>
  <si>
    <t>MDT-DRTSPL-2015-1910-M</t>
  </si>
  <si>
    <t>MDT-DRTSPL-2015-0997-O</t>
  </si>
  <si>
    <t>MDT-DRTSPL-2015-2270-EXTERNO</t>
  </si>
  <si>
    <t>MDT-DRTSPL-2015-1952-M</t>
  </si>
  <si>
    <t>MDT-DRTSPL-2015-1025-O</t>
  </si>
  <si>
    <t>MDT-DRTSPL-2015-2282-EXTERNO</t>
  </si>
  <si>
    <t>MDT-DRTSPL-2015-1000-O</t>
  </si>
  <si>
    <t xml:space="preserve">Daniela Yasmin Paucar Jaramillo </t>
  </si>
  <si>
    <t>MDT-DRTSPL-2015-2292-EXTERNO</t>
  </si>
  <si>
    <t>MDT-DRTSPL-2015-1954-M</t>
  </si>
  <si>
    <t>MDT-DRTSPL-2015-1028-O</t>
  </si>
  <si>
    <t>MDT-DRTSPL-2015-2302-EXTERNO</t>
  </si>
  <si>
    <t>MDT-DRTSPL-2015-1955-M</t>
  </si>
  <si>
    <t>MDT-DRTSPL-2015-1029-O</t>
  </si>
  <si>
    <t xml:space="preserve">Narcisa de Lourdes Acaro Castillo </t>
  </si>
  <si>
    <t>MDT-DRTSPL-2015-2303-EXTERNO</t>
  </si>
  <si>
    <t>MDT-DRTSPL-2015-1956-M</t>
  </si>
  <si>
    <t>MDT-DRTSPL-2015-1030-O</t>
  </si>
  <si>
    <t>MDT-DRTSPL-2015-2311-EXTERNO</t>
  </si>
  <si>
    <t>MDT-DRTSPL-2015-1001-O</t>
  </si>
  <si>
    <t xml:space="preserve">Olga Enma Calderon Diaz </t>
  </si>
  <si>
    <t>MDT-DRTSPL-2015-2315-EXTERNO</t>
  </si>
  <si>
    <t>MDT-DRTSPL-2015-1003-O</t>
  </si>
  <si>
    <t xml:space="preserve">Edwin Eduardo Leon Morocho </t>
  </si>
  <si>
    <t>MDT-DRTSPL-2015-2321-EXTERNO</t>
  </si>
  <si>
    <t>MDT-DSG-2015-1951-MEMORANDO</t>
  </si>
  <si>
    <t>MDT-DRTSPL-2015-1140-O</t>
  </si>
  <si>
    <t>Hugo Vicente Espinosa Erreiz</t>
  </si>
  <si>
    <t>MDT-DRTSPL-2015-2322-EXTERNO</t>
  </si>
  <si>
    <t>MDT-DRTSPL-2015-1002-O</t>
  </si>
  <si>
    <t xml:space="preserve">Wilman Raul Vasquez Calle </t>
  </si>
  <si>
    <t>MDT-DRTSPL-2015-2323-EXTERNO</t>
  </si>
  <si>
    <t>MDT-DRTSPL-2015-1958-M</t>
  </si>
  <si>
    <t>MDT-DRTSPL-2015-1032-O</t>
  </si>
  <si>
    <t>MDT-DRTSPL-2015-2324-EXTERNO</t>
  </si>
  <si>
    <t>MDT-DRTSPL-2015-1957-M</t>
  </si>
  <si>
    <t>MDT-DRTSPL-2015-1031-O</t>
  </si>
  <si>
    <t>MDT-DRTSPL-2015-2325-EXTERNO</t>
  </si>
  <si>
    <t>MDT-DRTSPL-2015-1052-O</t>
  </si>
  <si>
    <t>MDT-DRTSPL-2015-2326-EXTERNO</t>
  </si>
  <si>
    <t>MDT-DRTSPL-2015-1959-M</t>
  </si>
  <si>
    <t>MDT-DRTSPL-2015-1019-O</t>
  </si>
  <si>
    <t>MDT-DRTSPL-2015-2328-EXTERNO</t>
  </si>
  <si>
    <t>MDT-DRTSPL-2015-1004-O</t>
  </si>
  <si>
    <t xml:space="preserve">Edwin Fabian Montaño Samaniego </t>
  </si>
  <si>
    <t>MDT-DRTSPL-2015-2329-EXTERNO</t>
  </si>
  <si>
    <t>MDT-DRTSPL-2015-1008-O</t>
  </si>
  <si>
    <t xml:space="preserve">Byron Rolando Astudillo Pineda </t>
  </si>
  <si>
    <t>MDT-DRTSPL-2015-2330-EXTERNO</t>
  </si>
  <si>
    <t>MDT-DRTSPL-2015-1989-M</t>
  </si>
  <si>
    <t>MDT-DRTSPL-2015-1057-O</t>
  </si>
  <si>
    <t>MDT-DRTSPL-2015-2331-EXTERNO</t>
  </si>
  <si>
    <t>MDT-DRTSPL-2015-1992-M</t>
  </si>
  <si>
    <t>MDT-DRTSPL-2015-1051-O</t>
  </si>
  <si>
    <t>MDT-DRTSPL-2015-2332-EXTERNO</t>
  </si>
  <si>
    <t>MDT-DRTSPL-2015-1010-O</t>
  </si>
  <si>
    <t xml:space="preserve">Jessica Morayma Camacho Gaona </t>
  </si>
  <si>
    <t>MDT-DRTSPL-2015-2360-EXTERNO</t>
  </si>
  <si>
    <t>MDT-DRTSPL-2015-1970-M</t>
  </si>
  <si>
    <t>MDT-DRTSPL-2015-1056-O</t>
  </si>
  <si>
    <t>MDT-DRTSPL-2015-2362-EXTERNO</t>
  </si>
  <si>
    <t>MDT-DRTSPQ-2015-1931</t>
  </si>
  <si>
    <t>Luis Israel Llano Vasquez</t>
  </si>
  <si>
    <t>DRTSPQ</t>
  </si>
  <si>
    <t>MDT-DRTSPL-2015-562-OF</t>
  </si>
  <si>
    <t>Victoria Sánhez Alcivar</t>
  </si>
  <si>
    <t>MDT-DRTSPL-2015-2363-EXTERNO</t>
  </si>
  <si>
    <t>MDT-DRTSPL-2015-1064-O</t>
  </si>
  <si>
    <t xml:space="preserve">Veronica Alexandra Salinas Ochoa </t>
  </si>
  <si>
    <t>MDT-DRTSPL-2015-2369-EXTERNO</t>
  </si>
  <si>
    <t>MDT-DRTSPL-2015-1012-O</t>
  </si>
  <si>
    <t xml:space="preserve">Lourdes Cumanda Moncayo Vasquez </t>
  </si>
  <si>
    <t>MDT-DRTSPL-2015-2375-EXTERNO</t>
  </si>
  <si>
    <t>MDT-DRTSPL-2015-1993-M</t>
  </si>
  <si>
    <t>MDT-DRTSPL-2015-1058-O</t>
  </si>
  <si>
    <t>MDT-DRTSPL-2015-2377-EXTERNO</t>
  </si>
  <si>
    <t>MDT-DRTSPL-2015-1013-O</t>
  </si>
  <si>
    <t xml:space="preserve">Jonathan Fernando Troya Valarezo </t>
  </si>
  <si>
    <t>MDT-DRTSPL-2015-2378-EXTERNO</t>
  </si>
  <si>
    <t>MDT-DRTSPL-2015-2089-M</t>
  </si>
  <si>
    <t>MDT-DRTSPL-2015-1096-O</t>
  </si>
  <si>
    <t>UNIDAD JUDICIAL MULTICOMPETENTE DE LOJA CON SEDE EN ESPINDOLA</t>
  </si>
  <si>
    <t>EN620387497EC</t>
  </si>
  <si>
    <t>MDT-DRTSPL-2015-2379-EXTERNO</t>
  </si>
  <si>
    <t>MDT-DRTSPL-2015-1994-M</t>
  </si>
  <si>
    <t>MDT-DRTSPL-2015-1050-O</t>
  </si>
  <si>
    <t>MDT-DRTSPL-2015-2380-EXTERNO</t>
  </si>
  <si>
    <t>MDT-DRTSPL-2015-1996-M</t>
  </si>
  <si>
    <t>MDT-DRTSPL-2015-1060-O</t>
  </si>
  <si>
    <t>MDT-DRTSPL-2015-2381-EXTERNO</t>
  </si>
  <si>
    <t>MDT-DRTSPL-2015-1997-M</t>
  </si>
  <si>
    <t>MDT-DRTSPL-2015-1059-O</t>
  </si>
  <si>
    <t>MDT-DRTSPL-2015-2382-EXTERNO</t>
  </si>
  <si>
    <t>MDT-DRTSPL-2015-1981-M</t>
  </si>
  <si>
    <t>MDT-DRTSPL-2015-1061-O</t>
  </si>
  <si>
    <t>MDT-DRTSPL-2015-2383-EXTERNO</t>
  </si>
  <si>
    <t>MDT-DRTSPL-2015-1978-M</t>
  </si>
  <si>
    <t>MDT-DRTSPL-2015-1062-O</t>
  </si>
  <si>
    <t>MDT-DRTSPL-2015-2384-EXTERNO</t>
  </si>
  <si>
    <t>MDT-DRTSPL-2015-2010-M</t>
  </si>
  <si>
    <t>MDT-DRTSPL-2015-1084-O</t>
  </si>
  <si>
    <t>EN620250366EC</t>
  </si>
  <si>
    <t>MDT-DRTSPL-2015-2390-EXTERNO</t>
  </si>
  <si>
    <t>MDT-DRTSPL-2015-1011-O</t>
  </si>
  <si>
    <t xml:space="preserve">Luis Roman Sarango Jumbo </t>
  </si>
  <si>
    <t>MDT-DRTSPL-2015-2391-EXTERNO</t>
  </si>
  <si>
    <t>MDT-DRTSPL-2015-2070-M</t>
  </si>
  <si>
    <t>MDT-DRTSPL-2015-1141-O</t>
  </si>
  <si>
    <t>MDT-DRTSPL-2015-2392-EXTERNO</t>
  </si>
  <si>
    <t>MDT-DRTSPL-2015-2062-M</t>
  </si>
  <si>
    <t>MDT-DRTSPL-2015-1106-O</t>
  </si>
  <si>
    <t>MDT-DRTSPL-2015-2394-EXTERNO</t>
  </si>
  <si>
    <t>MDT-DRTSPL-2015-2079-M</t>
  </si>
  <si>
    <t>MDT-DRTSPL-2015-1131-O</t>
  </si>
  <si>
    <t>MDT-DRTSPL-2015-2395-EXTERNO</t>
  </si>
  <si>
    <t>MDT-DRTSPL-2015-2052-M</t>
  </si>
  <si>
    <t>MDT-DRTSPL-2015-1122-O</t>
  </si>
  <si>
    <t>MDT-DRTSPL-2015-2397-EXTERNO</t>
  </si>
  <si>
    <t>MDT-DRTSPL-2015-2048-M</t>
  </si>
  <si>
    <t>MDT-DRTSPL-2015-1108-O</t>
  </si>
  <si>
    <t>MDT-DRTSPL-2015-2398-EXTERNO</t>
  </si>
  <si>
    <t>MDT-DRTSPL-2015-2072-M</t>
  </si>
  <si>
    <t>MDT-DRTSPL-2015-1142-O</t>
  </si>
  <si>
    <t>MDT-DRTSPL-2015-2399-EXTERNO</t>
  </si>
  <si>
    <t>MDT-DRTSPL-2015-2050-M</t>
  </si>
  <si>
    <t>MDT-DRTSPL-2015-1117-O</t>
  </si>
  <si>
    <t>MDT-DRTSPL-2015-2400-EXTERNO</t>
  </si>
  <si>
    <t>MDT-DRTSPL-2015-2073-M</t>
  </si>
  <si>
    <t>MDT-DRTSPL-2015-1143-O</t>
  </si>
  <si>
    <t>MDT-DRTSPL-2015-2402-EXTERNO</t>
  </si>
  <si>
    <t>MDT-DRTSPL-2015-2047-M</t>
  </si>
  <si>
    <t>MDT-DRTSPL-2015-1100-O</t>
  </si>
  <si>
    <t>MDT-DRTSPL-2015-2403-EXTERNO</t>
  </si>
  <si>
    <t>MDT-DRTSPL-2015-2074-M</t>
  </si>
  <si>
    <t>MDT-DRTSPL-2015-1144-O</t>
  </si>
  <si>
    <t>MDT-DRTSPL-2015-2409-EXTERNO</t>
  </si>
  <si>
    <t>MDT-DRTSPL-2015-2080-M</t>
  </si>
  <si>
    <t>MDT-DRTSPL-2015-1132-O</t>
  </si>
  <si>
    <t>MDT-DRTSPL-2015-2410-EXTERNO</t>
  </si>
  <si>
    <t>MDT-DRTSPL-2015-1014-O</t>
  </si>
  <si>
    <t xml:space="preserve">Oswaldo Benjamin Reyes Pereira </t>
  </si>
  <si>
    <t>MDT-DRTSPL-2015-2413-EXTERNO</t>
  </si>
  <si>
    <t>MDT-DRTSPL-2015-1015-O</t>
  </si>
  <si>
    <t xml:space="preserve">Jose Angel Martinez Hurtado </t>
  </si>
  <si>
    <t>MDT-DRTSPL-2015-2416-EXTERNO</t>
  </si>
  <si>
    <t>MDT-DRTSPL-2015-2081-M</t>
  </si>
  <si>
    <t>MDT-DRTSPL-2015-1138-O</t>
  </si>
  <si>
    <t>MDT-DRTSPL-2015-2421-EXTERNO</t>
  </si>
  <si>
    <t>MDT-DRTSPL-2015-2051-M</t>
  </si>
  <si>
    <t>MDT-DRTSPL-2015-1129-O</t>
  </si>
  <si>
    <t>MDT-DRTSPL-2015-2424-EXTERNO</t>
  </si>
  <si>
    <t>MDT-DRTSPL-2015-1016-O</t>
  </si>
  <si>
    <t xml:space="preserve">Everth Alexi Cevallos Fajardo </t>
  </si>
  <si>
    <t>MDT-DRTSPL-2015-2425-EXTERNO</t>
  </si>
  <si>
    <t>MDT-DRTSPL-2015-2053-M</t>
  </si>
  <si>
    <t>MDT-DRTSPL-2015-1101-O</t>
  </si>
  <si>
    <t xml:space="preserve">Mónica del Carmen Fierro Montalvo </t>
  </si>
  <si>
    <t>DEFENSORIA PUBLICA</t>
  </si>
  <si>
    <t>MDT-DRTSPL-2015-2428-EXTERNO</t>
  </si>
  <si>
    <t>MDT-DRTSPL-2015-2011-M</t>
  </si>
  <si>
    <t>MDT-DRTSPL-2015-1104-O</t>
  </si>
  <si>
    <t xml:space="preserve">Ramiro Arevalo Malo </t>
  </si>
  <si>
    <t>MDT-DRTSPL-2015-2429-EXTERNO</t>
  </si>
  <si>
    <t>MDT-DRTSPL-2015-2044-M</t>
  </si>
  <si>
    <t>MDT-DRTSPL-2015-1128-O</t>
  </si>
  <si>
    <t>MDT-DRTSPL-2015-2431-EXTERNO</t>
  </si>
  <si>
    <t>MDT-DRTSPL-2015-1017-O</t>
  </si>
  <si>
    <t xml:space="preserve">Rhiofri Medardo Villegas Iñiguez </t>
  </si>
  <si>
    <t>MDT-DRTSPL-2015-2432-EXTERNO</t>
  </si>
  <si>
    <t>MDT-DRTSPL-2015-1033-O</t>
  </si>
  <si>
    <t xml:space="preserve">Wilmer Antonio Contento Contento </t>
  </si>
  <si>
    <t>MDT-DRTSPL-2015-2433-EXTERNO</t>
  </si>
  <si>
    <t>MDT-DRTSPL-2015-1034-O</t>
  </si>
  <si>
    <t xml:space="preserve">Jose Luis Contento Japon </t>
  </si>
  <si>
    <t>MDT-DRTSPL-2015-2434-EXTERNO</t>
  </si>
  <si>
    <t>MDT-DRTSPL-2015-1035-O</t>
  </si>
  <si>
    <t xml:space="preserve">Luis Fernando Contento Contento </t>
  </si>
  <si>
    <t>MDT-DRTSPL-2015-2435-EXTERNO</t>
  </si>
  <si>
    <t>MDT-DRTSPL-2015-1036-O</t>
  </si>
  <si>
    <t xml:space="preserve">Carlos Armando Contento Contento </t>
  </si>
  <si>
    <t>MDT-DRTSPL-2015-2436-EXTERNO</t>
  </si>
  <si>
    <t>MDT-DRTSPL-2015-1037-O</t>
  </si>
  <si>
    <t xml:space="preserve">Ignacio Atahualpa Contento Lapo </t>
  </si>
  <si>
    <t>MDT-DRTSPL-2015-2437-EXTERNO</t>
  </si>
  <si>
    <t>MDT-DRTSPL-2015-1038-O</t>
  </si>
  <si>
    <t xml:space="preserve">Curi Mayu Contento Chalan </t>
  </si>
  <si>
    <t>MDT-DRTSPL-2015-2438-EXTERNO</t>
  </si>
  <si>
    <t>MDT-DRTSPL-2015-1039-O</t>
  </si>
  <si>
    <t xml:space="preserve">Manuel Jose Ambuludi Lozano </t>
  </si>
  <si>
    <t>MDT-DRTSPL-2015-2439-EXTERNO</t>
  </si>
  <si>
    <t>MDT-DRTSPL-2015-1040-O</t>
  </si>
  <si>
    <t xml:space="preserve">Deysi del Carmen riofrio Gallardo </t>
  </si>
  <si>
    <t>MDT-DRTSPL-2015-2440-EXTERNO</t>
  </si>
  <si>
    <t>MDT-DRTSPL-2015-1041-O</t>
  </si>
  <si>
    <t xml:space="preserve">Jaime Rodrigo Gualan Lozano </t>
  </si>
  <si>
    <t>MDT-DRTSPL-2015-2445-EXTERNO</t>
  </si>
  <si>
    <t>MDT-DRTSPL-2015-1042-O</t>
  </si>
  <si>
    <t xml:space="preserve">Jose Lino Lozano Gualan </t>
  </si>
  <si>
    <t>MDT-DRTSPL-2015-2446-EXTERNO</t>
  </si>
  <si>
    <t>MDT-DRTSPL-2015-1043-O</t>
  </si>
  <si>
    <t xml:space="preserve">Noela Cecilia Maita Gonzalez </t>
  </si>
  <si>
    <t>MDT-DRTSPL-2015-2447-EXTERNO</t>
  </si>
  <si>
    <t>MDT-DRTSPL-2015-2045-M</t>
  </si>
  <si>
    <t>MDT-DRTSPL-2015-1105-O</t>
  </si>
  <si>
    <t>MDT-DRTSPL-2015-2448-EXTERNO</t>
  </si>
  <si>
    <t>MDT-DRTSPL-2015-2042-M</t>
  </si>
  <si>
    <t>MDT-DRTSPL-2015-1109-O</t>
  </si>
  <si>
    <t>MDT-DRTSPL-2015-2449-EXTERNO</t>
  </si>
  <si>
    <t>MDT-DRTSPL-2015-2075-M</t>
  </si>
  <si>
    <t>MDT-DRTSPL-2015-1145-O</t>
  </si>
  <si>
    <t>MDT-DRTSPL-2015-2450-EXTERNO</t>
  </si>
  <si>
    <t>MDT-DRTSPL-2015-2043-M</t>
  </si>
  <si>
    <t>MDT-DRTSPL-2015-1103-O</t>
  </si>
  <si>
    <t>MDT-DRTSPL-2015-2451-EXTERNO</t>
  </si>
  <si>
    <t>MDT-DRTSPL-2015-2041-M</t>
  </si>
  <si>
    <t>MDT-DRTSPL-2015-1107-O</t>
  </si>
  <si>
    <t>MDT-DRTSPL-2015-2452-EXTERNO</t>
  </si>
  <si>
    <t>MDT-DRTSPL-2015-2040-M</t>
  </si>
  <si>
    <t>MDT-DRTSPL-2015-1113-O</t>
  </si>
  <si>
    <t>MDT-DRTSPL-2015-2453-EXTERNO</t>
  </si>
  <si>
    <t>MDT-DRTSPL-2015-2039-M</t>
  </si>
  <si>
    <t>MDT-DRTSPL-2015-1116-O</t>
  </si>
  <si>
    <t>MDT-DRTSPL-2015-2454-EXTERNO</t>
  </si>
  <si>
    <t>MDT-DRTSPL-2015-2038-M</t>
  </si>
  <si>
    <t>MDT-DRTSPL-2015-1110-O</t>
  </si>
  <si>
    <t>MDT-DRTSPL-2015-2467-EXTERNO</t>
  </si>
  <si>
    <t>MDT-DRTSPL-2015-1045-O</t>
  </si>
  <si>
    <t xml:space="preserve">Monica Alexandra Yaguana Tapia </t>
  </si>
  <si>
    <t>MDT-DRTSPL-2015-2469-EXTERNO</t>
  </si>
  <si>
    <t>MDT-DRTSPL-2015-1044-O</t>
  </si>
  <si>
    <t xml:space="preserve">Lupe Maria Briceño Vega </t>
  </si>
  <si>
    <t>MDT-DRTSPL-2015-2470-EXTERNO</t>
  </si>
  <si>
    <t>MDT-DRTSPL-2015-2035-M</t>
  </si>
  <si>
    <t>MDT-DRTSPL-2015-2472-EXTERNO</t>
  </si>
  <si>
    <t>MDT-DRTSPL-2015-2037-M</t>
  </si>
  <si>
    <t>MDT-DRTSPL-2015-1114-O</t>
  </si>
  <si>
    <t>MDT-DRTSPL-2015-2473-EXTERNO</t>
  </si>
  <si>
    <t>MDT-DRTSPL-2015-2034-M</t>
  </si>
  <si>
    <t>MDT-DRTSPL-2015-1111-O</t>
  </si>
  <si>
    <t>MDT-DRTSPL-2015-2474-EXTERNO</t>
  </si>
  <si>
    <t>MDT-DRTSPL-2015-2076-M</t>
  </si>
  <si>
    <t>MDT-DRTSPL-2015-1146-O</t>
  </si>
  <si>
    <t>MDT-DRTSPL-2015-2475-EXTERNO</t>
  </si>
  <si>
    <t>MDT-DRTSPL-2015-2033-M</t>
  </si>
  <si>
    <t>MDT-DRTSPL-2015-1098-O</t>
  </si>
  <si>
    <t>MDT-DRTSPL-2015-2476-EXTERNO</t>
  </si>
  <si>
    <t>MDT-DRTSPL-2015-2077-M</t>
  </si>
  <si>
    <t>MDT-DRTSPL-2015-1147-O</t>
  </si>
  <si>
    <t>MDT-DRTSPL-2015-2477-EXTERNO</t>
  </si>
  <si>
    <t>MDT-DRTSPL-2015-2078-M</t>
  </si>
  <si>
    <t>MDT-DRTSPL-2015-1148-O</t>
  </si>
  <si>
    <t>MDT-DRTSPL-2015-2478-EXTERNO</t>
  </si>
  <si>
    <t>MDT-DRTSPL-2015-2036-M</t>
  </si>
  <si>
    <t>MDT-DRTSPL-2015-1099-O</t>
  </si>
  <si>
    <t>MDT-DRTSPL-2015-2479-EXTERNO</t>
  </si>
  <si>
    <t>MDT-DRTSPL-2015-2030-M</t>
  </si>
  <si>
    <t>MDT-DRTSPL-2015-1120-O</t>
  </si>
  <si>
    <t>MDT-DRTSPL-2015-2480-EXTERNO</t>
  </si>
  <si>
    <t>MDT-DRTSPL-2015-2024-M</t>
  </si>
  <si>
    <t>MDT-DRTSPL-2015-1078-O</t>
  </si>
  <si>
    <t>MDT-DRTSPL-2015-2481-EXTERNO</t>
  </si>
  <si>
    <t>MDT-DRTSPL-2015-2025-M</t>
  </si>
  <si>
    <t>MDT-DRTSPL-2015-1077-O</t>
  </si>
  <si>
    <t>MDT-DRTSPL-2015-2482-EXTERNO</t>
  </si>
  <si>
    <t>MDT-DRTSPL-2015-2022-M</t>
  </si>
  <si>
    <t>MDT-DRTSPL-2015-1079-O</t>
  </si>
  <si>
    <t>MDT-DRTSPL-2015-2483-EXTERNO</t>
  </si>
  <si>
    <t>MDT-DRTSPL-2015-2021-M</t>
  </si>
  <si>
    <t>MDT-DRTSPL-2015-1080-O</t>
  </si>
  <si>
    <t>MDT-DRTSPL-2015-2484-EXTERNO</t>
  </si>
  <si>
    <t>MDT-DRTSPL-2015-2020-M</t>
  </si>
  <si>
    <t>MDT-DRTSPL-2015-1081-O</t>
  </si>
  <si>
    <t>MDT-DRTSPL-2015-2485-EXTERNO</t>
  </si>
  <si>
    <t>MDT-DRTSPL-2015-2019-M</t>
  </si>
  <si>
    <t>MDT-DRTSPL-2015-1082-O</t>
  </si>
  <si>
    <t>MDT-DRTSPL-2015-2486-EXTERNO</t>
  </si>
  <si>
    <t>MDT-DRTSPL-2015-2012-M</t>
  </si>
  <si>
    <t>MDT-DRTSPL-2015-1083-O</t>
  </si>
  <si>
    <t>MDT-DRTSPL-2015-2491-EXTERNO</t>
  </si>
  <si>
    <t>MDT-DRTSPL-2015-1068-O</t>
  </si>
  <si>
    <t xml:space="preserve">Rosa Matilde Gordillo Velez </t>
  </si>
  <si>
    <t>MDT-DRTSPL-2015-2493-EXTERNO</t>
  </si>
  <si>
    <t>MDT-DRTSPL-2015-2082-M</t>
  </si>
  <si>
    <t>MDT-DRTSPL-2015-1149-O</t>
  </si>
  <si>
    <t xml:space="preserve">Dionicio Valentín Pardo Rojas </t>
  </si>
  <si>
    <t>MDT-DRTSPL-2015-2496-EXTERNO</t>
  </si>
  <si>
    <t>MDT-DRTSPL-2015-2085-M</t>
  </si>
  <si>
    <t>MDT-DRTSPL-2015-1133-O</t>
  </si>
  <si>
    <t>MDT-DRTSPL-2015-2499-EXTERNO</t>
  </si>
  <si>
    <t>MDT-DRTSPL-2015-1070-O</t>
  </si>
  <si>
    <t xml:space="preserve">Veronica Cecibel Tapia Lozano </t>
  </si>
  <si>
    <t>MDT-DRTSPL-2015-2500-EXTERNO</t>
  </si>
  <si>
    <t>MDT-DRTSPL-2015-2086-M</t>
  </si>
  <si>
    <t>MDT-DRTSPL-2015-1135-O</t>
  </si>
  <si>
    <t>MDT-DRTSPL-2015-2501-EXTERNO</t>
  </si>
  <si>
    <t>MDT-DRTSPL-2015-2084-M</t>
  </si>
  <si>
    <t>MDT-DRTSPL-2015-2509-EXTERNO</t>
  </si>
  <si>
    <t>MDT-DRTSPL-2015-1069-O</t>
  </si>
  <si>
    <t xml:space="preserve">Carmen Luisa Sanmartin Salinas </t>
  </si>
  <si>
    <t>MDT-DRTSPL-2015-2510-EXTERNO</t>
  </si>
  <si>
    <t>MDT-DRTSPL-2015-2087-M</t>
  </si>
  <si>
    <t>MDT-DRTSPL-2015-1159-O</t>
  </si>
  <si>
    <t xml:space="preserve">EN620387506EC </t>
  </si>
  <si>
    <t>MDT-DRTSPL-2015-2512-EXTERNO</t>
  </si>
  <si>
    <t>MDT-DRTSPL-2015-2054-M</t>
  </si>
  <si>
    <t>MDT-DRTSPL-2015-1123-O</t>
  </si>
  <si>
    <t>MDT-DRTSPL-2015-2515-EXTERNO</t>
  </si>
  <si>
    <t>MDT-DRTSPL-2015-2055-M</t>
  </si>
  <si>
    <t>MDT-DRTSPL-2015-1095-O</t>
  </si>
  <si>
    <t>MDT-DRTSPL-2015-2517-EXTERNO</t>
  </si>
  <si>
    <t>MDT-DRTSPL-2015-2083-M</t>
  </si>
  <si>
    <t>MDT-DRTSPL-2015-1151-O</t>
  </si>
  <si>
    <t>MDT-DRTSPL-2015-2520-EXTERNO</t>
  </si>
  <si>
    <t>MDT-DRTSPL-2015-2088-M</t>
  </si>
  <si>
    <t>MDT-DRTSPL-2015-1157-O</t>
  </si>
  <si>
    <t>MDT-DRTSPL-2015-2528-EXTERNO</t>
  </si>
  <si>
    <t>MDT-DRTSPL-2015-1065-O</t>
  </si>
  <si>
    <t xml:space="preserve">Manuel Andres Cueva Sarango </t>
  </si>
  <si>
    <t>MDT-DRTSPL-2015-2532-EXTERNO</t>
  </si>
  <si>
    <t>MDT-DRTSPL-2015-2090-M</t>
  </si>
  <si>
    <t>MDT-DRTSPL-2015-1158-O</t>
  </si>
  <si>
    <t>MDT-DRTSPL-2015-2533-EXTERNO</t>
  </si>
  <si>
    <t>MDT-DRTSPL-2015-2091-M</t>
  </si>
  <si>
    <t>MDT-DRTSPL-2015-1161-O</t>
  </si>
  <si>
    <t>MDT-DRTSPL-2015-2534-EXTERNO</t>
  </si>
  <si>
    <t>MDT-DRTSPL-2015-2092-M</t>
  </si>
  <si>
    <t>MDT-DRTSPL-2015-1162-O</t>
  </si>
  <si>
    <t>MDT-DRTSPL-2015-2535-EXTERNO</t>
  </si>
  <si>
    <t>MDT-DRTSPL-2015-2093-M</t>
  </si>
  <si>
    <t>MDT-DRTSPL-2015-1160-O</t>
  </si>
  <si>
    <t>MDT-DRTSPL-2015-2536-EXTERNO</t>
  </si>
  <si>
    <t>MDT-DRTSPL-2015-2094-M</t>
  </si>
  <si>
    <t>MDT-DRTSPL-2015-1164-O</t>
  </si>
  <si>
    <t>MDT-DRTSPL-2015-2537-EXTERNO</t>
  </si>
  <si>
    <t>MDT-DRTSPL-2015-2196-M</t>
  </si>
  <si>
    <t>MDT-DRTSPL-2015-1232-O</t>
  </si>
  <si>
    <t>MDT-DRTSPL-2015-2538-EXTERNO</t>
  </si>
  <si>
    <t>MDT-DRTSPL-2015-11231-O</t>
  </si>
  <si>
    <t>MDT-DRTSPL-2015-2539-EXTERNO</t>
  </si>
  <si>
    <t>MDT-DRTSPL-2015-2095-M</t>
  </si>
  <si>
    <t>MDT-DRTSPL-2015-1136-O</t>
  </si>
  <si>
    <t>MDT-DRTSPL-2015-2540-EXTERNO</t>
  </si>
  <si>
    <t>MDT-DRTSPL-2015-2096-M</t>
  </si>
  <si>
    <t>MDT-DRTSPL-2015-1163-O</t>
  </si>
  <si>
    <t>MDT-DRTSPL-2015-2541-EXTERNO</t>
  </si>
  <si>
    <t>MDT-DRTSPL-2015-2246-M</t>
  </si>
  <si>
    <t>MDT-DRTSPL-2015-1234-O</t>
  </si>
  <si>
    <t>GONZANAMA</t>
  </si>
  <si>
    <t>MDT-DRTSPL-2015-2542-EXTERNO</t>
  </si>
  <si>
    <t>MDT-DRTSPL-2015-2097-M</t>
  </si>
  <si>
    <t>MDT-DRTSPL-2015-1165-O</t>
  </si>
  <si>
    <t xml:space="preserve">Juan Rosalino Abad Santin </t>
  </si>
  <si>
    <t>EN620387510EC</t>
  </si>
  <si>
    <t>MDT-DRTSPL-2015-2546-EXTERNO</t>
  </si>
  <si>
    <t>MDT-DRTSPL-2015-1091-O</t>
  </si>
  <si>
    <t xml:space="preserve">Maria Gabriela Pardo Cuenca </t>
  </si>
  <si>
    <t>MDT-DRTSPL-2015-2559-EXTERNO</t>
  </si>
  <si>
    <t>MDT-DRTSPL-2015-1495-O</t>
  </si>
  <si>
    <t xml:space="preserve">Diana Patricia Lima Encalada </t>
  </si>
  <si>
    <t>MDT-DRTSPL-2015-2561-EXTERNO</t>
  </si>
  <si>
    <t>MDT-DRTSPL-2015-1074-O</t>
  </si>
  <si>
    <t xml:space="preserve">Diego Marcel Castillo Viñamagua </t>
  </si>
  <si>
    <t>MDT-DRTSPL-2015-2564-EXTERNO</t>
  </si>
  <si>
    <t>MDT-DRTSPL-2015-2098-M</t>
  </si>
  <si>
    <t>MDT-DRTSPL-2015-1175-O</t>
  </si>
  <si>
    <t>MDT-DRTSPL-2015-2565-EXTERNO</t>
  </si>
  <si>
    <t>MDT-DRTSPL-2015-2099-M</t>
  </si>
  <si>
    <t>MDT-DRTSPL-2015-1166-O</t>
  </si>
  <si>
    <t>MDT-DRTSPL-2015-2566-EXTERNO</t>
  </si>
  <si>
    <t>MDT-DRTSPL-2015-2100-M</t>
  </si>
  <si>
    <t>MDT-DRTSPL-2015-1167-O</t>
  </si>
  <si>
    <t>MDT-DRTSPL-2015-2567-EXTERNO</t>
  </si>
  <si>
    <t>MDT-DRTSPL-2015-2101-M</t>
  </si>
  <si>
    <t>MDT-DRTSPL-2015-1168-O</t>
  </si>
  <si>
    <t>MDT-DRTSPL-2015-2568-EXTERNO</t>
  </si>
  <si>
    <t>MDT-DRTSPL-2015-2102-M</t>
  </si>
  <si>
    <t>MDT-DRTSPL-2015-1169-O</t>
  </si>
  <si>
    <t>MDT-DRTSPL-2015-2570-EXTERNO</t>
  </si>
  <si>
    <t>MDT-DRTSPL-2015-2103-M</t>
  </si>
  <si>
    <t>MDT-DRTSPL-2015-1134-O</t>
  </si>
  <si>
    <t>MDT-DRTSPL-2015-2571-EXTERNO</t>
  </si>
  <si>
    <t>MDT-DRTSPL-2015-1073-O</t>
  </si>
  <si>
    <t xml:space="preserve">Carmen Esperanza Curipoma Alasiche </t>
  </si>
  <si>
    <t>MDT-DRTSPL-2015-2572-EXTERNO</t>
  </si>
  <si>
    <t>MDT-DRTSPL-2015-1066-O</t>
  </si>
  <si>
    <t xml:space="preserve">Telmo Nicanor Chuquimarca Gonzalez </t>
  </si>
  <si>
    <t>MDT-DRTSPL-2015-2573-EXTERNO</t>
  </si>
  <si>
    <t>MDT-DRTSPL-2015-1072-O</t>
  </si>
  <si>
    <t xml:space="preserve">Angela Paola Camacho Cisneros </t>
  </si>
  <si>
    <t>MDT-DRTSPL-2015-2575-EXTERNO</t>
  </si>
  <si>
    <t>MDT-DRTSPL-2015-1067-O</t>
  </si>
  <si>
    <t xml:space="preserve">Esperanza del Carmen Fernandez Violeta </t>
  </si>
  <si>
    <t>MDT-DRTSPL-2015-2577-EXTERNO</t>
  </si>
  <si>
    <t>MDT-DRTSPL-2015-2105-M</t>
  </si>
  <si>
    <t>MDT-DRTSPL-2015-1153-O</t>
  </si>
  <si>
    <t>MDT-DRTSPL-2015-2578-EXTERNO</t>
  </si>
  <si>
    <t>MDT-DRTSPL-2015-2106-M</t>
  </si>
  <si>
    <t>MDT-DRTSPL-2015-1154-O</t>
  </si>
  <si>
    <t>MDT-DRTSPL-2015-2582-EXTERNO</t>
  </si>
  <si>
    <t>MDT-DRTSPL-2015-2049-M</t>
  </si>
  <si>
    <t>MDT-DRTSPL-2015-1093-O</t>
  </si>
  <si>
    <t>MDT-DRTSPL-2015-2583-EXTERNO</t>
  </si>
  <si>
    <t>MDT-DRTSPL-2015-1071-O</t>
  </si>
  <si>
    <t xml:space="preserve">Nancy Janeth Criollo Nivelo </t>
  </si>
  <si>
    <t>MDT-DRTSPL-2015-2587-EXTERNO</t>
  </si>
  <si>
    <t>MDT-DRTSPL-2015-2107-M</t>
  </si>
  <si>
    <t>MDT-DRTSPL-2015-1155-O</t>
  </si>
  <si>
    <t>MDT-DRTSPL-2015-2588-EXTERNO</t>
  </si>
  <si>
    <t>MDT-DRTSPL-2015-2104-M</t>
  </si>
  <si>
    <t>MDT-DRTSPL-2015-1139-O</t>
  </si>
  <si>
    <t>MDT-DRTSPL-2015-2589-EXTERNO</t>
  </si>
  <si>
    <t>MDT-DRTSPL-2015-2108-M</t>
  </si>
  <si>
    <t>MDT-DRTSPL-2015-1137-O</t>
  </si>
  <si>
    <t>MDT-DRTSPL-2015-2590-EXTERNO</t>
  </si>
  <si>
    <t>MDT-DRTSPL-2015-2032-M</t>
  </si>
  <si>
    <t>MDT-DRTSPL-2015-1118-O</t>
  </si>
  <si>
    <t>MDT-DRTSPL-2015-2591-EXTERNO</t>
  </si>
  <si>
    <t>MDT-DRTSPL-2015-2031-M</t>
  </si>
  <si>
    <t>MDT-DRTSPL-2015-1119-O</t>
  </si>
  <si>
    <t>MDT-DRTSPL-2015-2595-EXTERNO</t>
  </si>
  <si>
    <t>2015-03</t>
  </si>
  <si>
    <t>MDT-DRTSPL-2015-2123-M</t>
  </si>
  <si>
    <t>MDT-DRTSPL-2015-1192-O</t>
  </si>
  <si>
    <t>MDT-DRTSPL-2015-2596-EXTERNO</t>
  </si>
  <si>
    <t>MDT-DRTSPL-2015-2109-M</t>
  </si>
  <si>
    <t>MDT-DRTSPL-2015-1156-O</t>
  </si>
  <si>
    <t>MDT-DRTSPL-2015-2604-EXTERNO</t>
  </si>
  <si>
    <t>MDT-DRTSPL-2015-1087-O</t>
  </si>
  <si>
    <t xml:space="preserve">Wagner Evolter Medina Espinoza </t>
  </si>
  <si>
    <t>MDT-DRTSPL-2015-2615-EXTERNO</t>
  </si>
  <si>
    <t>MDT-DRTSPL-2015-2117-M</t>
  </si>
  <si>
    <t>MDT-DRTSPL-2015-1185-O</t>
  </si>
  <si>
    <t xml:space="preserve">Juan Carlos Montalvan Salcedo </t>
  </si>
  <si>
    <t>MDT-DRTSPL-2015-2616-EXTERNO</t>
  </si>
  <si>
    <t>MDT-DRTSPL-2015-2118-M</t>
  </si>
  <si>
    <t>MDT-DRTSPL-2015-1184-O</t>
  </si>
  <si>
    <t>MDT-DRTSPL-2015-2617-EXTERNO</t>
  </si>
  <si>
    <t>MDT-DRTSPL-2015-2119-M</t>
  </si>
  <si>
    <t>MDT-DRTSPL-2015-1183-O</t>
  </si>
  <si>
    <t>MDT-DRTSPL-2015-2621-EXTERNO</t>
  </si>
  <si>
    <t>Felipe David Gomez parra</t>
  </si>
  <si>
    <t>MDT-DSG-2015-2160-MEMORANDO</t>
  </si>
  <si>
    <t xml:space="preserve">Darwin Jovanny Lincango Pastas </t>
  </si>
  <si>
    <t>MRL-DRTSPL-2015-661-OF</t>
  </si>
  <si>
    <t>MDT-DRTSPL-2015-2623-EXTERNO</t>
  </si>
  <si>
    <t>MDT-DRTSPL-2015-1085-O</t>
  </si>
  <si>
    <t xml:space="preserve">Vanessa Geovanna Salazar Jiménez </t>
  </si>
  <si>
    <t>MDT-DRTSPL-2015-2624-EXTERNO</t>
  </si>
  <si>
    <t>MDT-DRTSPL-2015-2120-M</t>
  </si>
  <si>
    <t>MDT-DRTSPL-2015-1182-O</t>
  </si>
  <si>
    <t>MDT-DRTSPL-2015-2627-EXTERNO</t>
  </si>
  <si>
    <t>MDT-DRTSPL-2015-2121-M</t>
  </si>
  <si>
    <t>MDT-DRTSPL-2015-1181-O</t>
  </si>
  <si>
    <t>MDT-DRTSPL-2015-2631-EXTERNO</t>
  </si>
  <si>
    <t>MDT-DRTSPL-2015-1086-O</t>
  </si>
  <si>
    <t xml:space="preserve">Lidia Matilde Guaya Loarte </t>
  </si>
  <si>
    <t>MDT-DRTSPL-2015-2637-EXTERNO</t>
  </si>
  <si>
    <t>MDT-DRTSPL-2015-2116-M</t>
  </si>
  <si>
    <t>MDT-DRTSPL-2015-1190-O</t>
  </si>
  <si>
    <t>MDT-DRTSPL-2015-2645-EXTERNO</t>
  </si>
  <si>
    <t>MDT-DRTSPL-2015-2122-M</t>
  </si>
  <si>
    <t>MDT-DRTSPL-2015-1202-O</t>
  </si>
  <si>
    <t>EN620539025EC</t>
  </si>
  <si>
    <t>MDT-DRTSPL-2015-2646-EXTERNO</t>
  </si>
  <si>
    <t>MDT-DRTSPL-2015-2126-M</t>
  </si>
  <si>
    <t>MDT-DRTSPL-2015- -O</t>
  </si>
  <si>
    <t xml:space="preserve">José Briceño Castillo </t>
  </si>
  <si>
    <t>MDT-DRTSPL-2015-2647-EXTERNO</t>
  </si>
  <si>
    <t>MDT-DRTSPL-2015-1088-O</t>
  </si>
  <si>
    <t xml:space="preserve">Maria del Carmen Riofrio Gaona </t>
  </si>
  <si>
    <t>MDT-DRTSPL-2015-2649-EXTERNO</t>
  </si>
  <si>
    <t>MDT-DRTSPL-2015-2127-M</t>
  </si>
  <si>
    <t>MDT-DRTSPL-2015-1205-O</t>
  </si>
  <si>
    <t>MDT-DRTSPL-2015-2650-EXTERNO</t>
  </si>
  <si>
    <t>MDT-DRTSPL-2015-2201-M</t>
  </si>
  <si>
    <t>MDT-DRTSPL-2015-1228-O</t>
  </si>
  <si>
    <t xml:space="preserve">Ronald Euclides Campoverde Campoverde </t>
  </si>
  <si>
    <t>MDT-DRTSPL-2015-2651-EXTERNO</t>
  </si>
  <si>
    <t>MDT-DRTSPL-2015-2128-M</t>
  </si>
  <si>
    <t>MDT-DRTSPL-2015-1193-O</t>
  </si>
  <si>
    <t>MDT-DRTSPL-2015-2652-EXTERNO</t>
  </si>
  <si>
    <t>MDT-DRTSPL-2015-2203-M</t>
  </si>
  <si>
    <t>MDT-DRTSPL-2015-1229-O</t>
  </si>
  <si>
    <t>MDT-DRTSPL-2015-2654-EXTERNO</t>
  </si>
  <si>
    <t>MDT-DRTSPL-2015-1090-O</t>
  </si>
  <si>
    <t xml:space="preserve">Juan Bernardo Herrera Cevallos </t>
  </si>
  <si>
    <t>MDT-DRTSPL-2015-2657-EXTERNO</t>
  </si>
  <si>
    <t>MDT-DRTSPL-2015-1242-O</t>
  </si>
  <si>
    <t xml:space="preserve">Adriana del Cisne Espinosa Torres </t>
  </si>
  <si>
    <t>MDT-DRTSPL-2015-2658-EXTERNO</t>
  </si>
  <si>
    <t>MDT-DRTSPL-2015-1124-O</t>
  </si>
  <si>
    <t xml:space="preserve">Diana Alexandra Guaman Romero </t>
  </si>
  <si>
    <t>MDT-DRTSPL-2015-2659-EXTERNO</t>
  </si>
  <si>
    <t>MDT-DRTSPL-2015-1177-O</t>
  </si>
  <si>
    <t xml:space="preserve">Rober Antonio Cordova Cuenca </t>
  </si>
  <si>
    <t>MDT-DRTSPL-2015-2660-EXTERNO</t>
  </si>
  <si>
    <t>MDT-DRTSPL-2015-1176-O</t>
  </si>
  <si>
    <t xml:space="preserve">Juan Bautista Erazo González </t>
  </si>
  <si>
    <t>MDT-DRTSPL-2015-2661-EXTERNO</t>
  </si>
  <si>
    <t>MDT-DRTSPL-2015-1125-O</t>
  </si>
  <si>
    <t xml:space="preserve">Jessica Maria Cabrera Buri </t>
  </si>
  <si>
    <t>MDT-DRTSPL-2015-2662-EXTERNO</t>
  </si>
  <si>
    <t>MDT-DRTSPL-2015-1174-O</t>
  </si>
  <si>
    <t xml:space="preserve">Ricardo Santiago Pesantez Guaman </t>
  </si>
  <si>
    <t>MDT-DRTSPL-2015-2663-EXTERNO</t>
  </si>
  <si>
    <t>MDT-DRTSPL-2015-1126-O</t>
  </si>
  <si>
    <t xml:space="preserve">Jorge Oswaldo Rivera Maldonado </t>
  </si>
  <si>
    <t>MDT-DRTSPL-2015-2664-EXTERNO</t>
  </si>
  <si>
    <t>MDT-DRTSPL-2015-1173-O</t>
  </si>
  <si>
    <t xml:space="preserve">Edison Patricio Carrion Olaya </t>
  </si>
  <si>
    <t>MDT-DRTSPL-2015-2665-EXTERNO</t>
  </si>
  <si>
    <t>MDT-DRTSPL-2015-2255-M</t>
  </si>
  <si>
    <t>MDT-DRTSPL-2015-1246-O</t>
  </si>
  <si>
    <t>MDT-DRTSPL-2015-2667-EXTERNO</t>
  </si>
  <si>
    <t>MDT-DRTSPL-2015-1203-O</t>
  </si>
  <si>
    <t xml:space="preserve">Matías Edilberto Ramírez Bravo </t>
  </si>
  <si>
    <t>MDT-DRTSPL-2015-2668-EXTERNO</t>
  </si>
  <si>
    <t>MDT-DRTSPL-2015-2181-M</t>
  </si>
  <si>
    <t>MDT-DRTSPL-2015-1195-O</t>
  </si>
  <si>
    <t>MDT-DRTSPL-2015-2669-EXTERNO</t>
  </si>
  <si>
    <t>MDT-DRTSPL-2015-2189-M</t>
  </si>
  <si>
    <t>MDT-DRTSPL-2015-1227-O</t>
  </si>
  <si>
    <t>MDT-DRTSPL-2015-2672-EXTERNO</t>
  </si>
  <si>
    <t>MDT-DRTSPL-2015-2173-M</t>
  </si>
  <si>
    <t>MDT-DRTSPL-2015-1256-O</t>
  </si>
  <si>
    <t xml:space="preserve">Víctor Santín Salazar </t>
  </si>
  <si>
    <t>MDT-DRTSPL-2015-2675-EXTERNO</t>
  </si>
  <si>
    <t>MDT-DRTSPL-2015-1220-O</t>
  </si>
  <si>
    <t>UNIDAD JUDICIAL ESPECIALIZADA PRIMERA DE CONTRAVENCIONES</t>
  </si>
  <si>
    <t>MDT-DRTSPL-2015-2676-EXTERNO</t>
  </si>
  <si>
    <t>MDT-DRTSPL-2015-2174-M</t>
  </si>
  <si>
    <t>MDT-DRTSPL-2015-1198-O</t>
  </si>
  <si>
    <t>MDT-DRTSPL-2015-2678-EXTERNO</t>
  </si>
  <si>
    <t>MDT-DRTSPL-2015-2185-M</t>
  </si>
  <si>
    <t>MDT-DRTSPL-2015-1196-O</t>
  </si>
  <si>
    <t>MDT-DRTSPL-2015-2685-EXTERNO</t>
  </si>
  <si>
    <t>MDT-DRTSPL-2015-1218-O</t>
  </si>
  <si>
    <t xml:space="preserve">María de los Angeles Macas Romero </t>
  </si>
  <si>
    <t>MDT-DRTSPL-2015-2690-EXTERNO</t>
  </si>
  <si>
    <t>MDT-DRTSPL-2015-2256-M</t>
  </si>
  <si>
    <t>MDT-DRTSPL-2015-1247-O</t>
  </si>
  <si>
    <t>EN620621328EC</t>
  </si>
  <si>
    <t>MDT-DRTSPL-2015-2691-EXTERNO</t>
  </si>
  <si>
    <t>MDT-DRTSPL-2015-2257-M</t>
  </si>
  <si>
    <t>MDT-DRTSPL-2015-1249-O</t>
  </si>
  <si>
    <t xml:space="preserve">Guillermo Alvarez Celi </t>
  </si>
  <si>
    <t>MDT-DRTSPL-2015-2692-EXTERNO</t>
  </si>
  <si>
    <t>MDT-DRTSPL-2015-2186-M</t>
  </si>
  <si>
    <t>MDT-DRTSPL-2015-1197-O</t>
  </si>
  <si>
    <t>MDT-DRTSPL-2015-2694-EXTERNO</t>
  </si>
  <si>
    <t>MDT-DRTSPL-2015-2195-M</t>
  </si>
  <si>
    <t>MDT-DRTSPL-2015-1226-O</t>
  </si>
  <si>
    <t>EN620539056EC</t>
  </si>
  <si>
    <t>MDT-DRTSPL-2015-2695-EXTERNO</t>
  </si>
  <si>
    <t>MDT-DRTSPL-2015-2340-M</t>
  </si>
  <si>
    <t>MDT-DRTSPL-2015-1317-O</t>
  </si>
  <si>
    <t>MDT-DRTSPL-2015-2696-EXTERNO</t>
  </si>
  <si>
    <t>MDT-DRTSPL-2015-1355-O</t>
  </si>
  <si>
    <t xml:space="preserve">Edison Edmundo Moreno Paez </t>
  </si>
  <si>
    <t>MDT-DRTSPL-2015-2698-EXTERNO</t>
  </si>
  <si>
    <t>MDT-DRTSPL-2015-2204-M</t>
  </si>
  <si>
    <t>MDT-DRTSPL-2015-1230-O</t>
  </si>
  <si>
    <t>MDT-DRTSPL-2015-2700-EXTERNO</t>
  </si>
  <si>
    <t>MDT-DRTSPL-2015-2206-M</t>
  </si>
  <si>
    <t>MDT-DRTSPL-2015-1225-O</t>
  </si>
  <si>
    <t>EN620539039EC</t>
  </si>
  <si>
    <t>MDT-DRTSPL-2015-2701-EXTERNO</t>
  </si>
  <si>
    <t>MDT-DRTSPL-2015-2207-M</t>
  </si>
  <si>
    <t>MDT-DRTSPL-2015-1224-O</t>
  </si>
  <si>
    <t>MDT-DRTSPL-2015-2703-EXTERNO</t>
  </si>
  <si>
    <t>MDT-DRTSPL-2015-2210-M</t>
  </si>
  <si>
    <t>MDT-DRTSPL-2015-1223-O</t>
  </si>
  <si>
    <t>MDT-DRTSPL-2015-2705-EXTERNO</t>
  </si>
  <si>
    <t>MDT-DRTSPL-2015-2212-M</t>
  </si>
  <si>
    <t>MDT-DRTSPL-2015-1222-O</t>
  </si>
  <si>
    <t>MDT-DRTSPL-2015-2706-EXTERNO</t>
  </si>
  <si>
    <t>MDT-DRTSPL-2015-2213-M</t>
  </si>
  <si>
    <t>MDT-DRTSPL-2015-1221-O</t>
  </si>
  <si>
    <t>MDT-DRTSPL-2015-2707-EXTERNO</t>
  </si>
  <si>
    <t>MDT-DRTSPL-2015-2214-M</t>
  </si>
  <si>
    <t>MDT-DRTSPL-2015-1219-O</t>
  </si>
  <si>
    <t>EN620539042EC</t>
  </si>
  <si>
    <t>MDT-DRTSPL-2015-2708-EXTERNO</t>
  </si>
  <si>
    <t>MDT-DRTSPL-2015-2263-M</t>
  </si>
  <si>
    <t>MDT-DRTSPL-2015-1253-O</t>
  </si>
  <si>
    <t>MDT-DRTSPL-2015-2709-EXTERNO</t>
  </si>
  <si>
    <t>MDT-DRTSPL-2015-2216-M</t>
  </si>
  <si>
    <t>MDT-DRTSPL-2015-1236-O</t>
  </si>
  <si>
    <t>EN620621359EC</t>
  </si>
  <si>
    <t>MDT-DRTSPL-2015-2710-EXTERNO</t>
  </si>
  <si>
    <t>MDT-DRTSPL-2015-2217-M</t>
  </si>
  <si>
    <t>MDT-DRTSPL-2015-1235-O</t>
  </si>
  <si>
    <t>MDT-DRTSPL-2015-2713-EXTERNO</t>
  </si>
  <si>
    <t>MDT-DRTSPL-2015-1208-O</t>
  </si>
  <si>
    <t xml:space="preserve">Jhon Enrique Benitez Salazar </t>
  </si>
  <si>
    <t>MDT-DRTSPL-2015-2714-EXTERNO</t>
  </si>
  <si>
    <t>MDT-DRTSPL-2015-1180-O</t>
  </si>
  <si>
    <t xml:space="preserve">Jocelyne Jhoanna Azanza Morocho </t>
  </si>
  <si>
    <t>MDT-DRTSPL-2015-2716-EXTERNO</t>
  </si>
  <si>
    <t>MDT-DRTSPL-2015-2264-M</t>
  </si>
  <si>
    <t>MDT-DRTSPL-2015-1265-O</t>
  </si>
  <si>
    <t>MDT-DRTSPL-2015-2717-EXTERNO</t>
  </si>
  <si>
    <t>MDT-DRTSPL-2015-2254-M</t>
  </si>
  <si>
    <t>MDT-DRTSPL-2015-1248-O</t>
  </si>
  <si>
    <t xml:space="preserve">Carlos Rolando Correa Jaramillo </t>
  </si>
  <si>
    <t>MDT-DRTSPL-2015-2718-EXTERNO</t>
  </si>
  <si>
    <t>MDT-DRTSPL-2015-2261-M</t>
  </si>
  <si>
    <t>MDT-DRTSPL-2015-1252-O</t>
  </si>
  <si>
    <t>MDT-DRTSPL-2015-2719-EXTERNO</t>
  </si>
  <si>
    <t>MDT-DRTSPL-2015-2345-M</t>
  </si>
  <si>
    <t>MDT-DRTSPL-2015-1380-O</t>
  </si>
  <si>
    <t>MDT-DRTSPL-2015-2720-EXTERNO</t>
  </si>
  <si>
    <t>MDT-DRTSPL-2015-1300-O</t>
  </si>
  <si>
    <t>MDT-DRTSPL-2015-2721-EXTERNO</t>
  </si>
  <si>
    <t>MDT-DRTSPL-2015-2265-M</t>
  </si>
  <si>
    <t>MDT-DRTSPL-2015-1254-O</t>
  </si>
  <si>
    <t>MDT-DRTSPL-2015-2725-EXTERNO</t>
  </si>
  <si>
    <t>MDT-DRTSPL-2015-2280-M</t>
  </si>
  <si>
    <t>MDT-DRTSPL-2015-1289-O</t>
  </si>
  <si>
    <t>MDT-DRTSPL-2015-2729-EXTERNO</t>
  </si>
  <si>
    <t>MDT-DRTSPL-2015-1188-O</t>
  </si>
  <si>
    <t xml:space="preserve">Maria de los Angeles Torres Jimenez </t>
  </si>
  <si>
    <t>MDT-DRTSPL-2015-2734-EXTERNO</t>
  </si>
  <si>
    <t>MDT-DRTSPL-2015-1186-O</t>
  </si>
  <si>
    <t xml:space="preserve">Franz Medardo Lara Lalangui </t>
  </si>
  <si>
    <t>MDT-DRTSPL-2015-2735-EXTERNO</t>
  </si>
  <si>
    <t>MDT-DRTSPL-2015-1187-O</t>
  </si>
  <si>
    <t xml:space="preserve">Lucia Esmeralda Lalangui Armijos </t>
  </si>
  <si>
    <t>MDT-DRTSPL-2015-2736-EXTERNO</t>
  </si>
  <si>
    <t>MDT-DRTSPL-2015-1212-O</t>
  </si>
  <si>
    <t xml:space="preserve">Juan Gonzalo Cuenca Alvarado </t>
  </si>
  <si>
    <t>MDT-DRTSPL-2015-2737-EXTERNO</t>
  </si>
  <si>
    <t>MDT-DRTSPL-2015-1211-O</t>
  </si>
  <si>
    <t xml:space="preserve">Diana Isabel Rojas Guaman </t>
  </si>
  <si>
    <t>MDT-DRTSPL-2015-2738-EXTERNO</t>
  </si>
  <si>
    <t>MDT-DRTSPL-2015-1213-O</t>
  </si>
  <si>
    <t xml:space="preserve">Allison Nicole Solorzano Moreno </t>
  </si>
  <si>
    <t>MDT-DRTSPL-2015-2739-EXTERNO</t>
  </si>
  <si>
    <t>MDT-DRTSPL-2015-1214-O</t>
  </si>
  <si>
    <t xml:space="preserve">Jimaira Jamileth Jimenez Jimenez </t>
  </si>
  <si>
    <t>MDT-DRTSPL-2015-2746-EXTERNO</t>
  </si>
  <si>
    <t>ARCHIVADO NO ES DE NUESTRA COMPETENCIA</t>
  </si>
  <si>
    <t>MDT-DRTSPL-2015-2748-EXTERNO</t>
  </si>
  <si>
    <t>MDT-DRTSPL-2015-2296-M</t>
  </si>
  <si>
    <t>MDT-DRTSPL-2015-1286-O</t>
  </si>
  <si>
    <t>MDT-DRTSPL-2015-2757-EXTERNO</t>
  </si>
  <si>
    <t>MDT-DRTSPL-2015-2346-M</t>
  </si>
  <si>
    <t>MDT-DRTSPL-2015-1319-O</t>
  </si>
  <si>
    <t>MDT-DRTSPL-2015-2758-EXTERNO</t>
  </si>
  <si>
    <t>MDT-DRTSPL-2015-1217-O</t>
  </si>
  <si>
    <t xml:space="preserve">Zoila Ines Tapia Morocho </t>
  </si>
  <si>
    <t>MDT-DRTSPL-2015-2761-EXTERNO</t>
  </si>
  <si>
    <t>MDT-DRTSPL-2015-1243-O</t>
  </si>
  <si>
    <t>MDT-DRTSPL-2015-2762-EXTERNO</t>
  </si>
  <si>
    <t>MDT-DRTSPL-2015-1238-O</t>
  </si>
  <si>
    <t xml:space="preserve">Yhelenna Angelica Lojan Armijos </t>
  </si>
  <si>
    <t>MDT-DRTSPL-2015-2763-EXTERNO</t>
  </si>
  <si>
    <t>MDT-DRTSPL-2015-2303-M</t>
  </si>
  <si>
    <t>MDT-DRTSPL-2015-1284-O</t>
  </si>
  <si>
    <t>MDT-DRTSPL-2015-2765-EXTERNO</t>
  </si>
  <si>
    <t>MDT-DRTSPL-2015-2304-M</t>
  </si>
  <si>
    <t>MDT-DRTSPL-2015-1283-O</t>
  </si>
  <si>
    <t>MDT-DRTSPL-2015-2772-EXTERNO</t>
  </si>
  <si>
    <t>MDT-DRTSPL-2015-1216-O</t>
  </si>
  <si>
    <t xml:space="preserve">Ivan Ramiro Cuenca Cajamarca </t>
  </si>
  <si>
    <t>MDT-DRTSPL-2015-2775-EXTERNO</t>
  </si>
  <si>
    <t>MDT-DRTSPL-2015-1210-O</t>
  </si>
  <si>
    <t xml:space="preserve">Stefany Cristina Ortega Solorzano </t>
  </si>
  <si>
    <t>MDT-DRTSPL-2015-2776-EXTERNO</t>
  </si>
  <si>
    <t>MDT-DRTSPL-2015-1209-O</t>
  </si>
  <si>
    <t xml:space="preserve">Jidler Liston Rodriguez Rodriguez </t>
  </si>
  <si>
    <t>MDT-DRTSPL-2015-2777-EXTERNO</t>
  </si>
  <si>
    <t>MDT-DRTSPL-2015-2302-M</t>
  </si>
  <si>
    <t>MDT-DRTSPL-2015-1282-O</t>
  </si>
  <si>
    <t>MDT-DRTSPL-2015-2778-EXTERNO</t>
  </si>
  <si>
    <t>MDT-DRTSPL-2015-2301-M</t>
  </si>
  <si>
    <t>MDT-DRTSPL-2015-1285-O</t>
  </si>
  <si>
    <t>MDT-DRTSPL-2015-2779-EXTERNO</t>
  </si>
  <si>
    <t>MDT-DRTSPL-2015-2295-M</t>
  </si>
  <si>
    <t>MDT-DRTSPL-2015-1272-O</t>
  </si>
  <si>
    <t>MDT-DRTSPL-2015-2780-EXTERNO</t>
  </si>
  <si>
    <t>MDT-DRTSPL-2015-1237-O</t>
  </si>
  <si>
    <t>MDT-DRTSPL-2015-2785-EXTERNO</t>
  </si>
  <si>
    <t>MDT-DRTSPL-2015-2315-M</t>
  </si>
  <si>
    <t>MDT-DRTSPL-2015-1293-O</t>
  </si>
  <si>
    <t>MDT-DRTSPL-2015-2786-EXTERNO</t>
  </si>
  <si>
    <t>MDT-DRTSPL-2015-2314-M</t>
  </si>
  <si>
    <t>MDT-DRTSPL-2015-1295-O</t>
  </si>
  <si>
    <t xml:space="preserve">Guillermo Ponce Fierro </t>
  </si>
  <si>
    <t>MDT-DRTSPL-2015-2788-EXTERNO</t>
  </si>
  <si>
    <t>MDT-DRTSPL-2015-1257-O</t>
  </si>
  <si>
    <t xml:space="preserve">Norma Jacqueline Vera Zapata </t>
  </si>
  <si>
    <t>MDT-DRTSPL-2015-2796-EXTERNO</t>
  </si>
  <si>
    <t>MDT-DRTSPL-2015-2348-M</t>
  </si>
  <si>
    <t>MDT-DRTSPL-2015-1324-O</t>
  </si>
  <si>
    <t>MDT-DRTSPL-2015-2798-EXTERNO</t>
  </si>
  <si>
    <t>MDT-DRTSPL-2015-2249-M</t>
  </si>
  <si>
    <t>MDT-DRTSPL-2015-1239-O</t>
  </si>
  <si>
    <t>MDT-DRTSPL-2015-2799-EXTERNO</t>
  </si>
  <si>
    <t>MDT-DRTSPL-2015-2250-M</t>
  </si>
  <si>
    <t>MDT-DRTSPL-2015-1240-O</t>
  </si>
  <si>
    <t>MDT-DRTSPL-2015-2800-EXTERNO</t>
  </si>
  <si>
    <t>MDT-DRTSPL-2015-2252-M</t>
  </si>
  <si>
    <t>MDT-DRTSPL-2015-1241-O</t>
  </si>
  <si>
    <t>MDT-DRTSPL-2015-2801-EXTERNO</t>
  </si>
  <si>
    <t>MDT-DRTSPL-2015-1501-O</t>
  </si>
  <si>
    <t xml:space="preserve">Manuel Francisco Chalan Gualan </t>
  </si>
  <si>
    <t>MDT-DRTSPL-2015-2805-EXTERNO</t>
  </si>
  <si>
    <t>MDT-DRTSPL-2015-1280-O</t>
  </si>
  <si>
    <t xml:space="preserve">Karla Elizabeth Vasquez Quille </t>
  </si>
  <si>
    <t>MDT-DRTSPL-2015-2806-EXTERNO</t>
  </si>
  <si>
    <t>MDT-DRTSPL-2015-1281-O</t>
  </si>
  <si>
    <t xml:space="preserve">Lenin Mirabel Salazar Yaguana </t>
  </si>
  <si>
    <t>MDT-DRTSPL-2015-2821-EXTERNO</t>
  </si>
  <si>
    <t>MDT-DRTSPL-2015-2260-M</t>
  </si>
  <si>
    <t>MDT-DRTSPL-2015-1251-O</t>
  </si>
  <si>
    <t>MDT-DRTSPL-2015-2822-EXTERNO</t>
  </si>
  <si>
    <t>MDT-DRTSPL-2015-2267-M</t>
  </si>
  <si>
    <t>MDT-DRTSPL-2015-1255-O</t>
  </si>
  <si>
    <t>EN620698772EC</t>
  </si>
  <si>
    <t>MDT-DRTSPL-2015-2823-EXTERNO</t>
  </si>
  <si>
    <t>MDT-DRTSPL-2015-2285-M</t>
  </si>
  <si>
    <t>MDT-DRTSPL-2015-1269-O</t>
  </si>
  <si>
    <t>MDT-DRTSPL-2015-2824-EXTERNO</t>
  </si>
  <si>
    <t>María Jimena Sánchez Benítez</t>
  </si>
  <si>
    <t>SUBSECRETARIA TECNICA DE FORTALECIMIENTO</t>
  </si>
  <si>
    <t>MRL-DRTSPL-2015-404-OF</t>
  </si>
  <si>
    <t>MDT-DRTSPL-2015-2825-EXTERNO</t>
  </si>
  <si>
    <t>MDT-DRTSPL-2015-2283-M</t>
  </si>
  <si>
    <t>MDT-DRTSPL-2015-1268-O</t>
  </si>
  <si>
    <t>MDT-DRTSPL-2015-2826-EXTERNO</t>
  </si>
  <si>
    <t>MDT-DRTSPL-2015-2281-M</t>
  </si>
  <si>
    <t>MDT-DRTSPL-2015-1267-O</t>
  </si>
  <si>
    <t>MDT-DRTSPL-2015-2828-EXTERNO</t>
  </si>
  <si>
    <t>MDT-DRTSPL-2015-2289-M</t>
  </si>
  <si>
    <t>MDT-DRTSPL-2015-1274-O</t>
  </si>
  <si>
    <t>MDT-DRTSPL-2015-2830-EXTERNO</t>
  </si>
  <si>
    <t>MDT-DRTSPL-2015-2292-M</t>
  </si>
  <si>
    <t>MDT-DRTSPL-2015-1287-O</t>
  </si>
  <si>
    <t xml:space="preserve">Antonio Patrcicio Quito Sanmartin </t>
  </si>
  <si>
    <t>MDT-DRTSPL-2015-2831-EXTERNO</t>
  </si>
  <si>
    <t>MDT-DRTSPL-2015-2293-M</t>
  </si>
  <si>
    <t>MDT-DRTSPL-2015-1276-O</t>
  </si>
  <si>
    <t>MDT-DRTSPL-2015-2832-EXTERNO</t>
  </si>
  <si>
    <t>MDT-DRTSPL-2015-2294-M</t>
  </si>
  <si>
    <t>MDT-DRTSPL-2015-1273-O</t>
  </si>
  <si>
    <t>MDT-DRTSPL-2015-2833-EXTERNO</t>
  </si>
  <si>
    <t>MDT-DRTSPL-2015-2287-M</t>
  </si>
  <si>
    <t>MDT-DRTSPL-2015-1270-O</t>
  </si>
  <si>
    <t>EN620777634EC</t>
  </si>
  <si>
    <t>MDT-DRTSPL-2015-2834-EXTERNO</t>
  </si>
  <si>
    <t>MDT-DRTSPL-2015-2286-M</t>
  </si>
  <si>
    <t>MDT-DRTSPL-2015-1271-O</t>
  </si>
  <si>
    <t>MDT-DRTSPL-2015-2840-EXTERNO</t>
  </si>
  <si>
    <t>MDT-DRTSPL-2015-1408-O</t>
  </si>
  <si>
    <t>MDT-DRTSPL-2015-2847-EXTERNO</t>
  </si>
  <si>
    <t>MDT-DRTSPL-2015-1308-O</t>
  </si>
  <si>
    <t xml:space="preserve">Jhon Armando Torres Armijos </t>
  </si>
  <si>
    <t>MDT-DRTSPL-2015-2848-EXTERNO</t>
  </si>
  <si>
    <t>MDT-DRTSPL-2015-1258-O</t>
  </si>
  <si>
    <t xml:space="preserve">Katty Vanessa Castillo Abad </t>
  </si>
  <si>
    <t>MDT-DRTSPL-2015-2849-EXTERNO</t>
  </si>
  <si>
    <t>MDT-DRTSPL-2015-1259-O</t>
  </si>
  <si>
    <t xml:space="preserve">Katerine Elizabeth Lojano Carrion </t>
  </si>
  <si>
    <t>MDT-DRTSPL-2015-2850-EXTERNO</t>
  </si>
  <si>
    <t>MDT-DRTSPL-2015-1260-O</t>
  </si>
  <si>
    <t xml:space="preserve">Maria Dolores Ortiz Macanchi </t>
  </si>
  <si>
    <t>MDT-DRTSPL-2015-2851-EXTERNO</t>
  </si>
  <si>
    <t>MDT-DRTSPL-2015-1261-O</t>
  </si>
  <si>
    <t xml:space="preserve">Olga Esperanza Guerrero Guerrero </t>
  </si>
  <si>
    <t>MDT-DRTSPL-2015-2852-EXTERNO</t>
  </si>
  <si>
    <t>MDT-DRTSPL-2015-1262-O</t>
  </si>
  <si>
    <t xml:space="preserve">Adriana del Cisne Pardo Abad </t>
  </si>
  <si>
    <t>MDT-DRTSPL-2015-2853-EXTERNO</t>
  </si>
  <si>
    <t>MDT-DRTSPL-2015-1263-O</t>
  </si>
  <si>
    <t xml:space="preserve">Katty Elizabeth Molina Sarango </t>
  </si>
  <si>
    <t>MDT-DRTSPL-2015-2854-EXTERNO</t>
  </si>
  <si>
    <t>MDT-DRTSPL-2015-1264-O</t>
  </si>
  <si>
    <t xml:space="preserve">Cruz Alexandra Rodriguez Abarca </t>
  </si>
  <si>
    <t>MDT-DRTSPL-2015-2855-EXTERNO</t>
  </si>
  <si>
    <t>MDT-DRTSPL-2015-2332-M</t>
  </si>
  <si>
    <t>MDT-DRTSPL-2015-1301-O</t>
  </si>
  <si>
    <t>MDT-DRTSPL-2015-2858-EXTERNO</t>
  </si>
  <si>
    <t>Glubis Gaston Ortega Espinoza</t>
  </si>
  <si>
    <t>Estimado para la verificación en su sistema de ingreso de documentos
Fecha máxima de trámite:</t>
  </si>
  <si>
    <t>DELEGACION DE MACHALA</t>
  </si>
  <si>
    <t>MDT-DRTSPL-2015-2860-EXTERNO</t>
  </si>
  <si>
    <t>MDT-DRTSPL-2015-2318-M</t>
  </si>
  <si>
    <t>MDT-DRTSPL-2015-1292-O</t>
  </si>
  <si>
    <t>EN620852794EC</t>
  </si>
  <si>
    <t>MDT-DRTSPL-2015-2861-EXTERNO</t>
  </si>
  <si>
    <t>MDT-DRTSPL-2015-2320-M</t>
  </si>
  <si>
    <t>MDT-DRTSPL-2015-1294-O</t>
  </si>
  <si>
    <t>EN620852785EC</t>
  </si>
  <si>
    <t>MDT-DRTSPL-2015-2863-EXTERNO</t>
  </si>
  <si>
    <t>MDT-DRTSPL-2015-1350-O</t>
  </si>
  <si>
    <t>MDT-DRTSPL-2015-1370-O</t>
  </si>
  <si>
    <t>MDT-DRTSPL-2015-2864-EXTERNO</t>
  </si>
  <si>
    <t>MDT-DRTSPL-2015-2349-M</t>
  </si>
  <si>
    <t>MDT-DRTSPL-2015-1323-O</t>
  </si>
  <si>
    <t>MDT-DRTSPL-2015-2865-EXTERNO</t>
  </si>
  <si>
    <t>MDT-DRTSPL-2015-2325-M</t>
  </si>
  <si>
    <t>MDT-DRTSPL-2015-1290-O</t>
  </si>
  <si>
    <t>MDT-DRTSPL-2015-2874-EXTERNO</t>
  </si>
  <si>
    <t>MDT-DRTSPL-2015-1313-O</t>
  </si>
  <si>
    <t xml:space="preserve">Antonio Arquimides Jumbo Piedra </t>
  </si>
  <si>
    <t>MDT-DRTSPL-2015-2875-EXTERNO</t>
  </si>
  <si>
    <t>MDT-DRTSPL-2015-2351-M</t>
  </si>
  <si>
    <t>MDT-DRTSPL-2015-1325-O</t>
  </si>
  <si>
    <t>MDT-DRTSPL-2015-2888-EXTERNO</t>
  </si>
  <si>
    <t>MDT-DRTSPL-2015-2334-M</t>
  </si>
  <si>
    <t>MDT-DRTSPL-2015-1298-O</t>
  </si>
  <si>
    <t>EN620852803EC</t>
  </si>
  <si>
    <t>MDT-DRTSPL-2015-2890-EXTERNO</t>
  </si>
  <si>
    <t>MDT-DRTSPL-2015-1278-O</t>
  </si>
  <si>
    <t xml:space="preserve">Jerson Paul Romero Torres </t>
  </si>
  <si>
    <t>MDT-DRTSPL-2015-2892-EXTERNO</t>
  </si>
  <si>
    <t>MDT-DRTSPL-2015-2333-M</t>
  </si>
  <si>
    <t>MDT-DRTSPL-2015-1297-O</t>
  </si>
  <si>
    <t>MDT-DRTSPL-2015-2901-EXTERNO</t>
  </si>
  <si>
    <t>MDT-DRTSPL-2015-2353-M</t>
  </si>
  <si>
    <t>MDT-DRTSPL-2015-1332-O</t>
  </si>
  <si>
    <t>EN620915786EC</t>
  </si>
  <si>
    <t>MDT-DRTSPL-2015-2902-EXTERNO</t>
  </si>
  <si>
    <t>MDT-DRTSPL-2015-2355-M</t>
  </si>
  <si>
    <t>MDT-DRTSPL-2015-1328-O</t>
  </si>
  <si>
    <t>MDT-DRTSPL-2015-2904-EXTERNO</t>
  </si>
  <si>
    <t>MDT-DRTSPL-2015-2357-M</t>
  </si>
  <si>
    <t>MDT-DRTSPL-2015-1330-O</t>
  </si>
  <si>
    <t>EN620915790EC</t>
  </si>
  <si>
    <t>MDT-DRTSPL-2015-2905-EXTERNO</t>
  </si>
  <si>
    <t>MDT-DRTSPL-2015-2354-M</t>
  </si>
  <si>
    <t>MDT-DRTSPL-2015-1327-O</t>
  </si>
  <si>
    <t>MDT-DRTSPL-2015-2907-EXTERNO</t>
  </si>
  <si>
    <t>MDT-DRTSPL-2015-2359-M</t>
  </si>
  <si>
    <t>MDT-DRTSPL-2015-1331-O</t>
  </si>
  <si>
    <t>EN620915809EC</t>
  </si>
  <si>
    <t>MDT-DRTSPL-2015-2909-EXTERNO</t>
  </si>
  <si>
    <t>MDT-DRTSPL-2015-1329-O</t>
  </si>
  <si>
    <t>MDT-DRTSPL-2015-2910-EXTERNO</t>
  </si>
  <si>
    <t>MDT-DRTSPL-2015-2360-M</t>
  </si>
  <si>
    <t>MDT-DRTSPL-2015-1333-O</t>
  </si>
  <si>
    <t>MDT-DRTSPL-2015-2911-EXTERNO</t>
  </si>
  <si>
    <t>MDT-DRTSPL-2015-2361-M</t>
  </si>
  <si>
    <t>MDT-DRTSPL-2015-1334-O</t>
  </si>
  <si>
    <t>MDT-DRTSPL-2015-2912-EXTERNO</t>
  </si>
  <si>
    <t>MDT-DRTSPL-2015-2363-M</t>
  </si>
  <si>
    <t>MDT-DRTSPL-2015-1335-O</t>
  </si>
  <si>
    <t>MDT-DRTSPL-2015-2914-EXTERNO</t>
  </si>
  <si>
    <t>MDT-DRTSPL-2015-2365-M</t>
  </si>
  <si>
    <t>MDT-DRTSPL-2015-1336-O</t>
  </si>
  <si>
    <t>MDT-DRTSPL-2015-2915-EXTERNO</t>
  </si>
  <si>
    <t>MDT-DRTSPL-2015-2366-M</t>
  </si>
  <si>
    <t>MDT-DRTSPL-2015-1337-O</t>
  </si>
  <si>
    <t>MDT-DRTSPL-2015-2917-EXTERNO</t>
  </si>
  <si>
    <t>MDT-DRTSPL-2015-1277-O</t>
  </si>
  <si>
    <t xml:space="preserve">Zoila Piedad Rengel Santin </t>
  </si>
  <si>
    <t>MDT-DRTSPL-2015-2919-EXTERNO</t>
  </si>
  <si>
    <t>MDT-DRTSPL-2015-2338-M</t>
  </si>
  <si>
    <t>MDT-DRTSPL-2015-1534-O</t>
  </si>
  <si>
    <t>MDT-DRTSPL-2015-2920-EXTERNO</t>
  </si>
  <si>
    <t>MDT-DRTSPL-2015-2399-M</t>
  </si>
  <si>
    <t>MDT-DRTSPL-2015-1357-O</t>
  </si>
  <si>
    <t>MDT-DRTSPL-2015-2921-EXTERNO</t>
  </si>
  <si>
    <t>MDT-DRTSPL-2015-1360-O</t>
  </si>
  <si>
    <t>FISCALIA</t>
  </si>
  <si>
    <t xml:space="preserve">Rodrigo Galván Calderón </t>
  </si>
  <si>
    <t>MDT-DRTSPL-2015-2922-EXTERNO</t>
  </si>
  <si>
    <t>MDT-DRTSPL-2015-1315-O</t>
  </si>
  <si>
    <t xml:space="preserve">Pablo Anibal Riofrio Ojeda </t>
  </si>
  <si>
    <t>MDT-DRTSPL-2015-2923-EXTERNO</t>
  </si>
  <si>
    <t>MDT-DRTSPL-2015-2446-M</t>
  </si>
  <si>
    <t>MDT-DRTSPL-2015-1411-O</t>
  </si>
  <si>
    <t>EN621280452EC</t>
  </si>
  <si>
    <t>MDT-DRTSPL-2015-2924-EXTERNO</t>
  </si>
  <si>
    <t xml:space="preserve"> MDT-DRTSPQ-2015-2359, MDT-DSG-2015-2420-MEMORANDO, MDT-DRTSPL-2015-2924-EXTERNO</t>
  </si>
  <si>
    <t xml:space="preserve">Franco Astudillo Montalvan </t>
  </si>
  <si>
    <t>MDT-DRTSPL-2015-2925-EXTERNO</t>
  </si>
  <si>
    <t>MDT-DRTSPL-2015-2476-M</t>
  </si>
  <si>
    <t>MDT-DRTSPL-2015-1417-O</t>
  </si>
  <si>
    <t>MDT-DRTSPL-2015-2929-EXTERNO</t>
  </si>
  <si>
    <t>MDT-DRTSPL-2015-1340-O</t>
  </si>
  <si>
    <t xml:space="preserve">Cecilia del Carmen Suescun Rivas </t>
  </si>
  <si>
    <t>MDT-DRTSPL-2015-2932-EXTERNO</t>
  </si>
  <si>
    <t>MDT-DRTSPL-2015-1341-O</t>
  </si>
  <si>
    <t xml:space="preserve">Thalia del Cisne Armijos Quiroga </t>
  </si>
  <si>
    <t>MDT-DRTSPL-2015-2933-EXTERNO</t>
  </si>
  <si>
    <t>MDT-DRTSPL-2015-1342-O</t>
  </si>
  <si>
    <t xml:space="preserve">Jack Andres Flores Vire </t>
  </si>
  <si>
    <t>MDT-DRTSPL-2015-2934-EXTERNO</t>
  </si>
  <si>
    <t>MDT-DRTSPL-2015-1339-O</t>
  </si>
  <si>
    <t xml:space="preserve">Mayra Susana Ramirez Macas </t>
  </si>
  <si>
    <t>MDT-DRTSPL-2015-2943-EXTERNO</t>
  </si>
  <si>
    <t>MDT-DRTSPL-2015-2339-M</t>
  </si>
  <si>
    <t>MDT-DRTSPL-2015-1316-O</t>
  </si>
  <si>
    <t>MDT-DRTSPL-2015-2948-EXTERNO</t>
  </si>
  <si>
    <t>MDT-DRTSPL-2015-2401-M</t>
  </si>
  <si>
    <t>MDT-DRTSPL-2015-1368-O</t>
  </si>
  <si>
    <t>EN621062435EC</t>
  </si>
  <si>
    <t>MDT-DRTSPL-2015-2954-EXTERNO</t>
  </si>
  <si>
    <t>MDT-DRTSPL-2015-2481-M</t>
  </si>
  <si>
    <t>MDT-DRTSPL-2015-1416-O</t>
  </si>
  <si>
    <t xml:space="preserve">Guido Raul Castillo Abad </t>
  </si>
  <si>
    <t>EN621280435EC</t>
  </si>
  <si>
    <t>MDT-DRTSPL-2015-2955-EXTERNO</t>
  </si>
  <si>
    <t>MDT-DRTSPL-2015-1343-O</t>
  </si>
  <si>
    <t xml:space="preserve">Maria Delicia Tene Ocampos </t>
  </si>
  <si>
    <t>MDT-DRTSPL-2015-2956-EXTERNO</t>
  </si>
  <si>
    <t>MDT-DRTSPL-2015-2444-M</t>
  </si>
  <si>
    <t>MDT-DRTSPL-2015-1394-O</t>
  </si>
  <si>
    <t>EN621062452EC</t>
  </si>
  <si>
    <t>MDT-DRTSPL-2015-2957-EXTERNO</t>
  </si>
  <si>
    <t>MDT-DRTSPL-2015-2439-M</t>
  </si>
  <si>
    <t>MDT-DRTSPL-2015-1385-O</t>
  </si>
  <si>
    <t>MDT-DRTSPL-2015-2960-EXTERNO</t>
  </si>
  <si>
    <t>MDT-DRTSPL-2015-2438-M</t>
  </si>
  <si>
    <t>MDT-DRTSPL-2015-1386-O</t>
  </si>
  <si>
    <t>MDT-DRTSPL-2015-2961-EXTERNO</t>
  </si>
  <si>
    <t>MDT-DRTSPL-2015-2437-M</t>
  </si>
  <si>
    <t>MDT-DRTSPL-2015-1387-O</t>
  </si>
  <si>
    <t>MDT-DRTSPL-2015-2962-EXTERNO</t>
  </si>
  <si>
    <t>MDT-DRTSPL-2015-2436-M</t>
  </si>
  <si>
    <t>MDT-DRTSPL-2015-1388-O</t>
  </si>
  <si>
    <t>MDT-DRTSPL-2015-2963-EXTERNO</t>
  </si>
  <si>
    <t>MDT-DRTSPL-2015-2435-M</t>
  </si>
  <si>
    <t>MDT-DRTSPL-2015-1389-O</t>
  </si>
  <si>
    <t>MDT-DRTSPL-2015-2964-EXTERNO</t>
  </si>
  <si>
    <t>MDT-DRTSPL-2015-2434-M</t>
  </si>
  <si>
    <t>MDT-DRTSPL-2015-1390-O</t>
  </si>
  <si>
    <t>MDT-DRTSPL-2015-2965-EXTERNO</t>
  </si>
  <si>
    <t>MDT-DRTSPL-2015-2433-M</t>
  </si>
  <si>
    <t>MDT-DRTSPL-2015-1391-O</t>
  </si>
  <si>
    <t>MDT-DRTSPL-2015-2966-EXTERNO</t>
  </si>
  <si>
    <t>MDT-DRTSPL-2015-2432-M</t>
  </si>
  <si>
    <t>MDT-DRTSPL-2015-1420-O</t>
  </si>
  <si>
    <t>MDT-DRTSPL-2015-2967-EXTERNO</t>
  </si>
  <si>
    <t>MDT-DRTSPL-2015-2427-M</t>
  </si>
  <si>
    <t>MDT-DRTSPL-2015-1392-O</t>
  </si>
  <si>
    <t>MDT-DRTSPL-2015-2968-EXTERNO</t>
  </si>
  <si>
    <t>MDT-DRTSPL-2015-2426-M</t>
  </si>
  <si>
    <t>MDT-DRTSPL-2015-1393-O</t>
  </si>
  <si>
    <t>MDT-DRTSPL-2015-2972-EXTERNO</t>
  </si>
  <si>
    <t>MDT-DRTSPL-2015-2423-M</t>
  </si>
  <si>
    <t>MDT-DRTSPL-2015-1410-O</t>
  </si>
  <si>
    <t>MDT-DRTSPL-2015-2976-EXTERNO</t>
  </si>
  <si>
    <t>MDT-DRTSPL-2015-1349-O</t>
  </si>
  <si>
    <t xml:space="preserve">Jose Servilio Sarango Varzallo </t>
  </si>
  <si>
    <t>MDT-DRTSPL-2015-2977-EXTERNO</t>
  </si>
  <si>
    <t>MDT-DRTSPL-2015-2422-M</t>
  </si>
  <si>
    <t>MDT-DRTSPL-2015-1371-O</t>
  </si>
  <si>
    <t>MDT-DRTSPL-2015-2978-EXTERNO</t>
  </si>
  <si>
    <t>MDT-DRTSPL-2015-1322-O</t>
  </si>
  <si>
    <t xml:space="preserve">Ronald Tito Loayza Apolo </t>
  </si>
  <si>
    <t>MDT-DRTSPL-2015-2979-EXTERNO</t>
  </si>
  <si>
    <t>MDT-DRTSPL-2015-1344-O</t>
  </si>
  <si>
    <t xml:space="preserve">Lucia Elizabeth Gonzalez Lapo </t>
  </si>
  <si>
    <t>MDT-DRTSPL-2015-2980-EXTERNO</t>
  </si>
  <si>
    <t>MDT-DRTSPL-2015-2421-M</t>
  </si>
  <si>
    <t>MDT-DRTSPL-2015-1381-O</t>
  </si>
  <si>
    <t>MDT-DRTSPL-2015-2981-EXTERNO</t>
  </si>
  <si>
    <t>MDT-DRTSPL-2015-2419-M</t>
  </si>
  <si>
    <t>MDT-DRTSPL-2015-1382-O</t>
  </si>
  <si>
    <t xml:space="preserve">Pablo Muñoz Abarca </t>
  </si>
  <si>
    <t>MDT-DRTSPL-2015-2982-EXTERNO</t>
  </si>
  <si>
    <t>MDT-DRTSPL-2015-2410-M</t>
  </si>
  <si>
    <t>MDT-DRTSPL-2015-1361-O</t>
  </si>
  <si>
    <t>EN621062466EC</t>
  </si>
  <si>
    <t>MDT-DRTSPL-2015-2983-EXTERNO</t>
  </si>
  <si>
    <t>MDT-DRTSPL-2015-2409-M</t>
  </si>
  <si>
    <t>MDT-DRTSPL-2015-1369-O</t>
  </si>
  <si>
    <t>MDT-DRTSPL-2015-2984-EXTERNO</t>
  </si>
  <si>
    <t>MDT-DRTSPL-2015-2408-M</t>
  </si>
  <si>
    <t>MDT-DRTSPL-2015-1359-O</t>
  </si>
  <si>
    <t>MDT-DRTSPL-2015-2985-EXTERNO</t>
  </si>
  <si>
    <t>MDT-DRTSPL-2015-2407-M</t>
  </si>
  <si>
    <t>MDT-DRTSPL-2015-1362-O</t>
  </si>
  <si>
    <t>MDT-DRTSPL-2015-2986-EXTERNO</t>
  </si>
  <si>
    <t>MDT-DRTSPL-2015-2406-M</t>
  </si>
  <si>
    <t>MDT-DRTSPL-2015-1363-O</t>
  </si>
  <si>
    <t>MDT-DRTSPL-2015-2990-EXTERNO</t>
  </si>
  <si>
    <t>MDT-DRTSPL-2015-1345-O</t>
  </si>
  <si>
    <t xml:space="preserve">Mary Elizabeth Tillaguango Abad </t>
  </si>
  <si>
    <t>MDT-DRTSPL-2015-2993-EXTERNO</t>
  </si>
  <si>
    <t>MDT-DRTSPL-2015-2415-M</t>
  </si>
  <si>
    <t>MDT-DRTSPL-2015-1376-O</t>
  </si>
  <si>
    <t>MDT-DRTSPL-2015-2994-EXTERNO</t>
  </si>
  <si>
    <t>MDT-DRTSPL-2015-2405-M</t>
  </si>
  <si>
    <t>MDT-DRTSPL-2015-1364-O</t>
  </si>
  <si>
    <t>MDT-DRTSPL-2015-2995-EXTERNO</t>
  </si>
  <si>
    <t>MDT-DRTSPL-2015-2414-M</t>
  </si>
  <si>
    <t>MDT-DRTSPL-2015-1399-O, 1373-O</t>
  </si>
  <si>
    <t>MDT-DRTSPL-2015-2996-EXTERNO</t>
  </si>
  <si>
    <t>MDT-DRTSPL-2015-2443-M</t>
  </si>
  <si>
    <t>MDT-DRTSPL-2015-1421-O</t>
  </si>
  <si>
    <t>MDT-DRTSPL-2015-2997-EXTERNO</t>
  </si>
  <si>
    <t>MDT-DRTSPL-2015-2413-M</t>
  </si>
  <si>
    <t>MDT-DRTSPL-2015-1374-O</t>
  </si>
  <si>
    <t>MDT-DRTSPL-2015-2999-EXTERNO</t>
  </si>
  <si>
    <t>MDT-DRTSPL-2015-3018-M</t>
  </si>
  <si>
    <t>MDT-DRTSPL-2015-1870-O</t>
  </si>
  <si>
    <t>MDT-DRTSPL-2015-3000-EXTERNO</t>
  </si>
  <si>
    <t>MDT-DRTSPL-2015-2550-M</t>
  </si>
  <si>
    <t>MDT-DRTSPL-2015-1469-O</t>
  </si>
  <si>
    <t>MDT-DRTSPL-2015-3001-EXTERNO</t>
  </si>
  <si>
    <t>MDT-DRTSPL-2015-2404-M</t>
  </si>
  <si>
    <t>MDT-DRTSPL-2015-1365-O</t>
  </si>
  <si>
    <t>MDT-DRTSPL-2015-3002-EXTERNO</t>
  </si>
  <si>
    <t>MDT-DRTSPL-2015-2403-M</t>
  </si>
  <si>
    <t>MDT-DRTSPL-2015-1366-O</t>
  </si>
  <si>
    <t>MDT-DRTSPL-2015-3003-EXTERNO</t>
  </si>
  <si>
    <t>MDT-DSG-2015-2291-MEMORANDO</t>
  </si>
  <si>
    <t xml:space="preserve">  Luis Miguel Quezada Coba</t>
  </si>
  <si>
    <t>DIRECCION REGIONAL DEL TRABAJO Y SERVICIO PÚBLICO DE QUITO</t>
  </si>
  <si>
    <t>MDT-DRTSPL-2015-1384-O</t>
  </si>
  <si>
    <t>Mercy Hortencia Uchuari Ordóñez</t>
  </si>
  <si>
    <t>MDT-DRTSPL-2015-3011-EXTERNO</t>
  </si>
  <si>
    <t>MDT-DRTSPL-2015-2402-M</t>
  </si>
  <si>
    <t>MDT-DRTSPL-2015-1367-O</t>
  </si>
  <si>
    <t>MDT-DRTSPL-2015-3013-EXTERNO</t>
  </si>
  <si>
    <t>MDT-DRTSPL-2015-2618-M</t>
  </si>
  <si>
    <t>MDT-DRTSPL-2015-1507-O</t>
  </si>
  <si>
    <t>MDT-DRTSPL-2015-3014-EXTERNO</t>
  </si>
  <si>
    <t>MDT-DRTSPQ-2015-2435</t>
  </si>
  <si>
    <t>Rommel Fernando Espín López</t>
  </si>
  <si>
    <t>MDT-DRTSPL-2015-1565-O</t>
  </si>
  <si>
    <t xml:space="preserve">Lidia Amorfilia Ruiz Salazar </t>
  </si>
  <si>
    <t>MDT-DRTSPL-2015-3015-EXTERNO</t>
  </si>
  <si>
    <t>MDT-DRTSPL-2015-1377-O. 1346-O</t>
  </si>
  <si>
    <t>MDT-DRTSPL-2015-3018-EXTERNO</t>
  </si>
  <si>
    <t>MDT-DRTSPL-2015-2500-M</t>
  </si>
  <si>
    <t>MDT-DRTSPL-2015-1466-O</t>
  </si>
  <si>
    <t xml:space="preserve">Manuel Eduardo Lozada Villegas </t>
  </si>
  <si>
    <t>MDT-DRTSPL-2015-3020-EXTERNO</t>
  </si>
  <si>
    <t>MDT-DRTSPL-2015-2503-M</t>
  </si>
  <si>
    <t>MDT-DRTSPL-2015-1414-O</t>
  </si>
  <si>
    <t xml:space="preserve">David Alberto Astudillo Celi </t>
  </si>
  <si>
    <t>EN621280449EC</t>
  </si>
  <si>
    <t>MDT-DRTSPL-2015-3021-EXTERNO</t>
  </si>
  <si>
    <t>MDT-DRTSPL-2015-1396-O</t>
  </si>
  <si>
    <t xml:space="preserve">German Abrigo Puchaicela </t>
  </si>
  <si>
    <t>MDT-DRTSPL-2015-3034-EXTERNO</t>
  </si>
  <si>
    <t>MDT-DRTSPL-2015-2505-M</t>
  </si>
  <si>
    <t>MDT-DRTSPL-2015-1413-O</t>
  </si>
  <si>
    <t>MDT-DRTSPL-2015-3036-EXTERNO</t>
  </si>
  <si>
    <t>MDT-DRTSPL-2015-2506-M</t>
  </si>
  <si>
    <t>MDT-DRTSPL-2015-1412-O</t>
  </si>
  <si>
    <t>MDT-DRTSPL-2015-3040-EXTERNO</t>
  </si>
  <si>
    <t>MDT-DRTSPL-2015-1347-O</t>
  </si>
  <si>
    <t xml:space="preserve">Bethi Liliana Narvaez Calva </t>
  </si>
  <si>
    <t>MDT-DRTSPL-2015-3054-EXTERNO</t>
  </si>
  <si>
    <t>MDT-DRTSPL-2015-1354-O</t>
  </si>
  <si>
    <t xml:space="preserve">Ricardo Geovanny Guayllas Cuenca </t>
  </si>
  <si>
    <t>MDT-DRTSPL-2015-3063-EXTERNO</t>
  </si>
  <si>
    <t>MDT-DRTSPL-2015-1397-O</t>
  </si>
  <si>
    <t xml:space="preserve">Miryan Jackeline Morocho Guzman </t>
  </si>
  <si>
    <t>MDT-DRTSPL-2015-3065-EXTERNO</t>
  </si>
  <si>
    <t>MDT-DRTSPL-2015-1398-O</t>
  </si>
  <si>
    <t xml:space="preserve">Jose Juvenal Murquincho Murquincho </t>
  </si>
  <si>
    <t>MDT-DRTSPL-2015-3075-EXTERNO</t>
  </si>
  <si>
    <t>MDT-DRTSPL-2015-2514-M</t>
  </si>
  <si>
    <t>MDT-DRTSPL-2015-1423-O</t>
  </si>
  <si>
    <t xml:space="preserve">Darwin Heverladi León Gaona </t>
  </si>
  <si>
    <t>MDT-DRTSPL-2015-3076-EXTERNO</t>
  </si>
  <si>
    <t>MDT-DRTSPL-2015-2553-M</t>
  </si>
  <si>
    <t>MDT-DRTSPL-2015-1473-O</t>
  </si>
  <si>
    <t>MDT-DRTSPL-2015-3080-EXTERNO</t>
  </si>
  <si>
    <t>MDT-DRTSPL-2015-1436-O</t>
  </si>
  <si>
    <t xml:space="preserve">Miguel Alcivar Granda Granda </t>
  </si>
  <si>
    <t>MDT-DRTSPL-2015-3083-EXTERNO</t>
  </si>
  <si>
    <t>MDT-DRTSPL-2015-1400-O</t>
  </si>
  <si>
    <t xml:space="preserve">Danilo Fernando Loja Maldonado </t>
  </si>
  <si>
    <t>MDT-DRTSPL-2015-3086-EXTERNO</t>
  </si>
  <si>
    <t>MDT-DRTSPL-2015-1401-O</t>
  </si>
  <si>
    <t xml:space="preserve">David Andres Gomez Rengel </t>
  </si>
  <si>
    <t>MDT-DRTSPL-2015-3092-EXTERNO</t>
  </si>
  <si>
    <t>MDT-DRTSPL-2015-2515-M</t>
  </si>
  <si>
    <t>MDT-DRTSPL-2015-1422-O</t>
  </si>
  <si>
    <t xml:space="preserve">Marco Vinicio Jaramillo Fierro </t>
  </si>
  <si>
    <t>MDT-DRTSPL-2015-3095-EXTERNO</t>
  </si>
  <si>
    <t>MDT-DSG-2015-2311-MEMORANDO</t>
  </si>
  <si>
    <t>MDT-DRTSPL-2015-1497-O</t>
  </si>
  <si>
    <t>MDT-DRTSPL-2015-3096-EXTERNO</t>
  </si>
  <si>
    <t>MDT-DSG-2015-2314-MEMORANDO</t>
  </si>
  <si>
    <t>MDT-DRTSPL-2015-1498-O</t>
  </si>
  <si>
    <t>MDT-DRTSPL-2015-3098-EXTERNO</t>
  </si>
  <si>
    <t>MDT-DRTSPL-2015-2516-M</t>
  </si>
  <si>
    <t>MDT-DRTSPL-2015-1429-O</t>
  </si>
  <si>
    <t>MDT-DRTSPL-2015-3099-EXTERNO</t>
  </si>
  <si>
    <t>MDT-DRTSPL-2015-2560-M</t>
  </si>
  <si>
    <t>MDT-DRTSPL-2015-1470-O</t>
  </si>
  <si>
    <t>EN621363072EC</t>
  </si>
  <si>
    <t>MDT-DRTSPL-2015-3100-EXTERNO</t>
  </si>
  <si>
    <t>MDT-DRTSPL-2015-2561-M</t>
  </si>
  <si>
    <t>MDT-DRTSPL-2015-1472-O</t>
  </si>
  <si>
    <t>MDT-DRTSPL-2015-3101-EXTERNO</t>
  </si>
  <si>
    <t>MDT-DRTSPL-2015-1395-O</t>
  </si>
  <si>
    <t>EN621062449EC</t>
  </si>
  <si>
    <t>MDT-DRTSPL-2015-3104-EXTERNO</t>
  </si>
  <si>
    <t>MDT-DRTSPL-2015-2518-M</t>
  </si>
  <si>
    <t>MDT-DRTSPL-2015-1428-O</t>
  </si>
  <si>
    <t>MDT-DRTSPL-2015-3105-EXTERNO</t>
  </si>
  <si>
    <t>MDT-DRTSPL-2015-2520-M</t>
  </si>
  <si>
    <t>MDT-DRTSPL-2015-1427-O</t>
  </si>
  <si>
    <t>MDT-DRTSPL-2015-3106-EXTERNO</t>
  </si>
  <si>
    <t>MDT-DRTSPL-2015-2521-M</t>
  </si>
  <si>
    <t>MDT-DRTSPL-2015-1426-O</t>
  </si>
  <si>
    <t>MDT-DRTSPL-2015-3107-EXTERNO</t>
  </si>
  <si>
    <t>MDT-DRTSPL-2015-2531-M</t>
  </si>
  <si>
    <t>MDT-DRTSPL-2015-1425-O</t>
  </si>
  <si>
    <t>MDT-DRTSPL-2015-3108-EXTERNO</t>
  </si>
  <si>
    <t>MDT-DRTSPL-2015-2537-M</t>
  </si>
  <si>
    <t>MDT-DRTSPL-2015-1424-O</t>
  </si>
  <si>
    <t>MDT-DRTSPL-2015-3109-EXTERNO</t>
  </si>
  <si>
    <t>MDT-DRTSPL-2015-2539-M</t>
  </si>
  <si>
    <t>MDT-DRTSPL-2015-1463-O</t>
  </si>
  <si>
    <t>MDT-DRTSPL-2015-3110-EXTERNO</t>
  </si>
  <si>
    <t>MDT-DRTSPL-2015-2540-M</t>
  </si>
  <si>
    <t>MDT-DRTSPL-2015-1433-O</t>
  </si>
  <si>
    <t>MDT-DRTSPL-2015-3111-EXTERNO</t>
  </si>
  <si>
    <t>MDT-DRTSPL-2015-2541-M</t>
  </si>
  <si>
    <t>MDT-DRTSPL-2015-1432-O</t>
  </si>
  <si>
    <t>MDT-DRTSPL-2015-3112-EXTERNO</t>
  </si>
  <si>
    <t>MDT-DRTSPL-2015-2542-M</t>
  </si>
  <si>
    <t>MDT-DRTSPL-2015-1431-O</t>
  </si>
  <si>
    <t>MDT-DRTSPL-2015-3113-EXTERNO</t>
  </si>
  <si>
    <t>MDT-DRTSPL-2015-2543-M</t>
  </si>
  <si>
    <t>MDT-DRTSPL-2015-1430-O</t>
  </si>
  <si>
    <t>MDT-DRTSPL-2015-3114-EXTERNO</t>
  </si>
  <si>
    <t>MDT-DRTSPL-2015-1437-O</t>
  </si>
  <si>
    <t xml:space="preserve">Victor Ignacio Gomez Ojeda </t>
  </si>
  <si>
    <t>MDT-DRTSPL-2015-3130-EXTERNO</t>
  </si>
  <si>
    <t>MDT-DRTSPL-2015-1402-O</t>
  </si>
  <si>
    <t xml:space="preserve">Roque Aurelio Masache Jumbo </t>
  </si>
  <si>
    <t>MDT-DRTSPL-2015-3136-EXTERNO</t>
  </si>
  <si>
    <t>MDT-DRTSPL-2015-1407-O</t>
  </si>
  <si>
    <t xml:space="preserve">Jorge Marcelo Gallardo Salcedo </t>
  </si>
  <si>
    <t>MDT-DRTSPL-2015-3137-EXTERNO</t>
  </si>
  <si>
    <t>MDT-DRTSPL-2015-1403-O</t>
  </si>
  <si>
    <t xml:space="preserve">William Edixon Guerrero Cuesta </t>
  </si>
  <si>
    <t>MDT-DRTSPL-2015-3140-EXTERNO</t>
  </si>
  <si>
    <t>MDT-DRTSPL-2015-1405-O</t>
  </si>
  <si>
    <t xml:space="preserve">Jorge Oswaldo Barrionuevo Erreyes </t>
  </si>
  <si>
    <t>MDT-DRTSPL-2015-3142-EXTERNO</t>
  </si>
  <si>
    <t>MDT-DRTSPL-2015-1404-O</t>
  </si>
  <si>
    <t xml:space="preserve">Rosa Josefina Medina Ordoñez </t>
  </si>
  <si>
    <t>MDT-DRTSPL-2015-3152-EXTERNO</t>
  </si>
  <si>
    <t>MDT-DRTSPL-2015-2510-M</t>
  </si>
  <si>
    <t>MDT-DRTSPL-2015-1464-O</t>
  </si>
  <si>
    <t>MDT-DRTSPL-2015-3153-EXTERNO</t>
  </si>
  <si>
    <t>MDT-DRTSPL-2015-1406-O</t>
  </si>
  <si>
    <t xml:space="preserve">Guadalupe Raquel Condor Bustamante </t>
  </si>
  <si>
    <t>MDT-DRTSPL-2015-3155-EXTERNO</t>
  </si>
  <si>
    <t>MDT-DRTSPL-2015-2509-M</t>
  </si>
  <si>
    <t>MDT-DRTSPL-2015-1419-O</t>
  </si>
  <si>
    <t>MDT-DRTSPL-2015-3156-EXTERNO</t>
  </si>
  <si>
    <t>MDT-DRTSPL-2015-2508-M</t>
  </si>
  <si>
    <t>MDT-DRTSPL-2015-1409-O</t>
  </si>
  <si>
    <t xml:space="preserve">María Eugenia Mogollón </t>
  </si>
  <si>
    <t>MDT-DRTSPL-2015-3163-EXTERNO</t>
  </si>
  <si>
    <t>MDT-DRTSPL-2015-1585-O</t>
  </si>
  <si>
    <t xml:space="preserve">Elsa Judith Masa Maza </t>
  </si>
  <si>
    <t>MDT-DRTSPL-2015-3167-EXTERNO</t>
  </si>
  <si>
    <t>MDT-DRTSPL-2015-1506-O</t>
  </si>
  <si>
    <t xml:space="preserve">Juana Castillo Cumbicos </t>
  </si>
  <si>
    <t>MDT-DRTSPL-2015-3173-EXTERNO</t>
  </si>
  <si>
    <t>MDT-DRTSPL-2015-1438-O</t>
  </si>
  <si>
    <t xml:space="preserve">Manuel Policarpio Carrion Alvarez </t>
  </si>
  <si>
    <t>MDT-DRTSPL-2015-3174-EXTERNO</t>
  </si>
  <si>
    <t>MDT-DRTSPL-2015-1439-O</t>
  </si>
  <si>
    <t xml:space="preserve">Mariana Enith Bravo Valarezo </t>
  </si>
  <si>
    <t>MDT-DRTSPL-2015-3178-EXTERNO</t>
  </si>
  <si>
    <t>MDT-DRTSPL-2015-2769-M</t>
  </si>
  <si>
    <t>MDT-DRTSPL-2015-1603-O</t>
  </si>
  <si>
    <t>MDT-DRTSPL-2015-3179-EXTERNO</t>
  </si>
  <si>
    <t>MDT-DRTSPL-2015-2770-M</t>
  </si>
  <si>
    <t>MDT-DRTSPL-2015-1604-O</t>
  </si>
  <si>
    <t xml:space="preserve">Angel Salvador Orellana Vivanco </t>
  </si>
  <si>
    <t>EN621928503EC</t>
  </si>
  <si>
    <t>MDT-DRTSPL-2015-3180-EXTERNO</t>
  </si>
  <si>
    <t>MDT-DRTSPL-2015-1505-O</t>
  </si>
  <si>
    <t xml:space="preserve">Diego Rafael Poma Quinde </t>
  </si>
  <si>
    <t>MDT-DRTSPL-2015-3182-EXTERNO</t>
  </si>
  <si>
    <t>MDT-DRTSPL-2015-2771-M</t>
  </si>
  <si>
    <t>MDT-DRTSPL-2015-1605-O</t>
  </si>
  <si>
    <t>MDT-DRTSPL-2015-3184-EXTERNO</t>
  </si>
  <si>
    <t>MDT-DRTSPL-2015-2620-M</t>
  </si>
  <si>
    <t>MDT-DRTSPL-2015-1510-O</t>
  </si>
  <si>
    <t>EN621511023EC</t>
  </si>
  <si>
    <t>MDT-DRTSPL-2015-3186-EXTERNO</t>
  </si>
  <si>
    <t>MDT-DRTSPL-2015-2621-M</t>
  </si>
  <si>
    <t>MDT-DRTSPL-2015-1511-O</t>
  </si>
  <si>
    <t>MDT-DRTSPL-2015-3188-EXTERNO</t>
  </si>
  <si>
    <t>MDT-DRTSPL-2015-1440-O</t>
  </si>
  <si>
    <t xml:space="preserve">Irene Esperanza Gonzalez Carreno </t>
  </si>
  <si>
    <t>MDT-DRTSPL-2015-3193-EXTERNO</t>
  </si>
  <si>
    <t>MDT-DRTSPL-2015-1441-O</t>
  </si>
  <si>
    <t>MDT-DRTSPL-2015-3197-EXTERNO</t>
  </si>
  <si>
    <t>MDT-DRTSPL-2015-1500-O</t>
  </si>
  <si>
    <t>MDT-DRTSPL-2015-3198-EXTERNO</t>
  </si>
  <si>
    <t>MDT-DRTSPL-2015-2567-M</t>
  </si>
  <si>
    <t>MDT-DRTSPL-2015-1477-O</t>
  </si>
  <si>
    <t>EN621363069EC</t>
  </si>
  <si>
    <t>MDT-DRTSPL-2015-3199-EXTERNO</t>
  </si>
  <si>
    <t>MDT-DRTSPL-2015-2568-M</t>
  </si>
  <si>
    <t>MDT-DRTSPL-2015-1476-O</t>
  </si>
  <si>
    <t>MDT-DRTSPL-2015-3200-EXTERNO</t>
  </si>
  <si>
    <t>MDT-DRTSPL-2015-2569-M</t>
  </si>
  <si>
    <t>MDT-DRTSPL-2015-1475-O</t>
  </si>
  <si>
    <t>MDT-DRTSPL-2015-3201-EXTERNO</t>
  </si>
  <si>
    <t>MDT-DRTSPL-2015-2570-M</t>
  </si>
  <si>
    <t>MDT-DRTSPL-2015-1474-O</t>
  </si>
  <si>
    <t>MDT-DRTSPL-2015-3202-EXTERNO</t>
  </si>
  <si>
    <t>MDT-DRTSPL-2015-2571-M</t>
  </si>
  <si>
    <t>MDT-DRTSPL-2015-1478-O</t>
  </si>
  <si>
    <t>MDT-DRTSPL-2015-3204-EXTERNO</t>
  </si>
  <si>
    <t>MDT-DRTSPL-2015-1442-O</t>
  </si>
  <si>
    <t xml:space="preserve">Merci Julissa Castillo Rosales </t>
  </si>
  <si>
    <t>MDT-DRTSPL-2015-3205-EXTERNO</t>
  </si>
  <si>
    <t>MDT-DRTSPL-2015-1443-O</t>
  </si>
  <si>
    <t xml:space="preserve">Karina Victoria Quituizaca Correa </t>
  </si>
  <si>
    <t>MDT-DRTSPL-2015-3206-EXTERNO</t>
  </si>
  <si>
    <t>MDT-DRTSPL-2015-2563-M</t>
  </si>
  <si>
    <t>MDT-DRTSPL-2015-1471-O</t>
  </si>
  <si>
    <t>MDT-DRTSPL-2015-3210-EXTERNO</t>
  </si>
  <si>
    <t>MDT-DRTSPL-2015-2646-M</t>
  </si>
  <si>
    <t>MDT-DRTSPL-2015-1512-O</t>
  </si>
  <si>
    <t>MDT-DRTSPL-2015-3215-EXTERNO</t>
  </si>
  <si>
    <t>MDT-DRTSPL-2015-2623-M</t>
  </si>
  <si>
    <t>MDT-DRTSPL-2015-1508-O</t>
  </si>
  <si>
    <t>MDT-DRTSPL-2015-3216-EXTERNO</t>
  </si>
  <si>
    <t>MDT-DRTSPL-2015-2813-M</t>
  </si>
  <si>
    <t>MDT-DRTSPL-2015-1648-O</t>
  </si>
  <si>
    <t>UNIDAD JUDICIAL MULTICOMPETENTE DEL CANTON SARAGURO</t>
  </si>
  <si>
    <t>EN622147295EC</t>
  </si>
  <si>
    <t>MDT-DRTSPL-2015-3229-EXTERNO</t>
  </si>
  <si>
    <t>MDT-DRTSPL-2015-2781-M</t>
  </si>
  <si>
    <t>MDT-DRTSPL-2015-1610-O</t>
  </si>
  <si>
    <t>MDT-DRTSPL-2015-3233-EXTERNO</t>
  </si>
  <si>
    <t>MDT-DRTSPL-2015-1468-O</t>
  </si>
  <si>
    <t xml:space="preserve">Jorge Rolando Castillo Elizalde </t>
  </si>
  <si>
    <t>MDT-DRTSPL-2015-3241-EXTERNO</t>
  </si>
  <si>
    <t>MDT-DRTSPL-2015-1586-O</t>
  </si>
  <si>
    <t xml:space="preserve">Elsita Janneth Sarango Sanchez </t>
  </si>
  <si>
    <t>MDT-DRTSPL-2015-3243-EXTERNO</t>
  </si>
  <si>
    <t>MDT-DRTSPL-2015-1503-O</t>
  </si>
  <si>
    <t xml:space="preserve">Carlos Alfredo Santin Luzuriaga </t>
  </si>
  <si>
    <t>MDT-DRTSPL-2015-3244-EXTERNO</t>
  </si>
  <si>
    <t>MDT-DRTSPL-2015-2780-M</t>
  </si>
  <si>
    <t>MDT-DRTSPL-2015-1609-O</t>
  </si>
  <si>
    <t>MDT-DRTSPL-2015-3245-EXTERNO</t>
  </si>
  <si>
    <t>MDT-DRTSPL-2015-2779-M</t>
  </si>
  <si>
    <t>MDT-DRTSPL-2015-1608-O</t>
  </si>
  <si>
    <t>MDT-DRTSPL-2015-3246-EXTERNO</t>
  </si>
  <si>
    <t>MDT-DRTSPL-2015-1589-O</t>
  </si>
  <si>
    <t xml:space="preserve">Rita Maira Lozano Zozoranga </t>
  </si>
  <si>
    <t>MDT-DRTSPL-2015-3247-EXTERNO</t>
  </si>
  <si>
    <t>MDT-DRTSPL-2015-2778-M</t>
  </si>
  <si>
    <t>MDT-DRTSPL-2015-1615-O</t>
  </si>
  <si>
    <t>MDT-DRTSPL-2015-3248-EXTERNO</t>
  </si>
  <si>
    <t>MDT-DRTSPL-2015-2774-M</t>
  </si>
  <si>
    <t>MDT-DRTSPL-2015-1607-O</t>
  </si>
  <si>
    <t>MDT-DRTSPL-2015-3250-EXTERNO</t>
  </si>
  <si>
    <t>MDT-DRTSPL-2015-1588-O</t>
  </si>
  <si>
    <t xml:space="preserve">Edisson Manuel Orellana Rojas </t>
  </si>
  <si>
    <t>MDT-DRTSPL-2015-3253-EXTERNO</t>
  </si>
  <si>
    <t>MDT-DRTSPL-2015-2772-M</t>
  </si>
  <si>
    <t>MDT-DRTSPL-2015-1606-O</t>
  </si>
  <si>
    <t xml:space="preserve">Alvaro Reyes Abarca </t>
  </si>
  <si>
    <t>MDT-DRTSPL-2015-3255-EXTERNO</t>
  </si>
  <si>
    <t>MDT-DRTSPL-2015-1502-O</t>
  </si>
  <si>
    <t xml:space="preserve">Jorge Raul Ochoa Tello </t>
  </si>
  <si>
    <t>MDT-DRTSPL-2015-3260-EXTERNO</t>
  </si>
  <si>
    <t>MDT-DRTSPL-2015-1587-O</t>
  </si>
  <si>
    <t xml:space="preserve">Genesis Lisseth Placencia Ojeda </t>
  </si>
  <si>
    <t>MDT-DRTSPL-2015-3262-EXTERNO</t>
  </si>
  <si>
    <t>MDT-DRTSPL-2015-2782-M</t>
  </si>
  <si>
    <t>MDT-DRTSPL-2015-1611-O</t>
  </si>
  <si>
    <t>MDT-DRTSPL-2015-3263-EXTERNO</t>
  </si>
  <si>
    <t>MDT-DRTSPL-2015-2783-M</t>
  </si>
  <si>
    <t>MDT-DRTSPL-2015-1612-O</t>
  </si>
  <si>
    <t>MDT-DRTSPL-2015-3264-EXTERNO</t>
  </si>
  <si>
    <t>MDT-DRTSPL-2015-2807-M</t>
  </si>
  <si>
    <t xml:space="preserve"> MDT-DRTSPL-2015-1653-O</t>
  </si>
  <si>
    <t>MDT-DRTSPL-2015-3265-EXTERNO</t>
  </si>
  <si>
    <t>MDT-DRTSPL-2015-2784-M</t>
  </si>
  <si>
    <t>MDT-DRTSPL-2015-3274-EXTERNO</t>
  </si>
  <si>
    <t>MDT-DRTSPL-2015-2765-M</t>
  </si>
  <si>
    <t>MDT-DRTSPL-2015-1616-O</t>
  </si>
  <si>
    <t>MDT-DRTSPL-2015-3279-EXTERNO</t>
  </si>
  <si>
    <t>MDT-DRTSPL-2015-1577-O</t>
  </si>
  <si>
    <t xml:space="preserve">Richard Fabricio Quizhpe Chamba </t>
  </si>
  <si>
    <t>MDT-DRTSPL-2015-3281-EXTERNO</t>
  </si>
  <si>
    <t>MDT-DRTSPL-2015-2682-M</t>
  </si>
  <si>
    <t>MDT-DRTSPL-2015-1536-O</t>
  </si>
  <si>
    <t>EN621666025EC</t>
  </si>
  <si>
    <t>MDT-DRTSPL-2015-3283-EXTERNO</t>
  </si>
  <si>
    <t>MDT-DRTSPL-2015-1576-O</t>
  </si>
  <si>
    <t xml:space="preserve">Jose Patricio Gomez Granda </t>
  </si>
  <si>
    <t>MDT-DRTSPL-2015-3284-EXTERNO</t>
  </si>
  <si>
    <t>MDT-DRTSPL-2015-1525-O</t>
  </si>
  <si>
    <t>MDT-DRTSPL-2015-1530-O</t>
  </si>
  <si>
    <t xml:space="preserve">Joseph Paul Quiñones Yaguana </t>
  </si>
  <si>
    <t>MDT-DRTSPL-2015-3285-EXTERNO</t>
  </si>
  <si>
    <t>MDT-DRTSPL-2015-1513-O</t>
  </si>
  <si>
    <t xml:space="preserve">Fredy Edizon Quito Castillo </t>
  </si>
  <si>
    <t>MDT-DRTSPL-2015-3286-EXTERNO</t>
  </si>
  <si>
    <t>MDT-DRTSPL-2015-2776-M</t>
  </si>
  <si>
    <t>MDT-DRTSPL-2015-1690-O</t>
  </si>
  <si>
    <t>EN622147300EC</t>
  </si>
  <si>
    <t>MDT-DRTSPL-2015-3287-EXTERNO</t>
  </si>
  <si>
    <t>MDT-DRTSPL-2015-1538-O</t>
  </si>
  <si>
    <t>MDT-DRTSPL-2015-3288-EXTERNO</t>
  </si>
  <si>
    <t>MDT-DRTSPL-2015-1743-O</t>
  </si>
  <si>
    <t>MDT-DRTSPL-2015-3290-EXTERNO</t>
  </si>
  <si>
    <t>MDT-DRTSPL-2015-1575-O</t>
  </si>
  <si>
    <t xml:space="preserve">Jorge Jhovanny Astudillo Camacho </t>
  </si>
  <si>
    <t>MDT-DRTSPL-2015-3296-EXTERNO</t>
  </si>
  <si>
    <t>MDT-DRTSPL-2015-1499-O</t>
  </si>
  <si>
    <t>MDT-DRTSPL-2015-3297-EXTERNO</t>
  </si>
  <si>
    <t>MDT-DRTSPL-2015-2763-M</t>
  </si>
  <si>
    <t>MDT-DRTSPL-2015-1602-O</t>
  </si>
  <si>
    <t xml:space="preserve">Leonardo Eguiguren B. </t>
  </si>
  <si>
    <t>MDT-DRTSPL-2015-3298-EXTERNO</t>
  </si>
  <si>
    <t>MDT-DRTSPL-2015-1601-O</t>
  </si>
  <si>
    <t>MDT-DRTSPL-2015-3300-EXTERNO</t>
  </si>
  <si>
    <t>MDT-DRTSPL-2015-2762-M</t>
  </si>
  <si>
    <t>MDT-DRTSPL-2015-1574-O</t>
  </si>
  <si>
    <t xml:space="preserve">Betty Efigenia Sarango Guaman </t>
  </si>
  <si>
    <t>MDT-DRTSPL-2015-3301-EXTERNO</t>
  </si>
  <si>
    <t>MDT-DRTSPL-2015-1571-O</t>
  </si>
  <si>
    <t xml:space="preserve">Silvana Karina Romero Romero </t>
  </si>
  <si>
    <t>MDT-DRTSPL-2015-3302-EXTERNO</t>
  </si>
  <si>
    <t>MDT-DRTSPL-2015-1578-O</t>
  </si>
  <si>
    <t xml:space="preserve">Karla Elizabeth Aguirre Valarezo </t>
  </si>
  <si>
    <t>MDT-DRTSPL-2015-3306-EXTERNO</t>
  </si>
  <si>
    <t>MDT-DRTSPL-2015-1519-O</t>
  </si>
  <si>
    <t>EN621665974EC</t>
  </si>
  <si>
    <t>MDT-DRTSPL-2015-3307-EXTERNO</t>
  </si>
  <si>
    <t>MDT-DRTSPL-2015-2667-M</t>
  </si>
  <si>
    <t>MDT-DRTSPL-2015-1524-O</t>
  </si>
  <si>
    <t>MDT-DRTSPL-2015-3308-EXTERNO</t>
  </si>
  <si>
    <t>MDT-DRTSPL-2015-2658-M</t>
  </si>
  <si>
    <t>MDT-DRTSPL-2015-1514-O</t>
  </si>
  <si>
    <t>MDT-DRTSPL-2015-3311-EXTERNO</t>
  </si>
  <si>
    <t>MDT-DRTSPL-2015-1599-O</t>
  </si>
  <si>
    <t>MDT-DRTSPL-2015-3312-EXTERNO</t>
  </si>
  <si>
    <t>MDT-DRTSPL-2015-2766-M</t>
  </si>
  <si>
    <t>MDT-DRTSPL-2015-1582-O</t>
  </si>
  <si>
    <t xml:space="preserve">Jose Antonio Chamba Malla </t>
  </si>
  <si>
    <t>MDT-DRTSPL-2015-3315-EXTERNO</t>
  </si>
  <si>
    <t>MDT-DRTSPL-2015-1532-O</t>
  </si>
  <si>
    <t>MDT-DRTSPL-2015-3320-EXTERNO</t>
  </si>
  <si>
    <t>MDT-DRTSPL-2015-1504-O</t>
  </si>
  <si>
    <t xml:space="preserve">Holger Hernan Romero Santos </t>
  </si>
  <si>
    <t>MDT-DRTSPL-2015-3324-EXTERNO</t>
  </si>
  <si>
    <t>MDT-DRTSPL-2015-1583-O</t>
  </si>
  <si>
    <t xml:space="preserve">Jackeline Elizabeth Granda Sandoval </t>
  </si>
  <si>
    <t>MDT-DRTSPL-2015-3336-EXTERNO</t>
  </si>
  <si>
    <t>MDT-DRTSPL-2015-1533-O</t>
  </si>
  <si>
    <t xml:space="preserve">Iris Piedad Guarderas Arevalo </t>
  </si>
  <si>
    <t>MDT-DRTSPL-2015-3338-EXTERNO</t>
  </si>
  <si>
    <t>MDT-DRTSPL-2015-1584-O</t>
  </si>
  <si>
    <t xml:space="preserve">Gladis Maria Cordova Maza </t>
  </si>
  <si>
    <t>MDT-DRTSPL-2015-3339-EXTERNO</t>
  </si>
  <si>
    <t>MDT-DRTSPL-2015-1528-O</t>
  </si>
  <si>
    <t>MDT-DRTSPL-2015-3340-EXTERNO</t>
  </si>
  <si>
    <t>MDT-DRTSPL-2015-2659-M</t>
  </si>
  <si>
    <t>MDT-DRTSPL-2015-1515-O</t>
  </si>
  <si>
    <t>MDT-DRTSPL-2015-3341-EXTERNO</t>
  </si>
  <si>
    <t>MDT-DRTSPL-2015-2660-M</t>
  </si>
  <si>
    <t>MDT-DRTSPL-2015-1516-O</t>
  </si>
  <si>
    <t>MDT-DRTSPL-2015-3342-EXTERNO</t>
  </si>
  <si>
    <t>MDT-DRTSPL-2015-2664-M</t>
  </si>
  <si>
    <t>MDT-DRTSPL-2015-1527-O</t>
  </si>
  <si>
    <t>MDT-DRTSPL-2015-3343-EXTERNO</t>
  </si>
  <si>
    <t>MDT-DRTSPL-2015-2661-M</t>
  </si>
  <si>
    <t>MDT-DRTSPL-2015-1529-O</t>
  </si>
  <si>
    <t>MDT-DRTSPL-2015-3344-EXTERNO</t>
  </si>
  <si>
    <t>MDT-DRTSPL-2015-2662-M</t>
  </si>
  <si>
    <t>MDT-DRTSPL-2015-1517-O</t>
  </si>
  <si>
    <t>MDT-DRTSPL-2015-3345-EXTERNO</t>
  </si>
  <si>
    <t>MDT-DRTSPL-2015-2665-M</t>
  </si>
  <si>
    <t>MDT-DRTSPL-2015-1526-O</t>
  </si>
  <si>
    <t>MDT-DRTSPL-2015-3346-EXTERNO</t>
  </si>
  <si>
    <t>MDT-DRTSPL-2015-2663-M</t>
  </si>
  <si>
    <t>MDT-DRTSPL-2015-1518-O</t>
  </si>
  <si>
    <t>MDT-DRTSPL-2015-3347-EXTERNO</t>
  </si>
  <si>
    <t>MDT-DRTSPL-2015-2666-M</t>
  </si>
  <si>
    <t>MDT-DRTSPL-2015-1521-O</t>
  </si>
  <si>
    <t>MDT-DRTSPL-2015-3348-EXTERNO</t>
  </si>
  <si>
    <t>MDT-DRTSPL-2015-2671-M</t>
  </si>
  <si>
    <t>MDT-DRTSPL-2015-1520-O</t>
  </si>
  <si>
    <t>MDT-DRTSPL-2015-3349-EXTERNO</t>
  </si>
  <si>
    <t>MDT-DRTSPL-2015-2670-M</t>
  </si>
  <si>
    <t>MDT-DRTSPL-2015-1523-O</t>
  </si>
  <si>
    <t>MDT-DRTSPL-2015-3350-EXTERNO</t>
  </si>
  <si>
    <t>MDT-DRTSPL-2015-2669-M</t>
  </si>
  <si>
    <t>MDT-DRTSPL-2015-1522-O</t>
  </si>
  <si>
    <t>MDT-DRTSPL-2015-3351-EXTERNO</t>
  </si>
  <si>
    <t>MDT-DRTSPL-2015-2668-M</t>
  </si>
  <si>
    <t>MDT-DRTSPL-2015-1614-O</t>
  </si>
  <si>
    <t>MDT-DRTSPL-2015-3352-EXTERNO</t>
  </si>
  <si>
    <t>MDT-DRTSPL-2015-2768-M</t>
  </si>
  <si>
    <t>MDT-DRTSPL-2015-1600-O</t>
  </si>
  <si>
    <t>MDT-DRTSPL-2015-3355-EXTERNO</t>
  </si>
  <si>
    <t>MDT-DRTSPL-2015-2767-M</t>
  </si>
  <si>
    <t>MDT-DRTSPL-2015-1579-O</t>
  </si>
  <si>
    <t xml:space="preserve">Dario Javier Puglla Roman </t>
  </si>
  <si>
    <t>MDT-DRTSPL-2015-3356-EXTERNO</t>
  </si>
  <si>
    <t>MDT-DRTSPL-2015-1580-O</t>
  </si>
  <si>
    <t xml:space="preserve">Dayanna Katherine Guerrero Jaramillo </t>
  </si>
  <si>
    <t>MDT-DRTSPL-2015-3360-EXTERNO</t>
  </si>
  <si>
    <t>MDT-DRTSPL-2015-1581-O</t>
  </si>
  <si>
    <t xml:space="preserve">Stefania Jaramillo Rodriguez </t>
  </si>
  <si>
    <t>MDT-DRTSPL-2015-3363-EXTERNO</t>
  </si>
  <si>
    <t>MDT-DRTSPL-2015-1642-O</t>
  </si>
  <si>
    <t xml:space="preserve">William Patricio Maza Maza </t>
  </si>
  <si>
    <t>MDT-DRTSPL-2015-3373-EXTERNO</t>
  </si>
  <si>
    <t>MDT-DRTSPL-2015-1592-O</t>
  </si>
  <si>
    <t xml:space="preserve">Diana Elizabeth Freire Garcia </t>
  </si>
  <si>
    <t>MDT-DRTSPL-2015-3384-EXTERNO</t>
  </si>
  <si>
    <t>MDT-DRTSPL-2015-2995-M</t>
  </si>
  <si>
    <t>MDT-DRTSPL-2015-1862-O</t>
  </si>
  <si>
    <t>MDT-DRTSPL-2015-3386-EXTERNO</t>
  </si>
  <si>
    <t>MDT-DRTSPL-2015-2812-M</t>
  </si>
  <si>
    <t>MDT-DRTSPL-2015-1649-O</t>
  </si>
  <si>
    <t>MDT-DRTSPL-2015-3387-EXTERNO</t>
  </si>
  <si>
    <t>MDT-DRTSPL-2015-1573-O</t>
  </si>
  <si>
    <t xml:space="preserve">Selsa Guadalupe Barrera Mocha </t>
  </si>
  <si>
    <t>MDT-DRTSPL-2015-3389-EXTERNO</t>
  </si>
  <si>
    <t>MDT-DRTSPL-2015-2809-M</t>
  </si>
  <si>
    <t>MDT-DRTSPL-2015-1652-O</t>
  </si>
  <si>
    <t>MDT-DRTSPL-2015-3390-EXTERNO</t>
  </si>
  <si>
    <t>MDT-DRTSPL-2015-2683-M</t>
  </si>
  <si>
    <t>MDT-DRTSPL-2015-1537-O</t>
  </si>
  <si>
    <t>MDT-DRTSPL-2015-3391-EXTERNO</t>
  </si>
  <si>
    <t>MDT-DRTSPL-2015-2811-M</t>
  </si>
  <si>
    <t>MDT-DRTSPL-2015-1650-O</t>
  </si>
  <si>
    <t>EN622147287EC</t>
  </si>
  <si>
    <t>MDT-DRTSPL-2015-3392-EXTERNO</t>
  </si>
  <si>
    <t>MDT-DRTSPL-2015-3044-M</t>
  </si>
  <si>
    <t>MDT-DRTSPL-2015-1873-O</t>
  </si>
  <si>
    <t>MDT-DRTSPL-2015-3393-EXTERNO</t>
  </si>
  <si>
    <t>MDT-DRTSPL-2015-2810-M</t>
  </si>
  <si>
    <t>MDT-DRTSPL-2015-1651-O</t>
  </si>
  <si>
    <t>EN622147273EC</t>
  </si>
  <si>
    <t>MDT-DRTSPL-2015-3394-EXTERNO</t>
  </si>
  <si>
    <t>MDT-DRTSPL-2015-1531-O</t>
  </si>
  <si>
    <t>MDT-DRTSPL-2015-3396-EXTERNO</t>
  </si>
  <si>
    <t>MDT-DRTSPL-2015-1591-O</t>
  </si>
  <si>
    <t xml:space="preserve">Ana Lucia Calero Cordova </t>
  </si>
  <si>
    <t>MDT-DRTSPL-2015-3400-EXTERNO</t>
  </si>
  <si>
    <t>MDT-DRTSPL-2015-1570-O</t>
  </si>
  <si>
    <t>MDT-DRTSPL-2015-3402-EXTERNO</t>
  </si>
  <si>
    <t>MDT-DRTSPL-2015-3045-M</t>
  </si>
  <si>
    <t>MDT-DRTSPL-2015-1871-O</t>
  </si>
  <si>
    <t>MDT-DRTSPL-2015-3404-EXTERNO</t>
  </si>
  <si>
    <t>MDT-DRTSPL-2015-1590-O</t>
  </si>
  <si>
    <t xml:space="preserve">Leslie Matilde Riofrio Macanchi </t>
  </si>
  <si>
    <t>MDT-DRTSPL-2015-3405-EXTERNO</t>
  </si>
  <si>
    <t>MDT-DRTSPL-2015-2808-M</t>
  </si>
  <si>
    <t>MDT-DRTSPL-2015-1711-O</t>
  </si>
  <si>
    <t>MDT-DRTSPL-2015-3406-EXTERNO</t>
  </si>
  <si>
    <t>MDT-DRTSPL-2015-2815-M</t>
  </si>
  <si>
    <t>MDT-DRTSPL-2015-1659-O</t>
  </si>
  <si>
    <t>MDT-DRTSPL-2015-3410-EXTERNO</t>
  </si>
  <si>
    <t>MDT-DRTSPL-2015-2817-M</t>
  </si>
  <si>
    <t>MDT-DRTSPL-2015-1664-O</t>
  </si>
  <si>
    <t>MDT-DRTSPL-2015-3411-EXTERNO</t>
  </si>
  <si>
    <t>MDT-DRTSPL-2015-2819-M</t>
  </si>
  <si>
    <t>MDT-DRTSPL-2015-1686-O</t>
  </si>
  <si>
    <t>MDT-DRTSPL-2015-3415-EXTERNO</t>
  </si>
  <si>
    <t>MDT-DRTSPL-2015-2820-M</t>
  </si>
  <si>
    <t>MDT-DRTSPL-2015-1665-O</t>
  </si>
  <si>
    <t>MDT-DRTSPL-2015-3420-EXTERNO</t>
  </si>
  <si>
    <t>MDT-DRTSPL-2015-2926-M</t>
  </si>
  <si>
    <t>MDT-DRTSPL-2015-1772-O</t>
  </si>
  <si>
    <t>MDT-DRTSPL-2015-3422-EXTERNO</t>
  </si>
  <si>
    <t>MDT-DRTSPL-2015-2927-M</t>
  </si>
  <si>
    <t>MDT-DRTSPL-2015-1927-O</t>
  </si>
  <si>
    <t>MDT-DRTSPL-2015-3435-EXTERNO</t>
  </si>
  <si>
    <t>MDT-DRTSPL-2015-1618-O</t>
  </si>
  <si>
    <t xml:space="preserve">Diana Magali Mendoza Jimenez </t>
  </si>
  <si>
    <t>MDT-DRTSPL-2015-3437-EXTERNO</t>
  </si>
  <si>
    <t>MDT-DRTSPL-2015-1809-O</t>
  </si>
  <si>
    <t>MDT-DRTSPL-2015-3438-EXTERNO</t>
  </si>
  <si>
    <t>MDT-DRTSPL-2015-2821-M</t>
  </si>
  <si>
    <t>MDT-DRTSPL-2015-1666-O</t>
  </si>
  <si>
    <t>MDT-DRTSPL-2015-3439-EXTERNO</t>
  </si>
  <si>
    <t>MDT-DRTSPL-2015-2822-M</t>
  </si>
  <si>
    <t>MDT-DRTSPL-2015-1667-O</t>
  </si>
  <si>
    <t>MDT-DRTSPL-2015-3440-EXTERNO</t>
  </si>
  <si>
    <t>MDT-DRTSPL-2015-2942-M</t>
  </si>
  <si>
    <t>MDT-DRTSPL-2015-1773-O</t>
  </si>
  <si>
    <t>MDT-DRTSPL-2015-3442-EXTERNO</t>
  </si>
  <si>
    <t>MDT-DRTSPL-2015-2823-M</t>
  </si>
  <si>
    <t>MDT-DRTSPL-2015-1688-O</t>
  </si>
  <si>
    <t>MDT-DRTSPL-2015-3443-EXTERNO</t>
  </si>
  <si>
    <t>MDT-DRTSPL-2015-2890-M</t>
  </si>
  <si>
    <t>MDT-DRTSPL-2015-1744-O</t>
  </si>
  <si>
    <t>EN622356458EC</t>
  </si>
  <si>
    <t>MDT-DRTSPL-2015-3444-EXTERNO</t>
  </si>
  <si>
    <t>MDT-DRTSPL-2015-2891-M</t>
  </si>
  <si>
    <t>MDT-DRTSPL-2015-1745-O</t>
  </si>
  <si>
    <t>MDT-DRTSPL-2015-3445-EXTERNO</t>
  </si>
  <si>
    <t>MDT-DRTSPL-2015-2936-M</t>
  </si>
  <si>
    <t>MDT-DRTSPL-2015-1775-O</t>
  </si>
  <si>
    <t>MDT-DRTSPL-2015-3446-EXTERNO</t>
  </si>
  <si>
    <t>MDT-DRTSPL-2015-2825-M</t>
  </si>
  <si>
    <t>MDT-DRTSPL-2015-1663-O</t>
  </si>
  <si>
    <t>MDT-DRTSPL-2015-3447-EXTERNO</t>
  </si>
  <si>
    <t>MDT-DRTSPL-2015-2826-M</t>
  </si>
  <si>
    <t>MDT-DRTSPL-2015-1662-O</t>
  </si>
  <si>
    <t>MDT-DRTSPL-2015-3448-EXTERNO</t>
  </si>
  <si>
    <t>MDT-DRTSPL-2015-1619-O</t>
  </si>
  <si>
    <t xml:space="preserve">Luzmila Virginia Granda Cordova </t>
  </si>
  <si>
    <t>MDT-DRTSPL-2015-3453-EXTERNO</t>
  </si>
  <si>
    <t>MDT-DRTSPL-2015-1620-O</t>
  </si>
  <si>
    <t xml:space="preserve">Vicente Nero Granda </t>
  </si>
  <si>
    <t>MDT-DRTSPL-2015-3454-EXTERNO</t>
  </si>
  <si>
    <t>MDT-DRTSPL-2015-2828-M</t>
  </si>
  <si>
    <t>MDT-DRTSPL-2015-1661-O</t>
  </si>
  <si>
    <t>MDT-DRTSPL-2015-3459-EXTERNO</t>
  </si>
  <si>
    <t>MDT-DRTSPL-2015-2829-M</t>
  </si>
  <si>
    <t>MDT-DRTSPL-2015-1660-O</t>
  </si>
  <si>
    <t>MDT-DRTSPL-2015-3461-EXTERNO</t>
  </si>
  <si>
    <t xml:space="preserve">  MDT-DRTSPL-2015-2952-M</t>
  </si>
  <si>
    <t>MDT-DRTSPL-2015-1782-O</t>
  </si>
  <si>
    <t>MDT-DRTSPL-2015-3465-EXTERNO</t>
  </si>
  <si>
    <t>MDT-DRTSPL-2015-1634-O</t>
  </si>
  <si>
    <t xml:space="preserve">Luis Alfonso Gordillo Poma </t>
  </si>
  <si>
    <t>MDT-DRTSPL-2015-3466-EXTERNO</t>
  </si>
  <si>
    <t>MDT-DRTSPL-2015-1635-O</t>
  </si>
  <si>
    <t xml:space="preserve">Liliana del Cisne Uchuari Labanda </t>
  </si>
  <si>
    <t>MDT-DRTSPL-2015-3480-EXTERNO</t>
  </si>
  <si>
    <t>MDT-DRTSPL-2015-1625-O</t>
  </si>
  <si>
    <t xml:space="preserve">Jimena del Rocio Solorzano Peña </t>
  </si>
  <si>
    <t>MDT-DRTSPL-2015-3482-EXTERNO</t>
  </si>
  <si>
    <t>MDT-DRTSPL-2015-1627-O</t>
  </si>
  <si>
    <t xml:space="preserve">Manuel Oswaldo Maza Cabrera </t>
  </si>
  <si>
    <t>MDT-DRTSPL-2015-3486-EXTERNO</t>
  </si>
  <si>
    <t>MDT-DRTSPL-2015-1597-O</t>
  </si>
  <si>
    <t xml:space="preserve">Ligia Soledad Velez Piedra </t>
  </si>
  <si>
    <t>MDT-DRTSPL-2015-3487-EXTERNO</t>
  </si>
  <si>
    <t>MDT-DRTSPL-2015-1626-O</t>
  </si>
  <si>
    <t>MDT-DRTSPL-2015-3489-EXTERNO</t>
  </si>
  <si>
    <t>MDT-DRTSPL-2015-1632-O</t>
  </si>
  <si>
    <t xml:space="preserve">Sonia Marilu Mora Ureña </t>
  </si>
  <si>
    <t>MDT-DRTSPL-2015-3493-EXTERNO</t>
  </si>
  <si>
    <t xml:space="preserve"> MDT-DRTSPL-2015-1631-O</t>
  </si>
  <si>
    <t xml:space="preserve">Luis Alfredo Ordoñez Guaycha </t>
  </si>
  <si>
    <t>MDT-DRTSPL-2015-3495-EXTERNO</t>
  </si>
  <si>
    <t>MDT-DRTSPL-2015-1630-O</t>
  </si>
  <si>
    <t xml:space="preserve">Lucia Maritza Ruiz Maza </t>
  </si>
  <si>
    <t>MDT-DRTSPL-2015-3504-EXTERNO</t>
  </si>
  <si>
    <t>MDT-DRTSPL-2015-2831-M</t>
  </si>
  <si>
    <t>MDT-DRTSPL-2015-1683-O</t>
  </si>
  <si>
    <t>MDT-DRTSPL-2015-3505-EXTERNO</t>
  </si>
  <si>
    <t>MDT-DRTSPL-2015-2832-M</t>
  </si>
  <si>
    <t>MDT-DRTSPL-2015-1671-O</t>
  </si>
  <si>
    <t>MDT-DRTSPL-2015-3506-EXTERNO</t>
  </si>
  <si>
    <t>MDT-DRTSPL-2015-2833-M</t>
  </si>
  <si>
    <t>MDT-DRTSPL-2015-1682-O</t>
  </si>
  <si>
    <t>MDT-DRTSPL-2015-3507-EXTERNO</t>
  </si>
  <si>
    <t>MDT-DRTSPL-2015-1774-O</t>
  </si>
  <si>
    <t>SECRETARIA</t>
  </si>
  <si>
    <t>MDT-DRTSPL-2015-3513-EXTERNO</t>
  </si>
  <si>
    <t>MDT-DRTSPL-2015-1633-O</t>
  </si>
  <si>
    <t>MDT-DRTSPL-2015-1892-O</t>
  </si>
  <si>
    <t>MDT-DRTSPL-2015-3514-EXTERNO</t>
  </si>
  <si>
    <t>MDT-DRTSPL-2015-2943-M</t>
  </si>
  <si>
    <t>MDT-DRTSPL-2015-1770-O</t>
  </si>
  <si>
    <t>MDT-DRTSPL-2015-3519-EXTERNO</t>
  </si>
  <si>
    <t>MDT-DRTSPL-2015-2834-M</t>
  </si>
  <si>
    <t>MDT-DRTSPL-2015-1675-O</t>
  </si>
  <si>
    <t>MDT-DRTSPL-2015-3520-EXTERNO</t>
  </si>
  <si>
    <t>MDT-DRTSPL-2015-2835-M</t>
  </si>
  <si>
    <t>MDT-DRTSPL-2015-1672-O</t>
  </si>
  <si>
    <t>MDT-DRTSPL-2015-3521-EXTERNO</t>
  </si>
  <si>
    <t>MDT-DRTSPL-2015-2837-M</t>
  </si>
  <si>
    <t>MDT-DRTSPL-2015-1673-O</t>
  </si>
  <si>
    <t>MDT-DRTSPL-2015-3530-EXTERNO</t>
  </si>
  <si>
    <t>MDT-DRTSPL-2015-1624-O</t>
  </si>
  <si>
    <t>MDT-DRTSPL-2015-3531-EXTERNO</t>
  </si>
  <si>
    <t>MDT-DRTSPL-2015-1636-O</t>
  </si>
  <si>
    <t>MDT-DRTSPL-2015-3532-EXTERNO</t>
  </si>
  <si>
    <t>MDT-DRTSPL-2015-2839-M</t>
  </si>
  <si>
    <t>MDT-DRTSPL-2015-1674-O</t>
  </si>
  <si>
    <t>MDT-DRTSPL-2015-3543-EXTERNO</t>
  </si>
  <si>
    <t>MDT-DRTSPL-2015-2841-M</t>
  </si>
  <si>
    <t>MDT-DRTSPL-2015-1715-O</t>
  </si>
  <si>
    <t>MDT-DRTSPL-2015-3544-EXTERNO</t>
  </si>
  <si>
    <t>MDT-DRTSPL-2015-2842-M</t>
  </si>
  <si>
    <t>MDT-DRTSPL-2015-1684-O</t>
  </si>
  <si>
    <t>MDT-DRTSPL-2015-3545-EXTERNO</t>
  </si>
  <si>
    <t>MDT-DRTSPL-2015-2843-M</t>
  </si>
  <si>
    <t>MDT-DRTSPL-2015-1685-O</t>
  </si>
  <si>
    <t>MDT-DRTSPL-2015-3546-EXTERNO</t>
  </si>
  <si>
    <t>MDT-DRTSPL-2015-2840-M</t>
  </si>
  <si>
    <t>MDT-DRTSPL-2015-1676-O</t>
  </si>
  <si>
    <t>MDT-DRTSPL-2015-3548-EXTERNO</t>
  </si>
  <si>
    <t>MDT-DRTSPL-2015-2883-M</t>
  </si>
  <si>
    <t>MDT-DRTSPL-2015-1748-O</t>
  </si>
  <si>
    <t>MDT-DRTSPL-2015-3549-EXTERNO</t>
  </si>
  <si>
    <t>MDT-DRTSPL-2015-2889-M</t>
  </si>
  <si>
    <t>MDT-DRTSPL-2015-1750-O</t>
  </si>
  <si>
    <t>MDT-DRTSPL-2015-3551-EXTERNO</t>
  </si>
  <si>
    <t>MDT-DRTSPL-2015-1734-O</t>
  </si>
  <si>
    <t>MDT-DRTSPL-2015-3552-EXTERNO</t>
  </si>
  <si>
    <t>MDT-DRTSPL-2015-2905-M</t>
  </si>
  <si>
    <t>MDT-DRTSPL-2015-1751-O</t>
  </si>
  <si>
    <t>MDT-DRTSPL-2015-3553-EXTERNO</t>
  </si>
  <si>
    <t>MDT-DRTSPL-2015-2884-M</t>
  </si>
  <si>
    <t>MDT-DRTSPL-2015-1749-O</t>
  </si>
  <si>
    <t>MDT-DRTSPL-2015-3554-EXTERNO</t>
  </si>
  <si>
    <t>MDT-DRTSPL-2015-1623-O</t>
  </si>
  <si>
    <t>MDT-DRTSPL-2015-3555-EXTERNO</t>
  </si>
  <si>
    <t>MDT-DRTSPL-2015-1622-O</t>
  </si>
  <si>
    <t>MDT-DRTSPL-2015-3556-EXTERNO</t>
  </si>
  <si>
    <t>MDT-DRTSPL-2015-1621-O</t>
  </si>
  <si>
    <t>MDT-DRTSPL-2015-3557-EXTERNO</t>
  </si>
  <si>
    <t>MDT-DRTSPL-2015-1754-O</t>
  </si>
  <si>
    <t>MDT-DRTSPL-2015-3558-EXTERNO</t>
  </si>
  <si>
    <t>MDT-DRTSPL-2015-2885-M</t>
  </si>
  <si>
    <t>MDT-DRTSPL-2015-1746-O</t>
  </si>
  <si>
    <t>MDT-DRTSPL-2015-3559-EXTERNO</t>
  </si>
  <si>
    <t>MDT-DRTSPL-2015-1758-O</t>
  </si>
  <si>
    <t>MDT-DRTSPL-2015-3561-EXTERNO</t>
  </si>
  <si>
    <t>MDT-DRTSPL-2015-2886-M</t>
  </si>
  <si>
    <t>MDT-DRTSPL-2015-1747-O</t>
  </si>
  <si>
    <t>MDT-DRTSPL-2015-3562-EXTERNO</t>
  </si>
  <si>
    <t>MDT-DRTSPL-2015-1740-O</t>
  </si>
  <si>
    <t>MDT-DRTSPL-2015-3563-EXTERNO</t>
  </si>
  <si>
    <t>MDT-DRTSPL-2015-2888-M</t>
  </si>
  <si>
    <t>MDT-DRTSPL-2015-1742-O</t>
  </si>
  <si>
    <t>MDT-DRTSPL-2015-3564-EXTERNO</t>
  </si>
  <si>
    <t>MDT-DRTSPL-2015-1755-O</t>
  </si>
  <si>
    <t>MDT-DRTSPL-2015-3565-EXTERNO</t>
  </si>
  <si>
    <t>MDT-DRTSPL-2015-2887-M</t>
  </si>
  <si>
    <t>MDT-DRTSPL-2015-1741-O</t>
  </si>
  <si>
    <t>MDT-DRTSPL-2015-3566-EXTERNO</t>
  </si>
  <si>
    <t>MDT-DRTSPL-2015-2878-M</t>
  </si>
  <si>
    <t>MDT-DRTSPL-2015-1737-O</t>
  </si>
  <si>
    <t>MDT-DRTSPL-2015-3567-EXTERNO</t>
  </si>
  <si>
    <t>MDT-DRTSPL-2015-1669-O</t>
  </si>
  <si>
    <t>FISCALIA LOJA</t>
  </si>
  <si>
    <t>MDT-DRTSPL-2015-3568-EXTERNO</t>
  </si>
  <si>
    <t>MDT-DRTSPL-2015-2844-M</t>
  </si>
  <si>
    <t>MDT-DRTSPL-2015-1678-O</t>
  </si>
  <si>
    <t>MDT-DRTSPL-2015-3569-EXTERNO</t>
  </si>
  <si>
    <t>MDT-DRTSPL-2015-2845-M</t>
  </si>
  <si>
    <t>MDT-DRTSPL-2015-1679-O</t>
  </si>
  <si>
    <t>MDT-DRTSPL-2015-3570-EXTERNO</t>
  </si>
  <si>
    <t>MDT-DRTSPL-2015-2846-M</t>
  </si>
  <si>
    <t>MDT-DRTSPL-2015-1680-O</t>
  </si>
  <si>
    <t>MDT-DRTSPL-2015-3571-EXTERNO</t>
  </si>
  <si>
    <t>MDT-DRTSPL-2015-2847-M</t>
  </si>
  <si>
    <t>MDT-DRTSPL-2015-1681-O</t>
  </si>
  <si>
    <t>MDT-DRTSPL-2015-3574-EXTERNO</t>
  </si>
  <si>
    <t>MDT-DRTSPL-2015-1655-O</t>
  </si>
  <si>
    <t>MDT-DRTSPL-2015-3577-EXTERNO</t>
  </si>
  <si>
    <t>MDT-DRTSPL-2015-1654-O</t>
  </si>
  <si>
    <t>MDT-DRTSPL-2015-3585-EXTERNO</t>
  </si>
  <si>
    <t>MDT-DRTSPL-2015-2849-M</t>
  </si>
  <si>
    <t>MDT-DRTSPL-2015-1695-O</t>
  </si>
  <si>
    <t>MDT-DRTSPL-2015-3587-EXTERNO</t>
  </si>
  <si>
    <t>MDT-DRTSPL-2015-1845-O</t>
  </si>
  <si>
    <t>MDT-DRTSPL-2015-3592-EXTERNO</t>
  </si>
  <si>
    <t>MDT-DRTSPL-2015-1846-O</t>
  </si>
  <si>
    <t>MDT-DRTSPL-2015-3594-EXTERNO</t>
  </si>
  <si>
    <t>MDT-DRTSPL-2015-1942-O</t>
  </si>
  <si>
    <t>MDT-DRTSPL-2015-3599-EXTERNO</t>
  </si>
  <si>
    <t>MDT-DRTSPL-2015-1847-O</t>
  </si>
  <si>
    <t>MDT-DRTSPL-2015-3605-EXTERNO</t>
  </si>
  <si>
    <t>MDT-DRTSPL-2015-2874-M</t>
  </si>
  <si>
    <t>MDT-DRTSPL-2015-1725-O</t>
  </si>
  <si>
    <t>MDT-DRTSPL-2015-3614-EXTERNO</t>
  </si>
  <si>
    <t>MDT-DRTSPL-2015-1656-O</t>
  </si>
  <si>
    <t>MDT-DRTSPL-2015-3617-EXTERNO</t>
  </si>
  <si>
    <t>MDT-DRTSPL-2015-1657-O</t>
  </si>
  <si>
    <t>MDT-DRTSPL-2015-3623-EXTERNO</t>
  </si>
  <si>
    <t>MDT-DRTSPL-2015-1658-O</t>
  </si>
  <si>
    <t>MDT-DRTSPL-2015-3630-EXTERNO</t>
  </si>
  <si>
    <t>MDT-DRTSPL-2015-2951-M</t>
  </si>
  <si>
    <t>MDT-DRTSPL-2015-1783-O</t>
  </si>
  <si>
    <t>MDT-DRTSPL-2015-3632-EXTERNO</t>
  </si>
  <si>
    <t>MDT-DRTSPL-2015-2953-M</t>
  </si>
  <si>
    <t>MDT-DRTSPL-2015-1781-O</t>
  </si>
  <si>
    <t>EN622502717EC</t>
  </si>
  <si>
    <t>MDT-DRTSPL-2015-3634-EXTERNO</t>
  </si>
  <si>
    <t>MDT-DRTSPL-2015-3193-M</t>
  </si>
  <si>
    <t>MDT-DRTSPL-2015-1964-O</t>
  </si>
  <si>
    <t>MDT-DRTSPL-2015-3635-EXTERNO</t>
  </si>
  <si>
    <t>MDT-DRTSPL-2015-2850-M</t>
  </si>
  <si>
    <t>MDT-DRTSPL-2015-1694-O</t>
  </si>
  <si>
    <t>MDT-DRTSPL-2015-3636-EXTERNO</t>
  </si>
  <si>
    <t>MDT-DRTSPL-2015-2851-M</t>
  </si>
  <si>
    <t>MDT-DRTSPL-2015-1693-O</t>
  </si>
  <si>
    <t>MDT-DRTSPL-2015-3638-EXTERNO</t>
  </si>
  <si>
    <t>MDT-DRTSPL-2015-2852-M</t>
  </si>
  <si>
    <t>MDT-DRTSPL-2015-1701-O</t>
  </si>
  <si>
    <t>MDT-DRTSPL-2015-3639-EXTERNO</t>
  </si>
  <si>
    <t>MDT-DRTSPL-2015-2853-M</t>
  </si>
  <si>
    <t>MDT-DRTSPL-2015-1696-O</t>
  </si>
  <si>
    <t>MDT-DRTSPL-2015-3640-EXTERNO</t>
  </si>
  <si>
    <t>MDT-DRTSPL-2015-2854-M</t>
  </si>
  <si>
    <t>MDT-DRTSPL-2015-1697-O</t>
  </si>
  <si>
    <t>MDT-DRTSPL-2015-3641-EXTERNO</t>
  </si>
  <si>
    <t>MDT-DRTSPL-2015-2855-M</t>
  </si>
  <si>
    <t>MDT-DRTSPL-2015-1698-O</t>
  </si>
  <si>
    <t>MDT-DRTSPL-2015-3642-EXTERNO</t>
  </si>
  <si>
    <t>MDT-DRTSPL-2015-2856-M</t>
  </si>
  <si>
    <t>MDT-DRTSPL-2015-1699-O</t>
  </si>
  <si>
    <t>MDT-DRTSPL-2015-3643-EXTERNO</t>
  </si>
  <si>
    <t>MDT-DRTSPL-2015-2857-M</t>
  </si>
  <si>
    <t>MDT-DRTSPL-2015-1700-O</t>
  </si>
  <si>
    <t>MDT-DRTSPL-2015-3644-EXTERNO</t>
  </si>
  <si>
    <t>MDT-DRTSPL-2015-2859-M</t>
  </si>
  <si>
    <t>MDT-DRTSPL-2015-1692-O</t>
  </si>
  <si>
    <t>MDT-DRTSPL-2015-3645-EXTERNO</t>
  </si>
  <si>
    <t>MDT-DRTSPL-2015-2860-M</t>
  </si>
  <si>
    <t>MDT-DRTSPL-2015-1691-O</t>
  </si>
  <si>
    <t>MDT-DRTSPL-2015-3648-EXTERNO</t>
  </si>
  <si>
    <t>MDT-DRTSPL-2015-1714-O</t>
  </si>
  <si>
    <t>MDT-DRTSPL-2015-3653-EXTERNO</t>
  </si>
  <si>
    <t>MDT-DRTSPL-2015-2873-M</t>
  </si>
  <si>
    <t>MDT-DRTSPL-2015-1759-O</t>
  </si>
  <si>
    <t>MDT-DRTSPL-2015-3654-EXTERNO</t>
  </si>
  <si>
    <t>MDT-DRTSPL-2015-2872-M</t>
  </si>
  <si>
    <t>MDT-DRTSPL-2015-1726-O</t>
  </si>
  <si>
    <t>MDT-DRTSPL-2015-3655-EXTERNO</t>
  </si>
  <si>
    <t>MDT-DRTSPL-2015-1713-O</t>
  </si>
  <si>
    <t>MDT-DRTSPL-2015-3661-EXTERNO</t>
  </si>
  <si>
    <t>MDT-DRTSPL-2015-2876-M</t>
  </si>
  <si>
    <t>MDT-DRTSPL-2015-1733-O</t>
  </si>
  <si>
    <t>MDT-DRTSPL-2015-3662-EXTERNO</t>
  </si>
  <si>
    <t>MDT-DRTSPL-2015-2937-M</t>
  </si>
  <si>
    <t>MDT-DRTSPL-2015-1769-O</t>
  </si>
  <si>
    <t>MDT-DRTSPL-2015-3663-EXTERNO</t>
  </si>
  <si>
    <t>MDT-DRTSPL-2015-1732-O</t>
  </si>
  <si>
    <t>MDT-DRTSPL-2015-3666-EXTERNO</t>
  </si>
  <si>
    <t>MDT-DRTSPL-2015-1760-O</t>
  </si>
  <si>
    <t>MDT-DRTSPL-2015-3667-EXTERNO</t>
  </si>
  <si>
    <t>MDT-DRTSPL-2015-2881-M</t>
  </si>
  <si>
    <t>MDT-DRTSPL-2015-1768-O</t>
  </si>
  <si>
    <t>MDT-DRTSPL-2015-3668-EXTERNO</t>
  </si>
  <si>
    <t>MDT-DRTSPL-2015-2871-M</t>
  </si>
  <si>
    <t>MDT-DRTSPL-2015-1728-O</t>
  </si>
  <si>
    <t>MDT-DRTSPL-2015-3670-EXTERNO</t>
  </si>
  <si>
    <t>MDT-DRTSPL-2015-2870-M</t>
  </si>
  <si>
    <t>MDT-DRTSPL-2015-1729-O</t>
  </si>
  <si>
    <t>EN622356444EC</t>
  </si>
  <si>
    <t>MDT-DRTSPL-2015-3671-EXTERNO</t>
  </si>
  <si>
    <t>MDT-DRTSPL-2015-1712-O</t>
  </si>
  <si>
    <t>MDT-DRTSPL-2015-3672-EXTERNO</t>
  </si>
  <si>
    <t>MDT-DRTSPL-2015-2869-M</t>
  </si>
  <si>
    <t>MDT-DRTSPL-2015-1731-O</t>
  </si>
  <si>
    <t>MDT-DRTSPL-2015-3673-EXTERNO</t>
  </si>
  <si>
    <t>MDT-DRTSPL-2015-2868-M</t>
  </si>
  <si>
    <t>MDT-DRTSPL-2015-1730-O</t>
  </si>
  <si>
    <t>MDT-DRTSPL-2015-3675-EXTERNO</t>
  </si>
  <si>
    <t>MDT-DRTSPL-2015-2955-M</t>
  </si>
  <si>
    <t>MDT-DRTSPL-2015-1785-O</t>
  </si>
  <si>
    <t>MDT-DRTSPL-2015-3684-EXTERNO</t>
  </si>
  <si>
    <t>MDT-DRTSPL-2015-1753-O</t>
  </si>
  <si>
    <t>MDT-DRTSPL-2015-3685-EXTERNO</t>
  </si>
  <si>
    <t>MDT-DRTSPL-2015-2956-M</t>
  </si>
  <si>
    <t>MDT-DRTSPL-2015-1784-O</t>
  </si>
  <si>
    <t>MDT-DRTSPL-2015-3686-EXTERNO</t>
  </si>
  <si>
    <t>MDT-DRTSPL-2015-1752-O</t>
  </si>
  <si>
    <t>MDT-DRTSPL-2015-3687-EXTERNO</t>
  </si>
  <si>
    <t>MDT-DRTSPL-2015-2976-M</t>
  </si>
  <si>
    <t>MDT-DRTSPL-2015-1807-O</t>
  </si>
  <si>
    <t>MDT-DRTSPL-2015-3688-EXTERNO</t>
  </si>
  <si>
    <t>MDT-DRTSPL-2015-2977-M</t>
  </si>
  <si>
    <t>MDT-DRTSPL-2015-1805-O</t>
  </si>
  <si>
    <t>MDT-DRTSPL-2015-3691-EXTERNO</t>
  </si>
  <si>
    <t>MDT-DSG-2015-2734-MEMORANDO</t>
  </si>
  <si>
    <t>MDT-DRTSPL-2015-1979-O</t>
  </si>
  <si>
    <t>MDT-DRTSPL-2015-3692-EXTERNO</t>
  </si>
  <si>
    <t>MDT-DRTSPL-2015-2978-M</t>
  </si>
  <si>
    <t>MDT-DRTSPL-2015-1804-O</t>
  </si>
  <si>
    <t>MDT-DRTSPL-2015-3694-EXTERNO</t>
  </si>
  <si>
    <t>MDT-DRTSPL-2015-2979-M</t>
  </si>
  <si>
    <t>MDT-DRTSPL-2015-1803-O</t>
  </si>
  <si>
    <t>MDT-DRTSPL-2015-3695-EXTERNO</t>
  </si>
  <si>
    <t>MDT-DRTSPL-2015-1721-O</t>
  </si>
  <si>
    <t>MDT-DRTSPL-2015-3701-EXTERNO</t>
  </si>
  <si>
    <t>MDT-DRTSPL-2015-1722-O</t>
  </si>
  <si>
    <t>MDT-DRTSPL-2015-3704-EXTERNO</t>
  </si>
  <si>
    <t>MDT-DRTSPL-2015-1723-O</t>
  </si>
  <si>
    <t>MDT-DRTSPL-2015-3705-EXTERNO</t>
  </si>
  <si>
    <t>MDT-DRTSPL-2015-2980-M</t>
  </si>
  <si>
    <t>MDT-DRTSPL-2015-1802-O</t>
  </si>
  <si>
    <t>MDT-DRTSPL-2015-3707-EXTERNO</t>
  </si>
  <si>
    <t>MDT-DRTSPL-2015-2982-M</t>
  </si>
  <si>
    <t>MDT-DRTSPL-2015-1806-O</t>
  </si>
  <si>
    <t>MDT-DRTSPL-2015-3708-EXTERNO</t>
  </si>
  <si>
    <t>MDT-DRTSPL-2015-1724-O</t>
  </si>
  <si>
    <t>MDT-DRTSPL-2015-3709-EXTERNO</t>
  </si>
  <si>
    <t>MDT-DRTSPL-2015-2983-M</t>
  </si>
  <si>
    <t>MDT-DRTSPL-2015-1808-O</t>
  </si>
  <si>
    <t>MDT-DRTSPL-2015-3717-EXTERNO</t>
  </si>
  <si>
    <t>MDT-DRTSPL-2015-1720-O</t>
  </si>
  <si>
    <t>MDT-DRTSPL-2015-3718-EXTERNO</t>
  </si>
  <si>
    <t>MDT-DRTSPL-2015-1797-O</t>
  </si>
  <si>
    <t>MDT-DRTSPL-2015-3719-EXTERNO</t>
  </si>
  <si>
    <t>MDT-DRTSPL-2015-2964-M</t>
  </si>
  <si>
    <t>MDT-DRTSPL-2015-1789-O</t>
  </si>
  <si>
    <t>MDT-DRTSPL-2015-3721-EXTERNO</t>
  </si>
  <si>
    <t>MDT-DRTSPL-2015-1776-O</t>
  </si>
  <si>
    <t>MDT-DRTSPL-2015-3724-EXTERNO</t>
  </si>
  <si>
    <t>MDT-DRTSPL-2015-3229-M</t>
  </si>
  <si>
    <t>MDT-DRTSPL-2015-1980-O</t>
  </si>
  <si>
    <t>EN623035640EC</t>
  </si>
  <si>
    <t>MDT-DRTSPL-2015-3727-EXTERNO</t>
  </si>
  <si>
    <t>MDT-DRTSPL-2015-1795-O</t>
  </si>
  <si>
    <t>MDT-DRTSPL-2015-3728-EXTERNO</t>
  </si>
  <si>
    <t>MDT-DRTSPL-2015-1796-O</t>
  </si>
  <si>
    <t>MDT-DRTSPL-2015-3729-EXTERNO</t>
  </si>
  <si>
    <t>MDT-DRTSPL-2015-2967-M</t>
  </si>
  <si>
    <t>MDT-DRTSPL-2015-1814-O</t>
  </si>
  <si>
    <t>MDT-DRTSPL-2015-3734-EXTERNO</t>
  </si>
  <si>
    <t>MDT-DRTSPL-2015-2996-M</t>
  </si>
  <si>
    <t>MDT-DRTSPL-2015-1863-O</t>
  </si>
  <si>
    <t>MDT-DRTSPL-2015-3735-EXTERNO</t>
  </si>
  <si>
    <t>MDT-DRTSPL-2015-1790-O</t>
  </si>
  <si>
    <t>MDT-DRTSPL-2015-3736-EXTERNO</t>
  </si>
  <si>
    <t>MDT-DRTSPL-2015-2969-M</t>
  </si>
  <si>
    <t>MDT-DRTSPL-2015-1786-O</t>
  </si>
  <si>
    <t>MDT-DRTSPL-2015-3737-EXTERNO</t>
  </si>
  <si>
    <t>MDT-DRTSPL-2015-2970-M</t>
  </si>
  <si>
    <t>MDT-DRTSPL-2015-1787-O</t>
  </si>
  <si>
    <t>MDT-DRTSPL-2015-3738-EXTERNO</t>
  </si>
  <si>
    <t>MDT-DRTSPL-2015-2971-M</t>
  </si>
  <si>
    <t>MDT-DRTSPL-2015-1788-O</t>
  </si>
  <si>
    <t>MDT-DRTSPL-2015-3740-EXTERNO</t>
  </si>
  <si>
    <t>MDT-DRTSPL-2015-3003-M</t>
  </si>
  <si>
    <t>MDT-DRTSPL-2015-1869-O</t>
  </si>
  <si>
    <t>EN622886552EC</t>
  </si>
  <si>
    <t>MDT-DRTSPL-2015-3741-EXTERNO</t>
  </si>
  <si>
    <t>MDT-DRTSPL-2015-1810-O</t>
  </si>
  <si>
    <t>EN622502703EC</t>
  </si>
  <si>
    <t>MDT-DRTSPL-2015-3742-EXTERNO</t>
  </si>
  <si>
    <t>MDT-DRTSPL-2015-1794-O</t>
  </si>
  <si>
    <t>MDT-DRTSPL-2015-3743-EXTERNO</t>
  </si>
  <si>
    <t>MDT-DRTSPL-2015-2997-M</t>
  </si>
  <si>
    <t>MDT-DRTSPL-2015-1864-O</t>
  </si>
  <si>
    <t>MDT-DRTSPL-2015-3745-EXTERNO</t>
  </si>
  <si>
    <t>MDT-DRTSPL-2015-1848-O</t>
  </si>
  <si>
    <t>MDT-DRTSPL-2015-3748-EXTERNO</t>
  </si>
  <si>
    <t>MDT-DRTSPL-2015-1777-O</t>
  </si>
  <si>
    <t>MDT-DRTSPL-2015-3749-EXTERNO</t>
  </si>
  <si>
    <t>MDT-DRTSPL-2015-1793-O</t>
  </si>
  <si>
    <t>MDT-DRTSPL-2015-3750-EXTERNO</t>
  </si>
  <si>
    <t>MDT-DRTSPL-2015-1791-O</t>
  </si>
  <si>
    <t>MDT-DRTSPL-2015-3754-EXTERNO</t>
  </si>
  <si>
    <t>MDT-DRTSPL-2015-2998-M</t>
  </si>
  <si>
    <t>MDT-DRTSPL-2015-1865-O</t>
  </si>
  <si>
    <t>MDT-DRTSPL-2015-3755-EXTERNO</t>
  </si>
  <si>
    <t>MDT-DRTSPL-2015-2999-M</t>
  </si>
  <si>
    <t>MDT-DRTSPL-2015-1866-O</t>
  </si>
  <si>
    <t>MDT-DRTSPL-2015-3756-EXTERNO</t>
  </si>
  <si>
    <t>MDT-DRTSPL-2015-3000-M</t>
  </si>
  <si>
    <t>MDT-DRTSPL-2015-1867-O</t>
  </si>
  <si>
    <t>MDT-DRTSPL-2015-3757-EXTERNO</t>
  </si>
  <si>
    <t>MDT-DRTSPL-2015-3001-M</t>
  </si>
  <si>
    <t>MDT-DRTSPL-2015-1868-O</t>
  </si>
  <si>
    <t>MDT-DRTSPL-2015-3761-EXTERNO</t>
  </si>
  <si>
    <t>MDT-DRTSPL-2015-1841-O</t>
  </si>
  <si>
    <t>MDT-DRTSPL-2015-3763-EXTERNO</t>
  </si>
  <si>
    <t>MDT-DRTSPL-2015-1798-O</t>
  </si>
  <si>
    <t>MDT-DRTSPL-2015-3777-EXTERNO</t>
  </si>
  <si>
    <t>MDT-DRTSPL-2015-1778-O</t>
  </si>
  <si>
    <t>MDT-DRTSPL-2015-3779-EXTERNO</t>
  </si>
  <si>
    <t>MDT-DRTSPL-2015-1799-O</t>
  </si>
  <si>
    <t>MDT-DRTSPL-2015-3780-EXTERNO</t>
  </si>
  <si>
    <t>MDT-DRTSPL-2015-1801-O</t>
  </si>
  <si>
    <t>MDT-DRTSPL-2015-3783-EXTERNO</t>
  </si>
  <si>
    <t>MDT-DRTSPL-2015-1800-O</t>
  </si>
  <si>
    <t>MDT-DRTSPL-2015-3784-EXTERNO</t>
  </si>
  <si>
    <t>MDT-DRTSPL-2015-1792-O</t>
  </si>
  <si>
    <t>MDT-DRTSPL-2015-3793-EXTERNO</t>
  </si>
  <si>
    <t>MDT-DRTSPL-2015-1829-O</t>
  </si>
  <si>
    <t>MDT-DRTSPL-2015-3796-EXTERNO</t>
  </si>
  <si>
    <t>MDT-DRTSPL-2015-1830-O</t>
  </si>
  <si>
    <t>MDT-DRTSPL-2015-3803-EXTERNO</t>
  </si>
  <si>
    <t>MDT-DRTSPL-2015-1832-O</t>
  </si>
  <si>
    <t>MDT-DRTSPL-2015-3804-EXTERNO</t>
  </si>
  <si>
    <t>MDT-DRTSPL-2015-1833-O</t>
  </si>
  <si>
    <t>MDT-DRTSPL-2015-3807-EXTERNO</t>
  </si>
  <si>
    <t>MDT-DRTSPL-2015-1834-O</t>
  </si>
  <si>
    <t>MDT-DRTSPL-2015-3808-EXTERNO</t>
  </si>
  <si>
    <t>MDT-DRTSPL-2015-1835-O</t>
  </si>
  <si>
    <t>MDT-DRTSPL-2015-3812-EXTERNO</t>
  </si>
  <si>
    <t>MDT-DRTSPL-2015-1836-O</t>
  </si>
  <si>
    <t>MDT-DRTSPL-2015-3829-EXTERNO</t>
  </si>
  <si>
    <t>MDT-DRTSPL-2015-3124-M</t>
  </si>
  <si>
    <t>MDT-DRTSPL-2015-1926-O</t>
  </si>
  <si>
    <t>EN622886606EC</t>
  </si>
  <si>
    <t>MDT-DRTSPL-2015-3830-EXTERNO</t>
  </si>
  <si>
    <t>MDT-DRTSPL-2015-1925-O</t>
  </si>
  <si>
    <t>MDT-DRTSPL-2015-3831-EXTERNO</t>
  </si>
  <si>
    <t>MDT-DRTSPL-2015-1924-O</t>
  </si>
  <si>
    <t>MDT-DRTSPL-2015-3832-EXTERNO</t>
  </si>
  <si>
    <t>MDT-DRTSPL-2015-2086-O</t>
  </si>
  <si>
    <t>MDT-DRTSPL-2015-3834-EXTERNO</t>
  </si>
  <si>
    <t>MDT-DRTSPL-2015-3105-M</t>
  </si>
  <si>
    <t>MDT-DRTSPL-2015-1919-O</t>
  </si>
  <si>
    <t>MDT-DRTSPL-2015-3835-EXTERNO</t>
  </si>
  <si>
    <t>MDT-DRTSPL-2015-1923-O</t>
  </si>
  <si>
    <t>MDT-DRTSPL-2015-3836-EXTERNO</t>
  </si>
  <si>
    <t>MDT-DRTSPL-2015-3106-M</t>
  </si>
  <si>
    <t>MDT-DRTSPL-2015-1918-O</t>
  </si>
  <si>
    <t>MDT-DRTSPL-2015-3837-EXTERNO</t>
  </si>
  <si>
    <t>MDT-DRTSPL-2015-3107-M</t>
  </si>
  <si>
    <t>MDT-DRTSPL-2015-1917-O</t>
  </si>
  <si>
    <t>MDT-DRTSPL-2015-3838-EXTERNO</t>
  </si>
  <si>
    <t>MDT-DRTSPL-2015-3115-M</t>
  </si>
  <si>
    <t>MDT-DRTSPL-2015-1912-O</t>
  </si>
  <si>
    <t>MDT-DRTSPL-2015-3839-EXTERNO</t>
  </si>
  <si>
    <t>MDT-DRTSPL-2015-3114-M</t>
  </si>
  <si>
    <t>MDT-DRTSPL-2015-1913-O</t>
  </si>
  <si>
    <t>MDT-DRTSPL-2015-3841-EXTERNO</t>
  </si>
  <si>
    <t>MDT-DRTSPL-2015-3109-M</t>
  </si>
  <si>
    <t>MDT-DRTSPL-2015-1916-O</t>
  </si>
  <si>
    <t>MDT-DRTSPL-2015-3843-EXTERNO</t>
  </si>
  <si>
    <t>MDT-DRTSPL-2015-1922-O</t>
  </si>
  <si>
    <t>MDT-DRTSPL-2015-3844-EXTERNO</t>
  </si>
  <si>
    <t>MDT-DRTSPL-2015-1921-O</t>
  </si>
  <si>
    <t>MDT-DRTSPL-2015-3845-EXTERNO</t>
  </si>
  <si>
    <t>MDT-DRTSPL-2015-3110-M</t>
  </si>
  <si>
    <t>MDT-DRTSPL-2015-1915-O</t>
  </si>
  <si>
    <t>MDT-DRTSPL-2015-3846-EXTERNO</t>
  </si>
  <si>
    <t>MDT-DRTSPL-2015-3111-M</t>
  </si>
  <si>
    <t>MDT-DRTSPL-2015-1914-O</t>
  </si>
  <si>
    <t>MDT-DRTSPL-2015-3848-EXTERNO</t>
  </si>
  <si>
    <t>MDT-DRTSPL-2015-1920-O</t>
  </si>
  <si>
    <t>MDT-DRTSPL-2015-3849-EXTERNO</t>
  </si>
  <si>
    <t>MDT-DRTSPL-2015-3043-M</t>
  </si>
  <si>
    <t>MDT-DRTSPL-2015-1894-O</t>
  </si>
  <si>
    <t>MDT-DRTSPL-2015-3850-EXTERNO</t>
  </si>
  <si>
    <t>MDT-DRTSPL-2015-3054-M</t>
  </si>
  <si>
    <t>MDT-DRTSPL-2015-1874-O</t>
  </si>
  <si>
    <t>MDT-DRTSPL-2015-3851-EXTERNO</t>
  </si>
  <si>
    <t>MDT-DRTSPL-2015-3055-M</t>
  </si>
  <si>
    <t>MDT-DRTSPL-2015-1875-O</t>
  </si>
  <si>
    <t>MDT-DRTSPL-2015-3852-EXTERNO</t>
  </si>
  <si>
    <t>MDT-DRTSPL-2015-3056-M</t>
  </si>
  <si>
    <t>MDT-DRTSPL-2015-1876-O</t>
  </si>
  <si>
    <t>MDT-DRTSPL-2015-3853-EXTERNO</t>
  </si>
  <si>
    <t>MDT-DRTSPL-2015-3057-M</t>
  </si>
  <si>
    <t>MDT-DRTSPL-2015-1877-O</t>
  </si>
  <si>
    <t>MDT-DRTSPL-2015-3854-EXTERNO</t>
  </si>
  <si>
    <t>MDT-DRTSPL-2015-3059-M</t>
  </si>
  <si>
    <t>MDT-DRTSPL-2015-1878-O</t>
  </si>
  <si>
    <t>MDT-DRTSPL-2015-3858-EXTERNO</t>
  </si>
  <si>
    <t>MDT-DRTSPL-2015-1837-O</t>
  </si>
  <si>
    <t>MDT-DRTSPL-2015-3860-EXTERNO</t>
  </si>
  <si>
    <t>MDT-DRTSPL-2015-1849-O</t>
  </si>
  <si>
    <t>MDT-DRTSPL-2015-3864-EXTERNO</t>
  </si>
  <si>
    <t>MDT-DRTSPL-2015-1838-O</t>
  </si>
  <si>
    <t>MDT-DRTSPL-2015-3865-EXTERNO</t>
  </si>
  <si>
    <t>MDT-DRTSPL-2015-1839-O</t>
  </si>
  <si>
    <t>MDT-DRTSPL-2015-3867-EXTERNO</t>
  </si>
  <si>
    <t>MDT-DRTSPL-2015-1840-O</t>
  </si>
  <si>
    <t>MDT-DRTSPL-2015-3868-EXTERNO</t>
  </si>
  <si>
    <t>MDT-DRTSPL-2015-3060-M</t>
  </si>
  <si>
    <t>MDT-DRTSPL-2015-3870-EXTERNO</t>
  </si>
  <si>
    <t>MDT-DRTSPL-2015-3227-M</t>
  </si>
  <si>
    <t>MDT-DRTSPL-2015-1985-O</t>
  </si>
  <si>
    <t>MDT-DRTSPL-2015-3871-EXTERNO</t>
  </si>
  <si>
    <t>MDT-DRTSPL-2015-3194-M</t>
  </si>
  <si>
    <t>MDT-DRTSPL-2015-1963-O</t>
  </si>
  <si>
    <t>MDT-DRTSPL-2015-3872-EXTERNO</t>
  </si>
  <si>
    <t>MDT-DRTSPL-2015-3062-M</t>
  </si>
  <si>
    <t>MDT-DRTSPL-2015-1880-O</t>
  </si>
  <si>
    <t>MDT-DRTSPL-2015-3877-EXTERNO</t>
  </si>
  <si>
    <t>MDT-DRTSPL-2015-3064-M</t>
  </si>
  <si>
    <t>MDT-DRTSPL-2015-1881-O</t>
  </si>
  <si>
    <t>EN622886566EC</t>
  </si>
  <si>
    <t>MDT-DRTSPL-2015-3883-EXTERNO</t>
  </si>
  <si>
    <t>MDT-DRTSPL-2015-3069-M</t>
  </si>
  <si>
    <t>MDT-DRTSPL-2015-1888-O</t>
  </si>
  <si>
    <t>MDT-DRTSPL-2015-3884-EXTERNO</t>
  </si>
  <si>
    <t>MDT-DRTSPL-2015-3085-M</t>
  </si>
  <si>
    <t>MDT-DRTSPL-2015-1887-O</t>
  </si>
  <si>
    <t>MDT-DRTSPL-2015-3885-EXTERNO</t>
  </si>
  <si>
    <t>MDT-DRTSPL-2015-3086-M</t>
  </si>
  <si>
    <t>MDT-DRTSPL-2015-1886-O</t>
  </si>
  <si>
    <t>MDT-DRTSPL-2015-3886-EXTERNO</t>
  </si>
  <si>
    <t>MDT-DRTSPL-2015-3087-M</t>
  </si>
  <si>
    <t>MDT-DRTSPL-2015-1885-O</t>
  </si>
  <si>
    <t>MDT-DRTSPL-2015-3887-EXTERNO</t>
  </si>
  <si>
    <t>MDT-DRTSPL-2015-3088-M</t>
  </si>
  <si>
    <t>MDT-DRTSPL-2015-1884-O</t>
  </si>
  <si>
    <t>EN622886570EC</t>
  </si>
  <si>
    <t>MDT-DRTSPL-2015-3888-EXTERNO</t>
  </si>
  <si>
    <t>MDT-DRTSPL-2015-1882-O</t>
  </si>
  <si>
    <t>MDT-DRTSPL-2015-3889-EXTERNO</t>
  </si>
  <si>
    <t>MDT-DRTSPL-2015-3091-M</t>
  </si>
  <si>
    <t>MDT-DRTSPL-2015-1883-O</t>
  </si>
  <si>
    <t>MDT-DRTSPL-2015-3890-EXTERNO</t>
  </si>
  <si>
    <t>MDT-DRTSPL-2015-3092-M</t>
  </si>
  <si>
    <t>MDT-DRTSPL-2015-1889-O</t>
  </si>
  <si>
    <t>MDT-DRTSPL-2015-3891-EXTERNO</t>
  </si>
  <si>
    <t>MDT-DRTSPL-2015-3093-M</t>
  </si>
  <si>
    <t>MDT-DRTSPL-2015-1890-O</t>
  </si>
  <si>
    <t>MDT-DRTSPL-2015-3893-EXTERNO</t>
  </si>
  <si>
    <t>MDT-DRTSPL-2015-1856-O</t>
  </si>
  <si>
    <t>MDT-DRTSPL-2015-3894-EXTERNO</t>
  </si>
  <si>
    <t>MDT-DRTSPL-2015-1855-O</t>
  </si>
  <si>
    <t>MDT-DRTSPL-2015-3896-EXTERNO</t>
  </si>
  <si>
    <t>MDT-DRTSPL-2015-1850-O</t>
  </si>
  <si>
    <t>MDT-DRTSPL-2015-3899-EXTERNO</t>
  </si>
  <si>
    <t>MDT-DRTSPL-2015-1895-O</t>
  </si>
  <si>
    <t>MDT-DRTSPL-2015-3902-EXTERNO</t>
  </si>
  <si>
    <t>MDT-DRTSPL-2015-3195-M</t>
  </si>
  <si>
    <t>MDT-DRTSPL-2015-1991-O</t>
  </si>
  <si>
    <t>MDT-DRTSPL-2015-3903-EXTERNO</t>
  </si>
  <si>
    <t>MDT-DRTSPL-2015-1891-O</t>
  </si>
  <si>
    <t>MDT-DRTSPL-2015-3904-EXTERNO</t>
  </si>
  <si>
    <t>MDT-DRTSPL-2015-3196-M</t>
  </si>
  <si>
    <t>MDT-DRTSPL-2015-1961-O</t>
  </si>
  <si>
    <t>MDT-DRTSPL-2015-3905-EXTERNO</t>
  </si>
  <si>
    <t>MDT-DRTSPL-2015-1857-O</t>
  </si>
  <si>
    <t>MDT-DRTSPL-2015-3906-EXTERNO</t>
  </si>
  <si>
    <t>MDT-DRTSPL-2015-3197-M</t>
  </si>
  <si>
    <t>MDT-DRTSPL-2015-1960-O</t>
  </si>
  <si>
    <t>MDT-DRTSPL-2015-3907-EXTERNO</t>
  </si>
  <si>
    <t>MDT-DRTSPL-2015-3198-M</t>
  </si>
  <si>
    <t>MDT-DRTSPL-2015-1959-O</t>
  </si>
  <si>
    <t>EN623035667EC</t>
  </si>
  <si>
    <t>MDT-DRTSPL-2015-3918-EXTERNO</t>
  </si>
  <si>
    <t>MDT-DRTSPL-2015-3199-M</t>
  </si>
  <si>
    <t>MDT-DRTSPL-2015-1928-O</t>
  </si>
  <si>
    <t>MDT-DRTSPL-2015-3919-EXTERNO</t>
  </si>
  <si>
    <t>MDT-DRTSPL-2015-3200-M</t>
  </si>
  <si>
    <t>MDT-DRTSPL-2015-1958-O</t>
  </si>
  <si>
    <t>MDT-DRTSPL-2015-3921-EXTERNO</t>
  </si>
  <si>
    <t>MDT-DRTSPL-2015-1858-O</t>
  </si>
  <si>
    <t>MDT-DRTSPL-2015-3927-EXTERNO</t>
  </si>
  <si>
    <t>MDT-DRTSPL-2015-3201-M</t>
  </si>
  <si>
    <t>MDT-DRTSPL-2015-1965-O</t>
  </si>
  <si>
    <t>MDT-DRTSPL-2015-3928-EXTERNO</t>
  </si>
  <si>
    <t>MDT-DRTSPL-2015-3202-M</t>
  </si>
  <si>
    <t>MDT-DRTSPL-2015-1983-O</t>
  </si>
  <si>
    <t>MDT-DRTSPL-2015-3929-EXTERNO</t>
  </si>
  <si>
    <t>MDT-DRTSPL-2015-3203-M</t>
  </si>
  <si>
    <t>MDT-DRTSPL-2015-1990-O</t>
  </si>
  <si>
    <t>MDT-DRTSPL-2015-3930-EXTERNO</t>
  </si>
  <si>
    <t>MDT-DRTSPL-2015-3206-M</t>
  </si>
  <si>
    <t>MDT-DRTSPL-2015-1978-O</t>
  </si>
  <si>
    <t>MDT-DRTSPL-2015-3935-EXTERNO</t>
  </si>
  <si>
    <t>MDT-DRTSPL-2015-1843-O</t>
  </si>
  <si>
    <t>MDT-DRTSPL-2015-3939-EXTERNO</t>
  </si>
  <si>
    <t>MDT-DRTSPL-2015-3208-M</t>
  </si>
  <si>
    <t>MDT-DRTSPL-2015-1977-O</t>
  </si>
  <si>
    <t>MDT-DRTSPL-2015-3945-EXTERNO</t>
  </si>
  <si>
    <t>MDT-DRTSPL-2015-1908-O</t>
  </si>
  <si>
    <t>MDT-DRTSPL-2015-3947-EXTERNO</t>
  </si>
  <si>
    <t>MDT-DRTSPL-2015-1989-O</t>
  </si>
  <si>
    <t>MDT-DRTSPL-2015-3951-EXTERNO</t>
  </si>
  <si>
    <t>MDT-DRTSPL-2015-1910-O</t>
  </si>
  <si>
    <t>MDT-DRTSPL-2015-3955-EXTERNO</t>
  </si>
  <si>
    <t>MDT-DRTSPL-2015-3209-M</t>
  </si>
  <si>
    <t>MDT-DRTSPL-2015-1976-O</t>
  </si>
  <si>
    <t>EN623035653EC</t>
  </si>
  <si>
    <t>MDT-DRTSPL-2015-3957-EXTERNO</t>
  </si>
  <si>
    <t>MDT-DRTSPL-2015-1907-O</t>
  </si>
  <si>
    <t>MDT-DRTSPL-2015-3960-EXTERNO</t>
  </si>
  <si>
    <t>MDT-DRTSPL-2015-1852-O</t>
  </si>
  <si>
    <t>MDT-DRTSPL-2015-3966-EXTERNO</t>
  </si>
  <si>
    <t>MDT-DRTSPL-2015-1853-O</t>
  </si>
  <si>
    <t>MDT-DRTSPL-2015-3967-EXTERNO</t>
  </si>
  <si>
    <t>MDT-DRTSPL-2015-1854-O</t>
  </si>
  <si>
    <t>MDT-DRTSPL-2015-3968-EXTERNO</t>
  </si>
  <si>
    <t>MDT-DRTSPL-2015-1859-O</t>
  </si>
  <si>
    <t>MDT-DRTSPL-2015-3970-EXTERNO</t>
  </si>
  <si>
    <t>MDT-DRTSPL-2015-1988-O</t>
  </si>
  <si>
    <t>EP PETROECUADOR</t>
  </si>
  <si>
    <t>JUAN PABLO BAUTISTA</t>
  </si>
  <si>
    <t>MDT-DRTSPL-2015-3973-EXTERNO</t>
  </si>
  <si>
    <t>MDT-DRTSPL-2015-1860-O</t>
  </si>
  <si>
    <t>MDT-DRTSPL-2015-3976-EXTERNO</t>
  </si>
  <si>
    <t>MDT-DRTSPL-2015-1897-O</t>
  </si>
  <si>
    <t>MDT-DRTSPL-2015-3977-EXTERNO</t>
  </si>
  <si>
    <t>MDT-DRTSPL-2015-3211-M</t>
  </si>
  <si>
    <t>MDT-DRTSPL-2015-1975-O</t>
  </si>
  <si>
    <t>MDT-DRTSPL-2015-3978-EXTERNO</t>
  </si>
  <si>
    <t>MDT-DRTSPL-2015-1896-O</t>
  </si>
  <si>
    <t>MDT-DRTSPL-2015-3981-EXTERNO</t>
  </si>
  <si>
    <t>MDT-DRTSPL-2015-3212-M</t>
  </si>
  <si>
    <t>MDT-DRTSPL-2015-1974-O</t>
  </si>
  <si>
    <t>MDT-DRTSPL-2015-3984-EXTERNO</t>
  </si>
  <si>
    <t>MDT-DRTSPL-2015-3213-M</t>
  </si>
  <si>
    <t>MDT-DRTSPL-2015-1970-O</t>
  </si>
  <si>
    <t>MDT-DRTSPL-2015-3986-EXTERNO</t>
  </si>
  <si>
    <t>MDT-DRTSPL-2015-3214-M</t>
  </si>
  <si>
    <t>MDT-DRTSPL-2015-1969-O</t>
  </si>
  <si>
    <t>MDT-DRTSPL-2015-3989-EXTERNO</t>
  </si>
  <si>
    <t>MDT-DRTSPL-2015-1898-O</t>
  </si>
  <si>
    <t>MDT-DRTSPL-2015-3993-EXTERNO</t>
  </si>
  <si>
    <t>MDT-DRTSPL-2015-1911-O</t>
  </si>
  <si>
    <t>MDT-DRTSPL-2015-3999-EXTERNO</t>
  </si>
  <si>
    <t>MDT-DRTSPL-2015-3215-M</t>
  </si>
  <si>
    <t>MDT-DRTSPL-2015-1968-O</t>
  </si>
  <si>
    <t>MDT-DRTSPL-2015-4007-EXTERNO</t>
  </si>
  <si>
    <t>MDT-DRTSPL-2015-1929-O</t>
  </si>
  <si>
    <t>MDT-DRTSPL-2015-4008-EXTERNO</t>
  </si>
  <si>
    <t>MDT-DRTSPL-2015-1899-O</t>
  </si>
  <si>
    <t>MDT-DRTSPL-2015-4010-EXTERNO</t>
  </si>
  <si>
    <t>MDT-DRTSPL-2015-2041-O</t>
  </si>
  <si>
    <t>MDT-DRTSPL-2015-4011-EXTERNO</t>
  </si>
  <si>
    <t>MDT-DRTSPL-2015-1902-O</t>
  </si>
  <si>
    <t>MDT-DRTSPL-2015-4014-EXTERNO</t>
  </si>
  <si>
    <t>MDT-DRTSPL-2015-1903-O</t>
  </si>
  <si>
    <t>MDT-DRTSPL-2015-4015-EXTERNO</t>
  </si>
  <si>
    <t>MDT-DRTSPL-2015-1904-O</t>
  </si>
  <si>
    <t>MDT-DRTSPL-2015-4019-EXTERNO</t>
  </si>
  <si>
    <t>MDT-DRTSPL-2015-1905-O</t>
  </si>
  <si>
    <t>MDT-DRTSPL-2015-4021-EXTERNO</t>
  </si>
  <si>
    <t>MDT-DRTSPL-2015-1906-O</t>
  </si>
  <si>
    <t>MDT-DRTSPL-2015-4022-EXTERNO</t>
  </si>
  <si>
    <t>MDT-DRTSPL-2015-3216-M</t>
  </si>
  <si>
    <t>MDT-DRTSPL-2015-1967-O</t>
  </si>
  <si>
    <t>MDT-DRTSPL-2015-4023-EXTERNO</t>
  </si>
  <si>
    <t>MDT-DRTSPL-2015-3217-M</t>
  </si>
  <si>
    <t>MDT-DRTSPL-2015-1993-O</t>
  </si>
  <si>
    <t>MDT-DRTSPL-2015-4027-EXTERNO</t>
  </si>
  <si>
    <t>MDT-DRTSPL-2015-2050-O</t>
  </si>
  <si>
    <t>MDT-DRTSPL-2015-4028-EXTERNO</t>
  </si>
  <si>
    <t>MDT-DRTSPL-2015-1943-O</t>
  </si>
  <si>
    <t>MDT-DRTSPL-2015-4029-EXTERNO</t>
  </si>
  <si>
    <t>MDT-DRTSPL-2015-1955-O</t>
  </si>
  <si>
    <t>MDT-DRTSPL-2015-4033-EXTERNO</t>
  </si>
  <si>
    <t>MDT-DRTSPL-2015-3282-M</t>
  </si>
  <si>
    <t>MDT-DRTSPL-2015-2043-O</t>
  </si>
  <si>
    <t>MDT-DRTSPL-2015-4034-EXTERNO</t>
  </si>
  <si>
    <t>MDT-DRTSPL-2015-3283-M</t>
  </si>
  <si>
    <t>MDT-DRTSPL-2015-2023-O</t>
  </si>
  <si>
    <t>MDT-DRTSPL-2015-4035-EXTERNO</t>
  </si>
  <si>
    <t>MDT-DRTSPL-2015-3281-M</t>
  </si>
  <si>
    <t>MDT-DRTSPL-2015-2025-O</t>
  </si>
  <si>
    <t>MDT-DRTSPL-2015-4038-EXTERNO</t>
  </si>
  <si>
    <t>MDT-DRTSPL-2015-3280-M</t>
  </si>
  <si>
    <t>MDT-DRTSPL-2015-2044-O</t>
  </si>
  <si>
    <t>MDT-DRTSPL-2015-4042-EXTERNO</t>
  </si>
  <si>
    <t>MDT-DRTSPL-2015-3274-M</t>
  </si>
  <si>
    <t>MDT-DRTSPL-2015-2029-O</t>
  </si>
  <si>
    <t>MDT-DRTSPL-2015-4043-EXTERNO</t>
  </si>
  <si>
    <t>MDT-DRTSPL-2015-3276-M</t>
  </si>
  <si>
    <t>MDT-DRTSPL-2015-2028-O</t>
  </si>
  <si>
    <t>MDT-DRTSPL-2015-4044-EXTERNO</t>
  </si>
  <si>
    <t>MDT-DRTSPL-2015-3277-M</t>
  </si>
  <si>
    <t>MDT-DRTSPL-2015-2027-O</t>
  </si>
  <si>
    <t>MDT-DRTSPL-2015-4045-EXTERNO</t>
  </si>
  <si>
    <t>MDT-DRTSPL-2015-3279-M</t>
  </si>
  <si>
    <t>MDT-DRTSPL-2015-2020-O</t>
  </si>
  <si>
    <t>MDT-DRTSPL-2015-4047-EXTERNO</t>
  </si>
  <si>
    <t>MDT-DRTSPL-2015-3302-M</t>
  </si>
  <si>
    <t>MDT-DRTSPL-2015-2063-O</t>
  </si>
  <si>
    <t>MDT-DRTSPL-2015-4057-EXTERNO</t>
  </si>
  <si>
    <t>MDT-DRTSPL-2015-3273-M</t>
  </si>
  <si>
    <t>MDT-DRTSPL-2015-2030-O</t>
  </si>
  <si>
    <t>EN623168915EC</t>
  </si>
  <si>
    <t>MDT-DRTSPL-2015-4058-EXTERNO</t>
  </si>
  <si>
    <t>MDT-DRTSPL-2015-3243-M</t>
  </si>
  <si>
    <t>MDT-DRTSPL-2015-1996-O</t>
  </si>
  <si>
    <t>EN623168955EC</t>
  </si>
  <si>
    <t>MDT-DRTSPL-2015-4061-EXTERNO</t>
  </si>
  <si>
    <t>MDT-DRTSPL-2015-3244-M</t>
  </si>
  <si>
    <t>MDT-DRTSPL-2015-1997-O</t>
  </si>
  <si>
    <t>MDT-DRTSPL-2015-4062-EXTERNO</t>
  </si>
  <si>
    <t>MDT-DRTSPL-2015-2003-O</t>
  </si>
  <si>
    <t>MDT-DRTSPL-2015-4063-EXTERNO</t>
  </si>
  <si>
    <t>MDT-DRTSPL-2015-2002-O</t>
  </si>
  <si>
    <t>MDT-DRTSPL-2015-4064-EXTERNO</t>
  </si>
  <si>
    <t>MDT-DRTSPL-2015-3242-M</t>
  </si>
  <si>
    <t>MDT-DRTSPL-2015-1995-O</t>
  </si>
  <si>
    <t>MDT-DRTSPL-2015-4065-EXTERNO</t>
  </si>
  <si>
    <t>MDT-DRTSPL-2015-2001-O</t>
  </si>
  <si>
    <t>MDT-DRTSPL-2015-4066-EXTERNO</t>
  </si>
  <si>
    <t>MDT-DRTSPL-2015-3241-M</t>
  </si>
  <si>
    <t>MDT-DRTSPL-2015-1998-O</t>
  </si>
  <si>
    <t>MDT-DRTSPL-2015-4067-EXTERNO</t>
  </si>
  <si>
    <t>MDT-DRTSPL-2015-2000-O</t>
  </si>
  <si>
    <t>MDT-DRTSPL-2015-4068-EXTERNO</t>
  </si>
  <si>
    <t>MDT-DRTSPL-2015-3284-M</t>
  </si>
  <si>
    <t>MDT-DRTSPL-2015-2021-O</t>
  </si>
  <si>
    <t>MDT-DRTSPL-2015-4069-EXTERNO</t>
  </si>
  <si>
    <t>MDT-DRTSPL-2015-3285-M</t>
  </si>
  <si>
    <t>MDT-DRTSPL-2015-2019-O</t>
  </si>
  <si>
    <t>MDT-DRTSPL-2015-4070-EXTERNO</t>
  </si>
  <si>
    <t>MDT-DRTSPL-2015-2046-O</t>
  </si>
  <si>
    <t>MDT-DRTSPL-2015-4071-EXTERNO</t>
  </si>
  <si>
    <t>MDT-DRTSPL-2015-3286-M</t>
  </si>
  <si>
    <t>MDT-DRTSPL-2015-2018-O</t>
  </si>
  <si>
    <t>MDT-DRTSPL-2015-4073-EXTERNO</t>
  </si>
  <si>
    <t>MDT-DRTSPL-2015-2047-O</t>
  </si>
  <si>
    <t>MDT-DRTSPL-2015-4074-EXTERNO</t>
  </si>
  <si>
    <t>MDT-DRTSPL-2015-3287-M</t>
  </si>
  <si>
    <t>MDT-DRTSPL-2015-2017-O</t>
  </si>
  <si>
    <t>EN623168924EC</t>
  </si>
  <si>
    <t>MDT-DRTSPL-2015-4077-EXTERNO</t>
  </si>
  <si>
    <t>MDT-DRTSPL-2015-3289-M</t>
  </si>
  <si>
    <t>MDT-DRTSPL-2015-2016-O</t>
  </si>
  <si>
    <t>EN623168938EC</t>
  </si>
  <si>
    <t>MDT-DRTSPL-2015-4085-EXTERNO</t>
  </si>
  <si>
    <t>MDT-DRTSPL-2015-1944-O</t>
  </si>
  <si>
    <t>MDT-DRTSPL-2015-4086-EXTERNO</t>
  </si>
  <si>
    <t>MDT-DRTSPL-2015-1945-O</t>
  </si>
  <si>
    <t>MDT-DRTSPL-2015-4087-EXTERNO</t>
  </si>
  <si>
    <t>MDT-DRTSPL-2015-1986-O</t>
  </si>
  <si>
    <t>MDT-DRTSPL-2015-4088-EXTERNO</t>
  </si>
  <si>
    <t>MDT-DRTSPL-2015-1947-O</t>
  </si>
  <si>
    <t>MDT-DRTSPL-2015-4090-EXTERNO</t>
  </si>
  <si>
    <t>MDT-DRTSPL-2015-1948-O</t>
  </si>
  <si>
    <t>MDT-DRTSPL-2015-4101-EXTERNO</t>
  </si>
  <si>
    <t>MDT-DRTSPL-2015-1950-O</t>
  </si>
  <si>
    <t>MDT-DRTSPL-2015-4103-EXTERNO</t>
  </si>
  <si>
    <t>MDT-DRTSPL-2015-1987-O</t>
  </si>
  <si>
    <t>MDT-DRTSPL-2015-4104-EXTERNO</t>
  </si>
  <si>
    <t>MDT-DRTSPL-2015-3272-M</t>
  </si>
  <si>
    <t>MDT-DRTSPL-2015-2031-O</t>
  </si>
  <si>
    <t>MDT-DRTSPL-2015-4115-EXTERNO</t>
  </si>
  <si>
    <t>MDT-DRTSPL-2015-1954-O</t>
  </si>
  <si>
    <t>MDT-DRTSPL-2015-4118-EXTERNO</t>
  </si>
  <si>
    <t>MDT-DRTSPL-2015-3290-M</t>
  </si>
  <si>
    <t>MDT-DRTSPL-2015-2015-O</t>
  </si>
  <si>
    <t>MDT-DRTSPL-2015-4123-EXTERNO</t>
  </si>
  <si>
    <t>MDT-DRTSPL-2015-1971-O</t>
  </si>
  <si>
    <t>MDT-DRTSPL-2015-4124-EXTERNO</t>
  </si>
  <si>
    <t>MDT-DRTSPL-2015-1972-O</t>
  </si>
  <si>
    <t>MDT-DRTSPL-2015-4125-EXTERNO</t>
  </si>
  <si>
    <t>MDT-DRTSPL-2015-1973-O</t>
  </si>
  <si>
    <t>MDT-DRTSPL-2015-4126-EXTERNO</t>
  </si>
  <si>
    <t>MARía Josefa Apolo Ordoñez</t>
  </si>
  <si>
    <t>MDT-DRTSPL-2015-3630-M</t>
  </si>
  <si>
    <t>MDT-DRTSPL-2015-2236-O</t>
  </si>
  <si>
    <t>MDT-DRTSPL-2015-4127-EXTERNO</t>
  </si>
  <si>
    <t>MDT-DRTSPL-2015-3291-M</t>
  </si>
  <si>
    <t>MDT-DRTSPL-2015-2014-O</t>
  </si>
  <si>
    <t>EN623168941EC</t>
  </si>
  <si>
    <t>MDT-DRTSPL-2015-4130-EXTERNO</t>
  </si>
  <si>
    <t>MDT-DRTSPL-2015-3292-M</t>
  </si>
  <si>
    <t>MDT-DRTSPL-2015-2012-O</t>
  </si>
  <si>
    <t>MDT-DRTSPL-2015-4132-EXTERNO</t>
  </si>
  <si>
    <t>MDT-DRTSPL-2015-1930-O</t>
  </si>
  <si>
    <t>MDT-DRTSPL-2015-4136-EXTERNO</t>
  </si>
  <si>
    <t>MDT-DRTSPL-2015-1952-O</t>
  </si>
  <si>
    <t>MDT-DRTSPL-2015-4137-EXTERNO</t>
  </si>
  <si>
    <t>MDT-DRTSPL-2015-1953-O</t>
  </si>
  <si>
    <t>MDT-DRTSPL-2015-4142-EXTERNO</t>
  </si>
  <si>
    <t>MDT-DRTSPL-2015-3271-M</t>
  </si>
  <si>
    <t>MDT-DRTSPL-2015-2032-O</t>
  </si>
  <si>
    <t>MDT-DRTSPL-2015-4143-EXTERNO</t>
  </si>
  <si>
    <t>MDT-DRTSPL-2015-3270-M</t>
  </si>
  <si>
    <t>MDT-DRTSPL-2015-2033-O</t>
  </si>
  <si>
    <t>MDT-DRTSPL-2015-4145-EXTERNO</t>
  </si>
  <si>
    <t>MDT-DRTSPL-2015-3269-M</t>
  </si>
  <si>
    <t>MDT-DRTSPL-2015-2034-O</t>
  </si>
  <si>
    <t>MDT-DRTSPL-2015-4147-EXTERNO</t>
  </si>
  <si>
    <t>MDT-DRTSPL-2015-3301-M</t>
  </si>
  <si>
    <t>MDT-DRTSPL-2015-2062-O</t>
  </si>
  <si>
    <t>MDT-DRTSPL-2015-4148-EXTERNO</t>
  </si>
  <si>
    <t>MDT-DRTSPL-2015-3268-M</t>
  </si>
  <si>
    <t>MDT-DRTSPL-2015-2035-O</t>
  </si>
  <si>
    <t>MDT-DRTSPL-2015-4150-EXTERNO</t>
  </si>
  <si>
    <t>MDT-DRTSPL-2015-3293-M</t>
  </si>
  <si>
    <t>MDT-DRTSPL-2015-2042-O</t>
  </si>
  <si>
    <t>MDT-DRTSPL-2015-4151-EXTERNO</t>
  </si>
  <si>
    <t>MDT-DRTSPL-2015-3267-M</t>
  </si>
  <si>
    <t>MDT-DRTSPL-2015-2036-O</t>
  </si>
  <si>
    <t>MDT-DRTSPL-2015-4160-EXTERNO</t>
  </si>
  <si>
    <t>MDT-DRTSPL-2015-3294-M</t>
  </si>
  <si>
    <t>MDT-DRTSPL-2015-2011-O</t>
  </si>
  <si>
    <t>MDT-DRTSPL-2015-4161-EXTERNO</t>
  </si>
  <si>
    <t>MDT-DRTSPL-2015-3235-M</t>
  </si>
  <si>
    <t>MDT-DRTSPL-2015-2005-O</t>
  </si>
  <si>
    <t>MDT-DRTSPL-2015-4162-EXTERNO</t>
  </si>
  <si>
    <t>MDT-DRTSPL-2015-3234-M</t>
  </si>
  <si>
    <t>MDT-DRTSPL-2015-2007-O</t>
  </si>
  <si>
    <t>MDT-DRTSPL-2015-4163-EXTERNO</t>
  </si>
  <si>
    <t>MDT-DRTSPL-2015-2004-O</t>
  </si>
  <si>
    <t>MDT-DRTSPL-2015-4164-EXTERNO</t>
  </si>
  <si>
    <t>MDT-DRTSPL-2015-3233-M</t>
  </si>
  <si>
    <t>MDT-DRTSPL-2015-2006-O</t>
  </si>
  <si>
    <t>MDT-DRTSPL-2015-4173-EXTERNO</t>
  </si>
  <si>
    <t>MDT-DRTSPL-2015-3320-M</t>
  </si>
  <si>
    <t>MDT-DRTSPL-2015-2064-O</t>
  </si>
  <si>
    <t>MDT-DRTSPL-2015-4186-EXTERNO</t>
  </si>
  <si>
    <t>MDT-DRTSPL-2015-3322-M</t>
  </si>
  <si>
    <t>MDT-DRTSPL-2015-2072-O</t>
  </si>
  <si>
    <t>MDT-DRTSPL-2015-4188-EXTERNO</t>
  </si>
  <si>
    <t>MDT-DRTSPL-2015-3321-M</t>
  </si>
  <si>
    <t>MDT-DRTSPL-2015-2071-O</t>
  </si>
  <si>
    <t>MDT-DRTSPL-2015-4194-EXTERNO</t>
  </si>
  <si>
    <t>MDT-DRTSPL-2015-2056-O</t>
  </si>
  <si>
    <t>MDT-DRTSPL-2015-4198-EXTERNO</t>
  </si>
  <si>
    <t>MDT-DRTSPL-2015-2060-O</t>
  </si>
  <si>
    <t>MDT-DRTSPL-2015-4202-EXTERNO</t>
  </si>
  <si>
    <t>MDT-DRTSPL-2015-3338-M</t>
  </si>
  <si>
    <t>MDT-DRTSPL-2015-2078-O</t>
  </si>
  <si>
    <t>MDT-DRTSPL-2015-4204-EXTERNO</t>
  </si>
  <si>
    <t>MDT-DRTSPL-2015-3335-M</t>
  </si>
  <si>
    <t>MDT-DRTSPL-2015-2077-O</t>
  </si>
  <si>
    <t>MDT-DRTSPL-2015-4205-EXTERNO</t>
  </si>
  <si>
    <t>MDT-DRTSPL-2015-3323-M</t>
  </si>
  <si>
    <t>MDT-DRTSPL-2015-2065-O</t>
  </si>
  <si>
    <t>MDT-DRTSPL-2015-4206-EXTERNO</t>
  </si>
  <si>
    <t>MDT-DRTSPL-2015-2048-O</t>
  </si>
  <si>
    <t>MDT-DRTSPL-2015-4207-EXTERNO</t>
  </si>
  <si>
    <t>MDT-DRTSPL-2015-3324-M</t>
  </si>
  <si>
    <t>MDT-DRTSPL-2015-2066-O</t>
  </si>
  <si>
    <t>MDT-DRTSPL-2015-4214-EXTERNO</t>
  </si>
  <si>
    <t>MDT-DRTSPL-2015-3325-M</t>
  </si>
  <si>
    <t>MDT-DRTSPL-2015-2067-O</t>
  </si>
  <si>
    <t>MDT-DRTSPL-2015-4216-EXTERNO</t>
  </si>
  <si>
    <t>mayte Del Cisne Elizalde Vivanco</t>
  </si>
  <si>
    <t>MDT-DSG-2015-2989-MEMORANDO</t>
  </si>
  <si>
    <t>LUIS Miguel Quezada Coba</t>
  </si>
  <si>
    <t>MDT-DRTSPL-2015-2107-O</t>
  </si>
  <si>
    <t>MDT-DRTSPL-2015-4217-EXTERNO</t>
  </si>
  <si>
    <t>MDT-DRTSPL-2015-3326-M</t>
  </si>
  <si>
    <t>MDT-DRTSPL-2015-2068-O</t>
  </si>
  <si>
    <t>MDT-DRTSPL-2015-4226-EXTERNO</t>
  </si>
  <si>
    <t>MDT-DRTSPL-2015-3591-M</t>
  </si>
  <si>
    <t>MDT-DRTSPL-2015-2218-O</t>
  </si>
  <si>
    <t>EN623791808EC</t>
  </si>
  <si>
    <t>MDT-DRTSPL-2015-4227-EXTERNO</t>
  </si>
  <si>
    <t>MDT-DRTSPL-2015-3327-M</t>
  </si>
  <si>
    <t>MDT-DRTSPL-2015-2069-O</t>
  </si>
  <si>
    <t>MDT-DRTSPL-2015-4229-EXTERNO</t>
  </si>
  <si>
    <t>MDT-DRTSPL-2015-3328-M</t>
  </si>
  <si>
    <t>MDT-DRTSPL-2015-2070-O</t>
  </si>
  <si>
    <t>MDT-DRTSPL-2015-4230-EXTERNO</t>
  </si>
  <si>
    <t>MDT-DRTSPL-2015-2053-O</t>
  </si>
  <si>
    <t>MDT-DRTSPL-2015-4231-EXTERNO</t>
  </si>
  <si>
    <t>MDT-DRTSPL-2015-3441-M</t>
  </si>
  <si>
    <t>MDT-DRTSPL-2015-2139-O</t>
  </si>
  <si>
    <t>EN623529469EC</t>
  </si>
  <si>
    <t>MDT-DRTSPL-2015-4235-EXTERNO</t>
  </si>
  <si>
    <t>MDT-DRTSPL-2015-3445-M</t>
  </si>
  <si>
    <t>MDT-DRTSPL-2015-2143-O</t>
  </si>
  <si>
    <t>MDT-DRTSPL-2015-4237-EXTERNO</t>
  </si>
  <si>
    <t>MDT-DRTSPL-2015-3452-M</t>
  </si>
  <si>
    <t>MDT-DRTSPL-2015-2147-O</t>
  </si>
  <si>
    <t>MDT-DRTSPL-2015-4239-EXTERNO</t>
  </si>
  <si>
    <t>MDT-DRTSPL-2015-2052-O</t>
  </si>
  <si>
    <t>MDT-DRTSPL-2015-4240-EXTERNO</t>
  </si>
  <si>
    <t>MDT-DRTSPL-2015-2054-O</t>
  </si>
  <si>
    <t>MDT-DRTSPL-2015-4241-EXTERNO</t>
  </si>
  <si>
    <t>MDT-DRTSPL-2015-2128-O</t>
  </si>
  <si>
    <t>MDT-DRTSPL-2015-2146-O</t>
  </si>
  <si>
    <t>MDT-DRTSPL-2015-4242-EXTERNO</t>
  </si>
  <si>
    <t>MDT-DRTSPL-2015-2085-O</t>
  </si>
  <si>
    <t>MDT-DRTSPL-2015-4246-EXTERNO</t>
  </si>
  <si>
    <t>MDT-DRTSPL-2015-3449-M</t>
  </si>
  <si>
    <t>MDT-DRTSPL-2015-2150-O</t>
  </si>
  <si>
    <t>MDT-DRTSPL-2015-4247-EXTERNO</t>
  </si>
  <si>
    <t>MDT-DRTSPL-2015-3448-M</t>
  </si>
  <si>
    <t>MDT-DRTSPL-2015-2145-O</t>
  </si>
  <si>
    <t>MDT-DRTSPL-2015-4248-EXTERNO</t>
  </si>
  <si>
    <t>MDT-DRTSPL-2015-3446-M</t>
  </si>
  <si>
    <t>MDT-DRTSPL-2015-2144-O</t>
  </si>
  <si>
    <t>MDT-DRTSPL-2015-4249-EXTERNO</t>
  </si>
  <si>
    <t>MDT-DRTSPL-2015-3444-M</t>
  </si>
  <si>
    <t>MDT-DRTSPL-2015-2142-O</t>
  </si>
  <si>
    <t>MDT-DRTSPL-2015-4250-EXTERNO</t>
  </si>
  <si>
    <t>MDT-DRTSPL-2015-2051-O</t>
  </si>
  <si>
    <t>MDT-DRTSPL-2015-4265-EXTERNO</t>
  </si>
  <si>
    <t>MDT-DRTSPL-2015-3342-M</t>
  </si>
  <si>
    <t>MDT-DRTSPL-2015-2080-O</t>
  </si>
  <si>
    <t>EN623284151EC</t>
  </si>
  <si>
    <t>MDT-DRTSPL-2015-4266-EXTERNO</t>
  </si>
  <si>
    <t>MDT-DRTSPL-2015-3443-M</t>
  </si>
  <si>
    <t>MDT-DRTSPL-2015-2141-O</t>
  </si>
  <si>
    <t>MDT-DRTSPL-2015-4267-EXTERNO</t>
  </si>
  <si>
    <t>MDT-DRTSPL-2015-3450-M</t>
  </si>
  <si>
    <t>MDT-DRTSPL-2015-2149-O</t>
  </si>
  <si>
    <t>MDT-DRTSPL-2015-4268-EXTERNO</t>
  </si>
  <si>
    <t>MDT-DRTSPL-2015-3451-M</t>
  </si>
  <si>
    <t>MDT-DRTSPL-2015-2148-O</t>
  </si>
  <si>
    <t>MDT-DRTSPL-2015-4269-EXTERNO</t>
  </si>
  <si>
    <t>MDT-DRTSPL-2015-3442-M</t>
  </si>
  <si>
    <t>MDT-DRTSPL-2015-2140-O</t>
  </si>
  <si>
    <t>MDT-DRTSPL-2015-4270-EXTERNO</t>
  </si>
  <si>
    <t>MDT-DRTSPL-2015-3340-M</t>
  </si>
  <si>
    <t>MDT-DRTSPL-2015-2079-O</t>
  </si>
  <si>
    <t>MDT-DRTSPL-2015-4271-EXTERNO</t>
  </si>
  <si>
    <t>MDT-DRTSPL-2015-3343-M</t>
  </si>
  <si>
    <t>MDT-DRTSPL-2015-2081-O</t>
  </si>
  <si>
    <t>MDT-DRTSPL-2015-4272-EXTERNO</t>
  </si>
  <si>
    <t>MDT-DRTSPL-2015-3344-M</t>
  </si>
  <si>
    <t>MDT-DRTSPL-2015-2082-O</t>
  </si>
  <si>
    <t>EN623284165EC</t>
  </si>
  <si>
    <t>MDT-DRTSPL-2015-4273-EXTERNO</t>
  </si>
  <si>
    <t>MDT-DRTSPL-2015-3345-M</t>
  </si>
  <si>
    <t>MDT-DRTSPL-2015-2083-O</t>
  </si>
  <si>
    <t>MDT-DRTSPL-2015-4274-EXTERNO</t>
  </si>
  <si>
    <t>MDT-DRTSPL-2015-3346-M</t>
  </si>
  <si>
    <t>MDT-DRTSPL-2015-2084-O</t>
  </si>
  <si>
    <t>MDT-DRTSPL-2015-4275-EXTERNO</t>
  </si>
  <si>
    <t>MDT-DRTSPL-2015-3360-M</t>
  </si>
  <si>
    <t>MDT-DRTSPL-2015-2102-O</t>
  </si>
  <si>
    <t>MDT-DRTSPL-2015-4276-EXTERNO</t>
  </si>
  <si>
    <t>MDT-DRTSPL-2015-3361-M</t>
  </si>
  <si>
    <t>MDT-DRTSPL-2015-2104-O</t>
  </si>
  <si>
    <t>MDT-DRTSPL-2015-4278-EXTERNO</t>
  </si>
  <si>
    <t>MDT-DRTSPL-2015-4283-EXTERNO</t>
  </si>
  <si>
    <t>MDT-DRTSPL-2015-3644-M</t>
  </si>
  <si>
    <t>MDT-DRTSPL-2015-2241-O</t>
  </si>
  <si>
    <t>ZAMORA CHINCHIPE</t>
  </si>
  <si>
    <t>EN623971115EC</t>
  </si>
  <si>
    <t>MDT-DRTSPL-2015-4284-EXTERNO</t>
  </si>
  <si>
    <t>MDT-DRTSPL-2015-3358-M</t>
  </si>
  <si>
    <t>MDT-DRTSPL-2015-2103-O</t>
  </si>
  <si>
    <t>MDT-DRTSPL-2015-4285-EXTERNO</t>
  </si>
  <si>
    <t>MDT-DRTSPL-2015-2059-O</t>
  </si>
  <si>
    <t>MDT-DRTSPL-2015-4291-EXTERNO</t>
  </si>
  <si>
    <t>MDT-DRTSPL-2015-2058-O</t>
  </si>
  <si>
    <t>MDT-DRTSPL-2015-4303-EXTERNO</t>
  </si>
  <si>
    <t>MDT-DSG-2015-3024-MEMORANDO</t>
  </si>
  <si>
    <t>MDT-DRTSPL-2015-2195-O</t>
  </si>
  <si>
    <t>EN624233575EC</t>
  </si>
  <si>
    <t>MDT-DRTSPL-2015-4305-EXTERNO</t>
  </si>
  <si>
    <t>MDT-DSG-2015-3023-MEMORANDO</t>
  </si>
  <si>
    <t>MDT-DRTSPL-2015-2187-O</t>
  </si>
  <si>
    <t>MDT-DRTSPL-2015-4306-EXTERNO</t>
  </si>
  <si>
    <t>MDT-DRTSPL-2015-2055-O</t>
  </si>
  <si>
    <t>MDT-DRTSPL-2015-4307-EXTERNO</t>
  </si>
  <si>
    <t>MDT-DRTSPL-2015-3334-M</t>
  </si>
  <si>
    <t>MDT-DRTSPL-2015-2076-O</t>
  </si>
  <si>
    <t>MDT-DRTSPL-2015-4308-EXTERNO</t>
  </si>
  <si>
    <t>MDT-DRTSPL-2015-3332-M</t>
  </si>
  <si>
    <t>MDT-DRTSPL-2015-2075-O</t>
  </si>
  <si>
    <t>MDT-DRTSPL-2015-4316-EXTERNO</t>
  </si>
  <si>
    <t>MDT-DRTSPL-2015-2057-O</t>
  </si>
  <si>
    <t>MDT-DRTSPL-2015-4319-EXTERNO</t>
  </si>
  <si>
    <t>MDT-DRTSPL-2015-2087-O</t>
  </si>
  <si>
    <t>MDT-DRTSPL-2015-4321-EXTERNO</t>
  </si>
  <si>
    <t>MDT-DRTSPL-2015-3382-M</t>
  </si>
  <si>
    <t>MDT-DRTSPL-2015-2106-O</t>
  </si>
  <si>
    <t>MDT-DRTSPL-2015-4322-EXTERNO</t>
  </si>
  <si>
    <t>MDT-DRTSPL-2015-3383-M</t>
  </si>
  <si>
    <t>MDT-DRTSPL-2015-2117-O</t>
  </si>
  <si>
    <t>EN623448014EC</t>
  </si>
  <si>
    <t>MDT-DRTSPL-2015-4325-EXTERNO</t>
  </si>
  <si>
    <t>MDT-DRTSPL-2015-2074-O</t>
  </si>
  <si>
    <t>MDT-DRTSPL-2015-4330-EXTERNO</t>
  </si>
  <si>
    <t>MDT-DRTSPL-2015-3384-M</t>
  </si>
  <si>
    <t>MDT-DRTSPL-2015-2112-O</t>
  </si>
  <si>
    <t>MDT-DRTSPL-2015-4331-EXTERNO</t>
  </si>
  <si>
    <t>MDT-DRTSPL-2015-3385-M</t>
  </si>
  <si>
    <t>MDT-DRTSPL-2015-2113-O</t>
  </si>
  <si>
    <t>MDT-DRTSPL-2015-4332-EXTERNO</t>
  </si>
  <si>
    <t>MDT-DRTSPL-2015-3386-M</t>
  </si>
  <si>
    <t>MDT-DRTSPL-2015-2114-O</t>
  </si>
  <si>
    <t>MDT-DRTSPL-2015-4334-EXTERNO</t>
  </si>
  <si>
    <t>MDT-DRTSPL-2015-3387-M</t>
  </si>
  <si>
    <t>MDT-DRTSPL-2015-2115-O</t>
  </si>
  <si>
    <t>MDT-DRTSPL-2015-4337-EXTERNO</t>
  </si>
  <si>
    <t>MDT-DRTSPL-2015-2093-O</t>
  </si>
  <si>
    <t>MDT-DRTSPL-2015-4341-EXTERNO</t>
  </si>
  <si>
    <t>MDT-DRTSPL-2015-2094-O</t>
  </si>
  <si>
    <t>MDT-DRTSPL-2015-4345-EXTERNO</t>
  </si>
  <si>
    <t>MDT-DRTSPL-2015-2154-O</t>
  </si>
  <si>
    <t>MDT-DRTSPL-2015-4347-EXTERNO</t>
  </si>
  <si>
    <t>MDT-DRTSPL-2015-3388-M</t>
  </si>
  <si>
    <t>MDT-DRTSPL-2015-3503-EXTERNO</t>
  </si>
  <si>
    <t>MDT-DRTSPL-2015-2830-M</t>
  </si>
  <si>
    <t>MDT-DRTSPL-2015-1716-O</t>
  </si>
  <si>
    <t>MDT-DRTSPL-2015-5041-EXTERNO</t>
  </si>
  <si>
    <t>MDT-DRTSPL-2015-2515-O</t>
  </si>
  <si>
    <t>Julio Cesar Fernandez Cuenca</t>
  </si>
  <si>
    <t>MDT-DRTSPL-2015-5051-EXTERNO</t>
  </si>
  <si>
    <t>MDT-DRTSPL-2015-2516-O</t>
  </si>
  <si>
    <t>Jorge Luis Puga Zhapa</t>
  </si>
  <si>
    <t>MDT-DRTSPL-2015-5052-EXTERNO</t>
  </si>
  <si>
    <t>MDT-DRTSPL-2015-2529-O</t>
  </si>
  <si>
    <t>Hugo Erazo Novillo</t>
  </si>
  <si>
    <t>MDT-DRTSPL-2015-5054-EXTERNO</t>
  </si>
  <si>
    <t>MDT-DRTSPL-2015-2523-O</t>
  </si>
  <si>
    <t>Edgar Cristóbal Flores Criollo</t>
  </si>
  <si>
    <t>MDT-DRTSPL-2015-5055-EXTERNO</t>
  </si>
  <si>
    <t>MDT-DRTSPL-2015-2493-O</t>
  </si>
  <si>
    <t>Edison Eduardo Abendaño Burneo</t>
  </si>
  <si>
    <t>1103616015</t>
  </si>
  <si>
    <t>MDT-DRTSPL-2015-5056-EXTERNO</t>
  </si>
  <si>
    <t>MDT-DRTSPL-2015-2521-O</t>
  </si>
  <si>
    <t>MDT-DRTSPL-2015-5057-EXTERNO</t>
  </si>
  <si>
    <t>MDT-DRTSPL-2015-2517-O</t>
  </si>
  <si>
    <t>Diana del Carmen Jaramillo Ramón</t>
  </si>
  <si>
    <t>1104267958</t>
  </si>
  <si>
    <t>MDT-DRTSPL-2015-5058-EXTERNO</t>
  </si>
  <si>
    <t>MDT-DRTSPL-2015-4215-M,  MDT-DSG-2015-3463-MEMORANDO</t>
  </si>
  <si>
    <t>Mayte Del Cisne Elizalde Vivanco , Luis Miguel Quezada Coba</t>
  </si>
  <si>
    <t>MDT-DRTSPL-2015-2627-O</t>
  </si>
  <si>
    <t>MDT-DRTSPL-2015-5064-EXTERNO</t>
  </si>
  <si>
    <t>MDT-DRTSPL-2015-2518-O</t>
  </si>
  <si>
    <t>Yajaira Yasmin Erraez Ruque</t>
  </si>
  <si>
    <t>1104552102</t>
  </si>
  <si>
    <t>MDT-DRTSPL-2015-5070-EXTERNO</t>
  </si>
  <si>
    <t>MDT-DRTSPL-2015-2531-O</t>
  </si>
  <si>
    <t>Abigail Talia Hurtado Ochoa</t>
  </si>
  <si>
    <t>1104884554</t>
  </si>
  <si>
    <t>MDT-DRTSPL-2015-5071-EXTERNO</t>
  </si>
  <si>
    <t>MDT-DRTSPL-2015-2522-O</t>
  </si>
  <si>
    <t>MDT-DRTSPL-2015-5084-EXTERNO</t>
  </si>
  <si>
    <t>MDT-DRTSPL-2015-2542-O</t>
  </si>
  <si>
    <t>Pedro Ruiz Reinoso</t>
  </si>
  <si>
    <t>MDT-DRTSPL-2015-5086-EXTERNO</t>
  </si>
  <si>
    <t>MDT-DRTSPL-2015-2533-O</t>
  </si>
  <si>
    <t>Maria Guicela Avila Medina</t>
  </si>
  <si>
    <t>MDT-DRTSPL-2015-5085-EXTERNO</t>
  </si>
  <si>
    <t>MDT-DRTSPL-2015-2612-O</t>
  </si>
  <si>
    <t>EN625663554EC</t>
  </si>
  <si>
    <t>MDT-DRTSPL-2015-5087-EXTERNO</t>
  </si>
  <si>
    <t>MDT-DRTSPL-2015-2563-O</t>
  </si>
  <si>
    <t>MDT-DRTSPL-2015-5088-EXTERNO</t>
  </si>
  <si>
    <t>MDT-DRTSPL-2015-2534-O</t>
  </si>
  <si>
    <t>MDT-DRTSPL-2015-5089-EXTERNO</t>
  </si>
  <si>
    <t>MDT-DRTSPL-2015-2536-O</t>
  </si>
  <si>
    <t>Fernando Alfonso Brayanes Lima</t>
  </si>
  <si>
    <t>MDT-DRTSPL-2015-5090-EXTERNO</t>
  </si>
  <si>
    <t>MDT-DRTSPL-2015-2537-O</t>
  </si>
  <si>
    <t>MDT-DRTSPL-2015-5093-EXTERNO</t>
  </si>
  <si>
    <t>MDT-DRTSPL-2015-2539-O</t>
  </si>
  <si>
    <t>Manuel Eduardo Lozada Ramirez</t>
  </si>
  <si>
    <t>MDT-DRTSPL-2015-5094-EXTERNO</t>
  </si>
  <si>
    <t>MDT-DRTSPL-2015-2538-O</t>
  </si>
  <si>
    <t>MDT-DRTSPL-2015-5095-EXTERNO</t>
  </si>
  <si>
    <t>MDT-DRTSPL-2015-2555-O</t>
  </si>
  <si>
    <t>Martha Elizabeth Jaramillo Jumbo</t>
  </si>
  <si>
    <t>MDT-DRTSPL-2015-5096-EXTERNO</t>
  </si>
  <si>
    <t>MDT-DRTSPL-2015-2540-O</t>
  </si>
  <si>
    <t>Otto Montesinos Guarnizo</t>
  </si>
  <si>
    <t>MDT-DRTSPL-2015-5097-EXTERNO</t>
  </si>
  <si>
    <t>MDT-DRTSPL-2015-2541-O</t>
  </si>
  <si>
    <t>MDT-DRTSPL-2015-5100-EXTERNO</t>
  </si>
  <si>
    <t>MDT-DRTSPL-2015-2543-O</t>
  </si>
  <si>
    <t>Magdalena del Cisne Galindo Jaramillo</t>
  </si>
  <si>
    <t>MDT-DRTSPL-2015-5103-EXTERNO</t>
  </si>
  <si>
    <t>MDT-DRTSPL-2015-2590-O</t>
  </si>
  <si>
    <t>Jorge Gustavo Paccha ViÑamagua (MINEDUC)</t>
  </si>
  <si>
    <t>EN625948049EC</t>
  </si>
  <si>
    <t>MDT-DRTSPL-2015-5112-EXTERNO</t>
  </si>
  <si>
    <t>MDT-DRTSPL-2015-2556-O</t>
  </si>
  <si>
    <t>MDT-DRTSPL-2015-5116-EXTERNO</t>
  </si>
  <si>
    <t>MDT-DRTSPL-2015-2559-O</t>
  </si>
  <si>
    <t>Alfonso Ramiro Luzuriaga Guerrero</t>
  </si>
  <si>
    <t>MDT-DRTSPL-2015-5117-EXTERNO</t>
  </si>
  <si>
    <t>MDT-DRTSPL-2015-2532-O</t>
  </si>
  <si>
    <t>Eduardo José González González</t>
  </si>
  <si>
    <t>MDT-DRTSPL-2015-5119-EXTERNO</t>
  </si>
  <si>
    <t>MDT-DRTSPL-2015-2547-O</t>
  </si>
  <si>
    <t>MDT-DRTSPL-2015-5124-EXTERNO</t>
  </si>
  <si>
    <t>MDT-DRTSPL-2015-2546-O</t>
  </si>
  <si>
    <t>EN625121876EC</t>
  </si>
  <si>
    <t>MDT-DRTSPL-2015-5128-EXTERNO</t>
  </si>
  <si>
    <t>MDT-DRTSPL-2015-2544-O</t>
  </si>
  <si>
    <t>Franklin Javier Calderon Rios</t>
  </si>
  <si>
    <t>MDT-DRTSPL-2015-5132-EXTERNO</t>
  </si>
  <si>
    <t>MDT-DRTSPL-2015-2554-O</t>
  </si>
  <si>
    <t>MDT-DRTSPL-2015-5133-EXTERNO</t>
  </si>
  <si>
    <t>MDT-DRTSPL-2015-2548-O</t>
  </si>
  <si>
    <t>MDT-DRTSPL-2015-5134-EXTERNO</t>
  </si>
  <si>
    <t>MDT-DRTSPL-2015-2558-O</t>
  </si>
  <si>
    <t>MDT-DRTSPL-2015-5138-EXTERNO</t>
  </si>
  <si>
    <t>MDT-DRTSPL-2015-2560-O</t>
  </si>
  <si>
    <t>MDT-DRTSPL-2015-5139-EXTERNO</t>
  </si>
  <si>
    <t>MDT-DRTSPL-2015-2561-O</t>
  </si>
  <si>
    <t>Raquel Marisol Soto Chamba</t>
  </si>
  <si>
    <t>1104427388</t>
  </si>
  <si>
    <t>MDT-DRTSPL-2015-5143-EXTERNO</t>
  </si>
  <si>
    <t>MDT-DRTSPL-2015-2587-O</t>
  </si>
  <si>
    <t>Silvia Alejandra Ortega Japon</t>
  </si>
  <si>
    <t>MDT-DRTSPL-2015-5147-EXTERNO</t>
  </si>
  <si>
    <t>MDT-DRTSPL-2015-2604-O</t>
  </si>
  <si>
    <t>Rosa Mercedes Marin Tigre</t>
  </si>
  <si>
    <t>MDT-DRTSPL-2015-5156-EXTERNO</t>
  </si>
  <si>
    <t>MDT-DRTSPL-2015-2585-O</t>
  </si>
  <si>
    <t>MDT-DRTSPL-2015-5157-EXTERNO</t>
  </si>
  <si>
    <t>MDT-DRTSPL-2015-2564-O</t>
  </si>
  <si>
    <t>MDT-DRTSPL-2015-5158-EXTERNO</t>
  </si>
  <si>
    <t>MDT-DRTSPL-2015-4198-M</t>
  </si>
  <si>
    <t>MDT-DRTSPL-2015-2600-O</t>
  </si>
  <si>
    <t>Bayardo Alexander Albán Ortega</t>
  </si>
  <si>
    <t>MDT-DRTSPL-2015-5161-EXTERNO</t>
  </si>
  <si>
    <t>MDT-DRTSPL-2015-2565-O</t>
  </si>
  <si>
    <t>Vinicio Josè Bravo Merchan</t>
  </si>
  <si>
    <t>MDT-DRTSPL-2015-5162-EXTERNO</t>
  </si>
  <si>
    <t>MDT-DRTSPL-2015-2605-O</t>
  </si>
  <si>
    <t>MDT-DRTSPL-2015-5164-EXTERNO</t>
  </si>
  <si>
    <t>MDT-DRTSPL-2015-2606-O</t>
  </si>
  <si>
    <t>Geovanna Tamara Chango Maldonado</t>
  </si>
  <si>
    <t>MDT-DRTSPL-2015-5167-EXTERNO</t>
  </si>
  <si>
    <t>MDT-DRTSPL-2015-2607-O</t>
  </si>
  <si>
    <t>MDT-DRTSPL-2015-5168-EXTERNO</t>
  </si>
  <si>
    <t>MDT-DRTSPL-2015-2566-O</t>
  </si>
  <si>
    <t>MDT-DRTSPL-2015-5169-EXTERNO</t>
  </si>
  <si>
    <t>MDT-DRTSPL-2015-2608-O</t>
  </si>
  <si>
    <t>Maximo Vicente Armijos Armijos</t>
  </si>
  <si>
    <t>MDT-DRTSPL-2015-5170-EXTERNO</t>
  </si>
  <si>
    <t>MDT-DRTSPL-2015-2589-O</t>
  </si>
  <si>
    <t>Juan Fernando Sigcho</t>
  </si>
  <si>
    <t>MDT-DRTSPL-2015-5171-EXTERNO</t>
  </si>
  <si>
    <t>MDT-DRTSPL-2015-2577-O</t>
  </si>
  <si>
    <t>MDT-DRTSPL-2015-5172-EXTERNO</t>
  </si>
  <si>
    <t>MDT-DRTSPL-2015-2588-O</t>
  </si>
  <si>
    <t>MDT-DRTSPL-2015-5173-EXTERNO</t>
  </si>
  <si>
    <t>MDT-DRTSPL-2015-2586-O</t>
  </si>
  <si>
    <t>MDT-DRTSPL-2015-5174-EXTERNO</t>
  </si>
  <si>
    <t>MDT-DRTSPL-2015-2602-O</t>
  </si>
  <si>
    <t>Angel Polivio Luna Ochoa</t>
  </si>
  <si>
    <t>1103425144</t>
  </si>
  <si>
    <t>MDT-DRTSPL-2015-5175-EXTERNO</t>
  </si>
  <si>
    <t>MDT-DRTSPL-2015-2569-O</t>
  </si>
  <si>
    <t>Edda Silvana Camacho Minuche</t>
  </si>
  <si>
    <t>1104279169</t>
  </si>
  <si>
    <t>MDT-DRTSPL-2015-5183-EXTERNO</t>
  </si>
  <si>
    <t>MDT-DRTSPL-2015-2567-O</t>
  </si>
  <si>
    <t>Mireya Alexandra Morocho Aguilar</t>
  </si>
  <si>
    <t>1105134157</t>
  </si>
  <si>
    <t>MDT-DRTSPL-2015-5184-EXTERNO</t>
  </si>
  <si>
    <t>MDT-DRTSPL-2015-2568-O</t>
  </si>
  <si>
    <t>Mariana Isabel Andrade Poma</t>
  </si>
  <si>
    <t>MDT-DRTSPL-2015-5189-EXTERNO</t>
  </si>
  <si>
    <t>MDT-DRTSPL-2015-2609-O</t>
  </si>
  <si>
    <t>MDT-DRTSPL-2015-5190-EXTERNO</t>
  </si>
  <si>
    <t>MDT-DRTSPL-2015-2584-O</t>
  </si>
  <si>
    <t>MDT-DRTSPL-2015-5191-EXTERNO</t>
  </si>
  <si>
    <t>MDT-DRTSPL-2015-2611-O</t>
  </si>
  <si>
    <t>MDT-DRTSPL-2015-5192-EXTERNO</t>
  </si>
  <si>
    <t>MDT-DRTSPL-2015-2583-O</t>
  </si>
  <si>
    <t>MDT-DRTSPL-2015-5194-EXTERNO</t>
  </si>
  <si>
    <t>MDT-DRTSPL-2015-2610-O</t>
  </si>
  <si>
    <t>Monica Haidee Alejandro Espinosa</t>
  </si>
  <si>
    <t>MDT-DRTSPL-2015-5198-EXTERNO</t>
  </si>
  <si>
    <t>MDT-DRTSPL-2015-2591-O</t>
  </si>
  <si>
    <t>Manuel Froilan Romero Ordoñez</t>
  </si>
  <si>
    <t>MDT-DRTSPL-2015-5199-EXTERNO</t>
  </si>
  <si>
    <t>MDT-DRTSPL-2015-2619-O</t>
  </si>
  <si>
    <t>Jose Angel Martinez Calle (MSP)</t>
  </si>
  <si>
    <t>MDT-DRTSPL-2015-5200-EXTERNO</t>
  </si>
  <si>
    <t>MDT-DRTSPL-2015-2592-O</t>
  </si>
  <si>
    <t>Stefania Alexandra Sanchez Chamba</t>
  </si>
  <si>
    <t>MDT-DRTSPL-2015-5202-EXTERNO</t>
  </si>
  <si>
    <t>MDT-DRTSPL-2015-2593-O</t>
  </si>
  <si>
    <t>Beatriz Azucena Fajardo Acaro</t>
  </si>
  <si>
    <t>MDT-DRTSPL-2015-5204-EXTERNO</t>
  </si>
  <si>
    <t>MDT-DRTSPL-2015-2616-O</t>
  </si>
  <si>
    <t>Rosa Elena Rojas Torres</t>
  </si>
  <si>
    <t>MDT-DRTSPL-2015-5207-EXTERNO</t>
  </si>
  <si>
    <t>MDT-DRTSPL-2015-2594-O</t>
  </si>
  <si>
    <t>Maria del Cisne Sarmiento Pineda</t>
  </si>
  <si>
    <t>MDT-DRTSPL-2015-5209-EXTERNO</t>
  </si>
  <si>
    <t>MDT-DRTSPL-2015-2618-O</t>
  </si>
  <si>
    <t>Juan Carlos Cuenca Jaramillo</t>
  </si>
  <si>
    <t>MDT-DRTSPL-2015-5211-EXTERNO</t>
  </si>
  <si>
    <t>MDT-DRTSPL-2015-2613-O</t>
  </si>
  <si>
    <t>MDT-DRTSPL-2015-5213-EXTERNO</t>
  </si>
  <si>
    <t>MDT-DRTSPL-2015-2603-O</t>
  </si>
  <si>
    <t>MDT-DRTSPL-2015-5215-EXTERNO</t>
  </si>
  <si>
    <t>MDT-DRTSPL-2015-2597-O</t>
  </si>
  <si>
    <t>Jorge Darío Salinas Pacheco</t>
  </si>
  <si>
    <t>MDT-DRTSPL-2015-5216-EXTERNO</t>
  </si>
  <si>
    <t>MDT-DRTSPL-2015-2596-O</t>
  </si>
  <si>
    <t>Alexandra Patricia Sanchez Guaman</t>
  </si>
  <si>
    <t>MDT-DRTSPL-2015-5217-EXTERNO</t>
  </si>
  <si>
    <t>MDT-DRTSPL-2015-2598-O</t>
  </si>
  <si>
    <t>MDT-DRTSPL-2015-5220-EXTERNO</t>
  </si>
  <si>
    <t>MDT-DRTSPL-2015-2617-O</t>
  </si>
  <si>
    <t>Sandra Mercedes Contento Córdova</t>
  </si>
  <si>
    <t>MDT-DRTSPL-2015-5221-EXTERNO</t>
  </si>
  <si>
    <t>MDT-DRTSPL-2015-2595-O</t>
  </si>
  <si>
    <t>Rosa Herminia Jimenez Gaona</t>
  </si>
  <si>
    <t>MDT-DRTSPL-2015-5223-EXTERNO</t>
  </si>
  <si>
    <t>MDT-DRTSPL-2015-2524-O</t>
  </si>
  <si>
    <t>Sara del Rocio Garcia Cueva</t>
  </si>
  <si>
    <t>MDT-DRTSPL-2015-5226-EXTERNO</t>
  </si>
  <si>
    <t>MDT-DRTSPL-2015-2622-O</t>
  </si>
  <si>
    <t>Patricia Isabel Veintimilla Ramirez</t>
  </si>
  <si>
    <t>MDT-DRTSPL-2015-5228-EXTERNO</t>
  </si>
  <si>
    <t>MDT-DRTSPL-2015-2626-O</t>
  </si>
  <si>
    <t>Irma Pilar Cajamarca Juela</t>
  </si>
  <si>
    <t>1104611064</t>
  </si>
  <si>
    <t>MDT-DRTSPL-2015-5229-EXTERNO</t>
  </si>
  <si>
    <t>MDT-DRTSPL-2015-2625-O</t>
  </si>
  <si>
    <t>Benigno Abdias Calva Calva</t>
  </si>
  <si>
    <t>1103318747</t>
  </si>
  <si>
    <t>MDT-DRTSPL-2015-5237-EXTERNO</t>
  </si>
  <si>
    <t>Deicy Mireya Malacatus Pintado</t>
  </si>
  <si>
    <t>1105585465</t>
  </si>
  <si>
    <t>MDT-DRTSPL-2015-5242-EXTERNO</t>
  </si>
  <si>
    <t>MDT-DRTSPL-2015-4217-M</t>
  </si>
  <si>
    <t>Verónica Paulina Quizhpe Ramírez</t>
  </si>
  <si>
    <t>MDT-DRTSPL-2015-5244-EXTERNO</t>
  </si>
  <si>
    <t>MDT-DRTSPL-2015-4254-M</t>
  </si>
  <si>
    <t xml:space="preserve">Diana Fabiola Morocho Sanchez </t>
  </si>
  <si>
    <t>MDT-DRTSPL-2015-2635-O</t>
  </si>
  <si>
    <t>MDT-DRTSPL-2015-5252-EXTERNO</t>
  </si>
  <si>
    <t>MDT-DRTSPL-2015-2620-O</t>
  </si>
  <si>
    <t>EN625663568EC</t>
  </si>
  <si>
    <t>MDT-DRTSPL-2015-5253-EXTERNO</t>
  </si>
  <si>
    <t>MDT-DRTSPL-2015-2621-O</t>
  </si>
  <si>
    <t>MDT-DRTSPL-2015-5263-EXTERNO</t>
  </si>
  <si>
    <t>MDT-DRTSPL-2015-4228-M</t>
  </si>
  <si>
    <t>MDT-DRTSPL-2015-2628-O</t>
  </si>
  <si>
    <t>Pablo Santiago Narvaez Cano</t>
  </si>
  <si>
    <t>MDT-DRTSPL-2015-5264-EXTERNO</t>
  </si>
  <si>
    <t>MDT-DRTSPL-2015-4252-M</t>
  </si>
  <si>
    <t>MDT-DRTSPL-2015-2643-O</t>
  </si>
  <si>
    <t>MDT-DRTSPL-2015-5265-EXTERNO</t>
  </si>
  <si>
    <t>MDT-DRTSPL-2015-4274-M</t>
  </si>
  <si>
    <t>MDT-DRTSPL-2015-2641-O</t>
  </si>
  <si>
    <t>MDT-DRTSPL-2015-5266-EXTERNO</t>
  </si>
  <si>
    <t>MDT-DRTSPL-2015-4265-M</t>
  </si>
  <si>
    <t>MDT-DRTSPL-2015-2637-O</t>
  </si>
  <si>
    <t>MDT-DRTSPL-2015-5267-EXTERNO</t>
  </si>
  <si>
    <t>MDT-DRTSPL-2015-4257-M</t>
  </si>
  <si>
    <t>MDT-DRTSPL-2015-2638-O</t>
  </si>
  <si>
    <t>MDT-DRTSPL-2015-5268-EXTERNO</t>
  </si>
  <si>
    <t>MDT-DRTSPL-2015-4256-M</t>
  </si>
  <si>
    <t>MDT-DRTSPL-2015-2639-O</t>
  </si>
  <si>
    <t>MDT-DRTSPL-2015-5269-EXTERNO</t>
  </si>
  <si>
    <t>MDT-DRTSPL-2015-4255-M</t>
  </si>
  <si>
    <t>MDT-DRTSPL-2015-2640-O</t>
  </si>
  <si>
    <t>MDT-DRTSPL-2015-5280-EXTERNO</t>
  </si>
  <si>
    <t>MDT-DRTSPL-2015-4266-M</t>
  </si>
  <si>
    <t>MDT-DRTSPL-2015-2647-O</t>
  </si>
  <si>
    <t>Freddy Xavier Valdez Huanca</t>
  </si>
  <si>
    <t>1104299282</t>
  </si>
  <si>
    <t>MDT-DRTSPL-2015-5286-EXTERNO</t>
  </si>
  <si>
    <t>MDT-DRTSPL-2015-4267-M</t>
  </si>
  <si>
    <t>MDT-DRTSPL-2015-2648-O</t>
  </si>
  <si>
    <t>Darwin Vicente Vivanco Obando</t>
  </si>
  <si>
    <t>1105582819</t>
  </si>
  <si>
    <t>MDT-DRTSPL-2015-5287-EXTERNO</t>
  </si>
  <si>
    <t>MDT-DRTSPL-2015-4273-M</t>
  </si>
  <si>
    <t>MDT-DRTSPL-2015-2651-O</t>
  </si>
  <si>
    <t>Luis Manuel Palta Suarez</t>
  </si>
  <si>
    <t>1104573838</t>
  </si>
  <si>
    <t>MDT-DRTSPL-2015-5290-EXTERNO</t>
  </si>
  <si>
    <t>MDT-DRTSPL-2015-4270-M</t>
  </si>
  <si>
    <t>MDT-DRTSPL-2015-2649-O</t>
  </si>
  <si>
    <t>Manuel Fernando Loyola Ochoa</t>
  </si>
  <si>
    <t>1101993970</t>
  </si>
  <si>
    <t>MDT-DRTSPL-2015-5300-EXTERNO</t>
  </si>
  <si>
    <t>MDT-DRTSPL-2015-2679-O</t>
  </si>
  <si>
    <t>Maria Veronica Angamarca Angamarca</t>
  </si>
  <si>
    <t>1105587461</t>
  </si>
  <si>
    <t>MDT-DRTSPL-2015-5305-EXTERNO</t>
  </si>
  <si>
    <t>MDT-DRTSPL-2015-4314-M</t>
  </si>
  <si>
    <t>MDT-DRTSPL-2015-2653-O</t>
  </si>
  <si>
    <t>MDT-DRTSPL-2015-5307-EXTERNO</t>
  </si>
  <si>
    <t>MDT-DRTSPL-2015-4313-M</t>
  </si>
  <si>
    <t>MDT-DRTSPL-2015-2654-O</t>
  </si>
  <si>
    <t>MDT-DRTSPL-2015-5308-EXTERNO</t>
  </si>
  <si>
    <t>MDT-DRTSPL-2015-4331-M</t>
  </si>
  <si>
    <t>MDT-DRTSPL-2015-2672-O</t>
  </si>
  <si>
    <t>MDT-DRTSPL-2015-5309-EXTERNO</t>
  </si>
  <si>
    <t>MDT-DRTSPL-2015-4369-M</t>
  </si>
  <si>
    <t>MDT-DRTSPL-2015-2692-O</t>
  </si>
  <si>
    <t>MDT-DRTSPL-2015-5310-EXTERNO</t>
  </si>
  <si>
    <t>MDT-DRTSPL-2015-4312-M</t>
  </si>
  <si>
    <t>MDT-DRTSPL-2015-2655-O</t>
  </si>
  <si>
    <t>MDT-DRTSPL-2015-5311-EXTERNO</t>
  </si>
  <si>
    <t>MDT-DRTSPL-2015-4364-M</t>
  </si>
  <si>
    <t>MDT-DRTSPL-2015-2695-O</t>
  </si>
  <si>
    <t>MDT-DRTSPL-2015-5312-EXTERNO</t>
  </si>
  <si>
    <t>MDT-DRTSPL-2015-4310-M</t>
  </si>
  <si>
    <t>MDT-DRTSPL-2015-5313-EXTERNO</t>
  </si>
  <si>
    <t>MDT-DRTSPL-2015-4309-M</t>
  </si>
  <si>
    <t>MDT-DRTSPL-2015-2657-O</t>
  </si>
  <si>
    <t>MDT-DRTSPL-2015-5314-EXTERNO</t>
  </si>
  <si>
    <t>MDT-DRTSPL-2015-4321-M</t>
  </si>
  <si>
    <t>MDT-DRTSPL-2015-2671-O</t>
  </si>
  <si>
    <t>MDT-DRTSPL-2015-5315-EXTERNO</t>
  </si>
  <si>
    <t>MDT-DRTSPL-2015-4325-M</t>
  </si>
  <si>
    <t>MDT-DRTSPL-2015-2673-O</t>
  </si>
  <si>
    <t>MDT-DRTSPL-2015-5316-EXTERNO</t>
  </si>
  <si>
    <t>MDT-DRTSPL-2015-4323-M</t>
  </si>
  <si>
    <t>MDT-DRTSPL-2015-2675-O</t>
  </si>
  <si>
    <t>MDT-DRTSPL-2015-5317-EXTERNO</t>
  </si>
  <si>
    <t>MDT-DRTSPL-2015-4308-M</t>
  </si>
  <si>
    <t>MDT-DRTSPL-2015-2658-O</t>
  </si>
  <si>
    <t>EN626158501EC</t>
  </si>
  <si>
    <t>MDT-DRTSPL-2015-5319-EXTERNO</t>
  </si>
  <si>
    <t>MDT-DRTSPL-2015-4305-M</t>
  </si>
  <si>
    <t>MDT-DRTSPL-2015-2663-O</t>
  </si>
  <si>
    <t>MDT-DRTSPL-2015-5320-EXTERNO</t>
  </si>
  <si>
    <t>MDT-DRTSPL-2015-4304-M</t>
  </si>
  <si>
    <t>MDT-DRTSPL-2015-2659-O</t>
  </si>
  <si>
    <t>MDT-DRTSPL-2015-5321-EXTERNO</t>
  </si>
  <si>
    <t>Cristina Belén Freire Mendieta</t>
  </si>
  <si>
    <t>MDT-DSG-2015-3537-MEMORANDO</t>
  </si>
  <si>
    <t>Darwin Jovanny Lincango Pastas</t>
  </si>
  <si>
    <t>MDT-DSG-2015-5573-OFICIO</t>
  </si>
  <si>
    <t>Luis Alberto Arias Suarez</t>
  </si>
  <si>
    <t>MDT-DRTSPL-2015-5322-EXTERNO</t>
  </si>
  <si>
    <t>MDT-DRTSPL-2015-4322-M</t>
  </si>
  <si>
    <t>MDT-DRTSPL-2015-2676-O</t>
  </si>
  <si>
    <t>MDT-DRTSPL-2015-5323-EXTERNO</t>
  </si>
  <si>
    <t>MDT-DRTSPL-2015-4302-M</t>
  </si>
  <si>
    <t>MDT-DRTSPL-2015-2660-O</t>
  </si>
  <si>
    <t>MDT-DRTSPL-2015-5327-EXTERNO</t>
  </si>
  <si>
    <t>MDT-DRTSPL-2015-4362-M</t>
  </si>
  <si>
    <t>MDT-DRTSPL-2015-2690-O</t>
  </si>
  <si>
    <t>EN626093933EC</t>
  </si>
  <si>
    <t>MDT-DRTSPL-2015-5328-EXTERNO</t>
  </si>
  <si>
    <t>MDT-DRTSPL-2015-4301-M</t>
  </si>
  <si>
    <t>MDT-DRTSPL-2015-2661-O</t>
  </si>
  <si>
    <t>MDT-DRTSPL-2015-5329-EXTERNO</t>
  </si>
  <si>
    <t>MDT-DRTSPL-2015-4300-M</t>
  </si>
  <si>
    <t>MDT-DRTSPL-2015-2662-O</t>
  </si>
  <si>
    <t>MDT-DRTSPL-2015-5330-EXTERNO</t>
  </si>
  <si>
    <t>MDT-DRTSPL-2015-4370-M</t>
  </si>
  <si>
    <t>MDT-DRTSPL-2015-2684-O</t>
  </si>
  <si>
    <t>Franco Astudillo Montalvan</t>
  </si>
  <si>
    <t>MDT-DRTSPL-2015-5331-EXTERNO</t>
  </si>
  <si>
    <t>MDT-DRTSPL-2015-4365-M</t>
  </si>
  <si>
    <t>MDT-DRTSPL-2015-2685-O</t>
  </si>
  <si>
    <t>MDT-DRTSPL-2015-5332-EXTERNO</t>
  </si>
  <si>
    <t>MDT-DRTSPL-2015-4366-M</t>
  </si>
  <si>
    <t>MDT-DRTSPL-2015-2693-O</t>
  </si>
  <si>
    <t>MDT-DRTSPL-2015-5333-EXTERNO</t>
  </si>
  <si>
    <t>MDT-DRTSPL-2015-4367-M</t>
  </si>
  <si>
    <t>MDT-DRTSPL-2015-2686-O</t>
  </si>
  <si>
    <t>MDT-DRTSPL-2015-5338-EXTERNO</t>
  </si>
  <si>
    <t>MDT-DRTSPL-2015-4368-M</t>
  </si>
  <si>
    <t>MDT-DRTSPL-2015-2694-O</t>
  </si>
  <si>
    <t>Soledad Velez</t>
  </si>
  <si>
    <t>MDT-DRTSPL-2015-5340-EXTERNO</t>
  </si>
  <si>
    <t>MDT-DRTSPL-2015-4337-M</t>
  </si>
  <si>
    <t>MDT-DRTSPL-2015-2670-O</t>
  </si>
  <si>
    <t>Willan Milovan Santos Romero</t>
  </si>
  <si>
    <t>1104597750</t>
  </si>
  <si>
    <t>MDT-DRTSPL-2015-5346-EXTERNO</t>
  </si>
  <si>
    <t>MDT-DRTSPL-2015-4335-M</t>
  </si>
  <si>
    <t>MDT-DRTSPL-2015-2668-O</t>
  </si>
  <si>
    <t>Gabriela Stefania Ramos Reyes</t>
  </si>
  <si>
    <t>1103639637</t>
  </si>
  <si>
    <t>MDT-DRTSPL-2015-5350-EXTERNO</t>
  </si>
  <si>
    <t>MDT-DRTSPL-2015-2665-O</t>
  </si>
  <si>
    <t>Romel Antonio Aguinzaca Pauta</t>
  </si>
  <si>
    <t>1105178782</t>
  </si>
  <si>
    <t>MDT-DRTSPL-2015-5362-EXTERNO</t>
  </si>
  <si>
    <t>MDT-DRTSPL-2015-4352-M</t>
  </si>
  <si>
    <t>MDT-DRTSPL-2015-2677-O</t>
  </si>
  <si>
    <t>Gloria Matilde Armijos Armijos</t>
  </si>
  <si>
    <t>0702206319</t>
  </si>
  <si>
    <t>MDT-DRTSPL-2015-5363-EXTERNO</t>
  </si>
  <si>
    <t>MDT-DRTSPL-2015-2666-O</t>
  </si>
  <si>
    <t>MDT-DRTSPL-2015-5364-EXTERNO</t>
  </si>
  <si>
    <t>MDT-DRTSPL-2015-4332-M</t>
  </si>
  <si>
    <t>MDT-DRTSPL-2015-2674-O</t>
  </si>
  <si>
    <t>Jose Luis Rios Zaruma</t>
  </si>
  <si>
    <t>MDT-DRTSPL-2015-5368-EXTERNO</t>
  </si>
  <si>
    <t>MDT-DRTSPL-2015-2667-O</t>
  </si>
  <si>
    <t>Luis Enrique Minga Sarango</t>
  </si>
  <si>
    <t>MDT-DRTSPL-2015-5371-EXTERNO</t>
  </si>
  <si>
    <t>MDT-DRTSPL-2015-2705-O</t>
  </si>
  <si>
    <t>Jerson Paul Romero Torres</t>
  </si>
  <si>
    <t>1104695398</t>
  </si>
  <si>
    <t>MDT-DRTSPL-2015-5375-EXTERNO</t>
  </si>
  <si>
    <t>ENTREGA DE COPIAS DIRECTAMENTE</t>
  </si>
  <si>
    <t>ENTREGA DIRECTA AL USUARIO</t>
  </si>
  <si>
    <t>Silvia Beatriz Rodríguez</t>
  </si>
  <si>
    <t>1101756243</t>
  </si>
  <si>
    <t>MDT-DRTSPL-2015-5378-EXTERNO</t>
  </si>
  <si>
    <t>MDT-DRTSPL-2015-4372-M</t>
  </si>
  <si>
    <t>MDT-DRTSPL-2015-2691-O</t>
  </si>
  <si>
    <t>Gina Fernanda Tapia Gutierrez</t>
  </si>
  <si>
    <t>1101866398</t>
  </si>
  <si>
    <t>MDT-DRTSPL-2015-5384-EXTERNO</t>
  </si>
  <si>
    <t>MDT-DRTSPL-2015-2688-O</t>
  </si>
  <si>
    <t>ZAPOTILLO</t>
  </si>
  <si>
    <t>EN626093902EC</t>
  </si>
  <si>
    <t>MDT-DRTSPL-2015-5388-EXTERNO</t>
  </si>
  <si>
    <t>MDT-DRTSPL-2015-2687-O</t>
  </si>
  <si>
    <t>Angel Fidencio Jimenez Cacay</t>
  </si>
  <si>
    <t>MDT-DRTSPL-2015-5391-EXTERNO</t>
  </si>
  <si>
    <t>MDT-DRTSPL-2015-4449-M</t>
  </si>
  <si>
    <t>MDT-DRTSPL-2015-2730-O</t>
  </si>
  <si>
    <t>Manuel Agustin Serrano Granda</t>
  </si>
  <si>
    <t>1103968283</t>
  </si>
  <si>
    <t>MDT-DRTSPL-2015-5393-EXTERNO</t>
  </si>
  <si>
    <t>MDT-DRTSPL-2015-2683-O</t>
  </si>
  <si>
    <t>Edgar Mauricio Abad Cordero</t>
  </si>
  <si>
    <t>1104935752</t>
  </si>
  <si>
    <t>MDT-DRTSPL-2015-5394-EXTERNO</t>
  </si>
  <si>
    <t>MDT-DRTSPL-2015-4373-M</t>
  </si>
  <si>
    <t>MDT-DRTSPL-2015-2701-O</t>
  </si>
  <si>
    <t>Sonia María Armijos Parra</t>
  </si>
  <si>
    <t>1104586563</t>
  </si>
  <si>
    <t>MDT-DRTSPL-2015-5396-EXTERNO</t>
  </si>
  <si>
    <t>MDT-DRTSPL-2015-4371-M</t>
  </si>
  <si>
    <t>MDT-DRTSPL-2015-2680-O</t>
  </si>
  <si>
    <t>MDT-DRTSPL-2015-5399-EXTERNO</t>
  </si>
  <si>
    <t>MDT-DRTSPL-2015-4474-M</t>
  </si>
  <si>
    <t>MDT-DRTSPL-2015-2735-O</t>
  </si>
  <si>
    <t>Angel Vicente Zambora Benavidez</t>
  </si>
  <si>
    <t>MDT-DRTSPL-2015-5402-EXTERNO</t>
  </si>
  <si>
    <t>MDT-DRTSPL-2015-4391-M</t>
  </si>
  <si>
    <t>MDT-DRTSPL-2015-2720-O</t>
  </si>
  <si>
    <t>Alba Estefania Vivanco Ochoa</t>
  </si>
  <si>
    <t>MDT-DRTSPL-2015-5403-EXTERNO</t>
  </si>
  <si>
    <t>MDT-DRTSPL-2015-2698-O</t>
  </si>
  <si>
    <t>Gabriela Altamirano Salcedo</t>
  </si>
  <si>
    <t>MDT-DRTSPL-2015-5404-EXTERNO</t>
  </si>
  <si>
    <t>MDT-DRTSPL-2015-2699-O</t>
  </si>
  <si>
    <t>EN626093920EC</t>
  </si>
  <si>
    <t xml:space="preserve"> MDT-DRTSPL-2015-5405-EXTERNO</t>
  </si>
  <si>
    <t>MDT-DRTSPL-2015-4555-M</t>
  </si>
  <si>
    <t>MDT-DRTSPL-2015-2782-O</t>
  </si>
  <si>
    <t>EN626525792EC</t>
  </si>
  <si>
    <t>MDT-DRTSPL-2015-5406-EXTERNO</t>
  </si>
  <si>
    <t>MDT-DRTSPL-2015-2700-O</t>
  </si>
  <si>
    <t>EN626093916EC</t>
  </si>
  <si>
    <t>MDT-DRTSPL-2015-5408-EXTERNO</t>
  </si>
  <si>
    <t>MDT-DRTSPL-2015-4393-M</t>
  </si>
  <si>
    <t>MDT-DRTSPL-2015-2719-O</t>
  </si>
  <si>
    <t>MDT-DRTSPL-2015-5410-EXTERNO</t>
  </si>
  <si>
    <t>MDT-DRTSPL-2015-4389-M</t>
  </si>
  <si>
    <t>MDT-DRTSPL-2015-2706-O</t>
  </si>
  <si>
    <t>MDT-DRTSPL-2015-5411-EXTERNO</t>
  </si>
  <si>
    <t>MDT-DRTSPL-2015-4382-M</t>
  </si>
  <si>
    <t>MDT-DRTSPL-2015-2702-O</t>
  </si>
  <si>
    <t>MDT-DRTSPL-2015-5412-EXTERNO</t>
  </si>
  <si>
    <t>MDT-DRTSPL-2015-2696-O</t>
  </si>
  <si>
    <t>MDT-DRTSPL-2015-5413-EXTERNO</t>
  </si>
  <si>
    <t>MDT-DRTSPL-2015-2697-O</t>
  </si>
  <si>
    <t>MDT-DRTSPL-2015-5419-EXTERNO</t>
  </si>
  <si>
    <t>MDT-DRTSPL-2015-4488-M</t>
  </si>
  <si>
    <t>MDT-DRTSPL-2015-2738-O</t>
  </si>
  <si>
    <t>Diego Fernando Ochoa Jimenez</t>
  </si>
  <si>
    <t>1104208978</t>
  </si>
  <si>
    <t>MDT-DRTSPL-2015-5423-EXTERNO</t>
  </si>
  <si>
    <t>MDT-DRTSPL-2015-4450-M</t>
  </si>
  <si>
    <t>MDT-DRTSPL-2015-2729-O</t>
  </si>
  <si>
    <t>MDT-DRTSPL-2015-5424-EXTERNO</t>
  </si>
  <si>
    <t>MDT-DRTSPL-2015-2709-O</t>
  </si>
  <si>
    <t>MDT-DRTSPL-2015-5426-EXTERNO</t>
  </si>
  <si>
    <t>MDT-DRTSPL-2015-4448-M</t>
  </si>
  <si>
    <t>MDT-DRTSPL-2015-2728-O</t>
  </si>
  <si>
    <t>MDT-DRTSPL-2015-5428-EXTERNO</t>
  </si>
  <si>
    <t>MDT-DSG-2015-3641-MEMORANDO,  MDT-DRTSPL-2015-4548-M</t>
  </si>
  <si>
    <t xml:space="preserve">Luis Miguel Quezada Coba </t>
  </si>
  <si>
    <t>MDT-DRTSPL-2015-2775-O</t>
  </si>
  <si>
    <t>MDT-DRTSPL-2015-5429-EXTERNO</t>
  </si>
  <si>
    <t>MDT-DRTSPL-2015-2713-O</t>
  </si>
  <si>
    <t>MDT-DRTSPL-2015-5430-EXTERNO</t>
  </si>
  <si>
    <t>MDT-DRTSPL-2015-2712-O</t>
  </si>
  <si>
    <t>MDT-DRTSPL-2015-5431-EXTERNO</t>
  </si>
  <si>
    <t>MDT-DRTSPL-2015-2711-O</t>
  </si>
  <si>
    <t>MDT-DRTSPL-2015-5432-EXTERNO</t>
  </si>
  <si>
    <t>MDT-DRTSPL-2015-2710-O</t>
  </si>
  <si>
    <t>MDT-DRTSPL-2015-5433-EXTERNO</t>
  </si>
  <si>
    <t>MDT-DRTSPL-2015-2715-O</t>
  </si>
  <si>
    <t>MDT-DRTSPL-2015-5434-EXTERNO</t>
  </si>
  <si>
    <t>MDT-DRTSPL-2015-2714-O</t>
  </si>
  <si>
    <t>MDT-DRTSPL-2015-5435-EXTERNO</t>
  </si>
  <si>
    <t>MDT-DRTSPL-2015-2737-O</t>
  </si>
  <si>
    <t>MDT-DRTSPL-2015-5438-EXTERNO</t>
  </si>
  <si>
    <t>MDT-DRTSPL-2015-4485-M</t>
  </si>
  <si>
    <t>MDT-DRTSPL-2015-2739-O</t>
  </si>
  <si>
    <t>Pedro Gustavo Ruiz Reinoso</t>
  </si>
  <si>
    <t>MDT-DRTSPL-2015-5439-EXTERNO</t>
  </si>
  <si>
    <t>MDT-DRTSPL-2015-4462-M</t>
  </si>
  <si>
    <t>MDT-DRTSPL-2015-2736-O</t>
  </si>
  <si>
    <t>EN626238139EC</t>
  </si>
  <si>
    <t>MDT-DRTSPL-2015-5443-EXTERNO</t>
  </si>
  <si>
    <t>MDT-DRTSPL-2015-2731-O</t>
  </si>
  <si>
    <t>Elvia Maria Vera Campos</t>
  </si>
  <si>
    <t>1104180151</t>
  </si>
  <si>
    <t>MDT-DRTSPL-2015-5445-EXTERNO</t>
  </si>
  <si>
    <t>MDT-DRTSPL-2015-2734-O</t>
  </si>
  <si>
    <t>Rosa Alexandra Solorzano Correa</t>
  </si>
  <si>
    <t>1105916165</t>
  </si>
  <si>
    <t>MDT-DRTSPL-2015-5449-EXTERNO</t>
  </si>
  <si>
    <t>MDT-DRTSPL-2015-4417-M</t>
  </si>
  <si>
    <t>MDT-DRTSPL-2015-2722-O</t>
  </si>
  <si>
    <t>EN626158475EC</t>
  </si>
  <si>
    <t>MDT-DRTSPL-2015-5450-EXTERNO</t>
  </si>
  <si>
    <t>MDT-DRTSPL-2015-2724-O</t>
  </si>
  <si>
    <t>Karina Elizabeth Ochoa Pullahuari</t>
  </si>
  <si>
    <t>1101740387</t>
  </si>
  <si>
    <t>MDT-DRTSPL-2015-5451-EXTERNO</t>
  </si>
  <si>
    <t>MDT-DRTSPL-2015-2708-O</t>
  </si>
  <si>
    <t>MDT-DRTSPL-2015-5455-EXTERNO</t>
  </si>
  <si>
    <t>MDT-DRTSPL-2015-2732-O</t>
  </si>
  <si>
    <t>Frine Gricelda Villalta Vicente</t>
  </si>
  <si>
    <t>MDT-DRTSPL-2015-5457-EXTERNO</t>
  </si>
  <si>
    <t>MDT-DRTSPL-2015-4493-M</t>
  </si>
  <si>
    <t>MDT-DRTSPL-2015-2721-O</t>
  </si>
  <si>
    <t>1716546120</t>
  </si>
  <si>
    <t>MDT-DRTSPL-2015-5458-EXTERNO</t>
  </si>
  <si>
    <t>MDT-DRTSPL-2015-4492-M</t>
  </si>
  <si>
    <t>MDT-DRTSPL-2015-2742-O</t>
  </si>
  <si>
    <t>Maria Eugenia Sanmartin Ureña</t>
  </si>
  <si>
    <t>1104616188</t>
  </si>
  <si>
    <t>MDT-DRTSPL-2015-5463-EXTERNO</t>
  </si>
  <si>
    <t>MDT-DRTSPL-2015-2733-O</t>
  </si>
  <si>
    <t>Maria Alicia Ramirez Vera</t>
  </si>
  <si>
    <t>0705374692</t>
  </si>
  <si>
    <t>MDT-DRTSPL-2015-5466-EXTERNO</t>
  </si>
  <si>
    <t>MDT-DRTSPL-2015-4545-M</t>
  </si>
  <si>
    <t>MDT-DRTSPL-2015-2776-O</t>
  </si>
  <si>
    <t>MDT-DRTSPL-2015-5467-EXTERNO</t>
  </si>
  <si>
    <t>MDT-DRTSPL-2015-4521-M</t>
  </si>
  <si>
    <t>MDT-DRTSPL-2015-2767-O</t>
  </si>
  <si>
    <t>MDT-DRTSPL-2015-5468-EXTERNO</t>
  </si>
  <si>
    <t>REASIGNAR</t>
  </si>
  <si>
    <t>Estimada Dayito ruego facilitar el expediente. Gracias
Fecha máxima de trámite: 2015-07-31</t>
  </si>
  <si>
    <t>Dayana Cecibel Hidalgo Montero</t>
  </si>
  <si>
    <t>MDT-DRTSPL-2015-5469-EXTERNO</t>
  </si>
  <si>
    <t>MDT-DRTSPL-2015-5470-EXTERNO</t>
  </si>
  <si>
    <t>MDT-DRTSPL-2015-2744-O</t>
  </si>
  <si>
    <t>Diana Yuri Ortiz Cuenca</t>
  </si>
  <si>
    <t>MDT-DRTSPL-2015-5471-EXTERNO</t>
  </si>
  <si>
    <t>MDT-DRTSPL-2015-4552-M</t>
  </si>
  <si>
    <t>MDT-DRTSPL-2015-2779-O</t>
  </si>
  <si>
    <t>Diana de los Angeles Lima Morocho</t>
  </si>
  <si>
    <t>MDT-DRTSPL-2015-5473-EXTERNO</t>
  </si>
  <si>
    <t>MDT-DRTSPL-2015-2723-O</t>
  </si>
  <si>
    <t>Francisco Xavier Herrera Burgos</t>
  </si>
  <si>
    <t>MDT-DRTSPL-2015-5474-EXTERNO</t>
  </si>
  <si>
    <t>MDT-DRTSPL-2015-2743-O</t>
  </si>
  <si>
    <t>MDT-DRTSPL-2015-5476-EXTERNO</t>
  </si>
  <si>
    <t>MDT-DRTSPL-2015-4546-M</t>
  </si>
  <si>
    <t>MDT-DRTSPL-2015-2778-O</t>
  </si>
  <si>
    <t>MDT-DRTSPL-2015-5478-EXTERNO</t>
  </si>
  <si>
    <t>MDT-DRTSPL-2015-2745-O</t>
  </si>
  <si>
    <t>Jhomara Veronica Ortiz Leon</t>
  </si>
  <si>
    <t>1150028023</t>
  </si>
  <si>
    <t>MDT-DRTSPL-2015-5479-EXTERNO</t>
  </si>
  <si>
    <t>MDT-DRTSPL-2015-2746-O</t>
  </si>
  <si>
    <t>Johanna Alexandra Guajala Collaguazo</t>
  </si>
  <si>
    <t>1104995806</t>
  </si>
  <si>
    <t>MDT-DRTSPL-2015-5480-EXTERNO</t>
  </si>
  <si>
    <t>MDT-DRTSPL-2015-4516-M</t>
  </si>
  <si>
    <t>MDT-DRTSPL-2015-2760-O</t>
  </si>
  <si>
    <t>Sergio Manuel Calle Pesantez</t>
  </si>
  <si>
    <t>1102362959</t>
  </si>
  <si>
    <t>MDT-DRTSPL-2015-5481-EXTERNO</t>
  </si>
  <si>
    <t>MDT-DRTSPL-2015-2747-O</t>
  </si>
  <si>
    <t>Guido Gustavo Correa Cuenca</t>
  </si>
  <si>
    <t>1103601017</t>
  </si>
  <si>
    <t>MDT-DRTSPL-2015-5483-EXTERNO</t>
  </si>
  <si>
    <t>MDT-DRTSPL-2015-2748-O</t>
  </si>
  <si>
    <t>MDT-DRTSPL-2015-4435-M</t>
  </si>
  <si>
    <t>MDT-DRTSPL-2015-4443-M</t>
  </si>
  <si>
    <t>INTERNO</t>
  </si>
  <si>
    <t>Estefanía Natali Gonzalez Arboleda</t>
  </si>
  <si>
    <t>MDT-DRTSPL-2015-5487-EXTERNO</t>
  </si>
  <si>
    <t>MDT-DRTSPL-2015-2758-O</t>
  </si>
  <si>
    <t>MDT-DRTSPL-2015-5491-EXTERNO</t>
  </si>
  <si>
    <t>MDT-DRTSPL-2015-2749-O</t>
  </si>
  <si>
    <t>Elsa Margarita Tinitana Jimenez</t>
  </si>
  <si>
    <t>MDT-DRTSPL-2015-5497-EXTERNO</t>
  </si>
  <si>
    <t>MDT-DRTSPL-2015-2750-O</t>
  </si>
  <si>
    <t>MDT-DRTSPL-2015-5498-EXTERNO</t>
  </si>
  <si>
    <t>MDT-DRTSPL-2015-4517-M</t>
  </si>
  <si>
    <t>MDT-DRTSPL-2015-2764-O</t>
  </si>
  <si>
    <t>MDT-DRTSPL-2015-5500-EXTERNO</t>
  </si>
  <si>
    <t>MDT-DRTSPL-2015-2755-O</t>
  </si>
  <si>
    <t>MDT-DRTSPL-2015-5501-EXTERNO</t>
  </si>
  <si>
    <t>MDT-DRTSPL-2015-4518-M</t>
  </si>
  <si>
    <t>MDT-DRTSPL-2015-2765-O</t>
  </si>
  <si>
    <t>1103616676</t>
  </si>
  <si>
    <t>MDT-DRTSPL-2015-5502-EXTERNO</t>
  </si>
  <si>
    <t>MDT-DRTSPL-2015-2754-O</t>
  </si>
  <si>
    <t>MDT-DRTSPL-2015-5503-EXTERNO</t>
  </si>
  <si>
    <t>MDT-DRTSPL-2015-2753-O</t>
  </si>
  <si>
    <t>MDT-DRTSPL-2015-5504-EXTERNO</t>
  </si>
  <si>
    <t>MDT-DRTSPL-2015-2752-O</t>
  </si>
  <si>
    <t>MDT-DRTSPL-2015-5505-EXTERNO</t>
  </si>
  <si>
    <t>MDT-DRTSPL-2015-2751-O</t>
  </si>
  <si>
    <t>MDT-DRTSPL-2015-5506-EXTERNO</t>
  </si>
  <si>
    <t>MDT-DRTSPL-2015-4540-M</t>
  </si>
  <si>
    <t>MDT-DRTSPL-2015-2770-O</t>
  </si>
  <si>
    <t>MDT-DRTSPL-2015-5507-EXTERNO</t>
  </si>
  <si>
    <t>MDT-DRTSPL-2015-4537-M</t>
  </si>
  <si>
    <t>MDT-DRTSPL-2015-2771-O</t>
  </si>
  <si>
    <t>MDT-DRTSPL-2015-5509-EXTERNO</t>
  </si>
  <si>
    <t>MDT-DRTSPL-2015-4535-M</t>
  </si>
  <si>
    <t>MDT-DRTSPL-2015-2772-O</t>
  </si>
  <si>
    <t>MDT-DRTSPL-2015-5510-EXTERNO</t>
  </si>
  <si>
    <t>MDT-DRTSPL-2015-4527-M</t>
  </si>
  <si>
    <t>MDT-DRTSPL-2015-2773-O</t>
  </si>
  <si>
    <t>MDT-DRTSPL-2015-5511-EXTERNO</t>
  </si>
  <si>
    <t>MDT-DRTSPL-2015-2787-O</t>
  </si>
  <si>
    <t>MDT-DRTSPL-2015-5518-EXTERNO</t>
  </si>
  <si>
    <t>MDT-DRTSPL-2015-4558-M</t>
  </si>
  <si>
    <t>MDT-DRTSPL-2015-2815-O</t>
  </si>
  <si>
    <t>Jose Hugo Quizhpe Alulima</t>
  </si>
  <si>
    <t>MDT-DRTSPL-2015-5520-EXTERNO</t>
  </si>
  <si>
    <t>MDT-DRTSPL-2015-4515-M</t>
  </si>
  <si>
    <t>MDT-DRTSPL-2015-2766-O</t>
  </si>
  <si>
    <t>Franklin Jamil Erazo Pauta</t>
  </si>
  <si>
    <t>1103747828</t>
  </si>
  <si>
    <t>MDT-DRTSPL-2015-5524-EXTERNO</t>
  </si>
  <si>
    <t>MDT-DRTSPL-2015-4522-M</t>
  </si>
  <si>
    <t>MDT-DRTSPL-2015-2769-O</t>
  </si>
  <si>
    <t>Nidia Irene Lalangui Quichimbo</t>
  </si>
  <si>
    <t>1104558455</t>
  </si>
  <si>
    <t>MDT-DRTSPL-2015-5526-EXTERNO</t>
  </si>
  <si>
    <t>MDT-DRTSPL-2015-2804-O</t>
  </si>
  <si>
    <t>Maria Fernanda Pazmiño Cisneros</t>
  </si>
  <si>
    <t>1105214462</t>
  </si>
  <si>
    <t>MDT-DRTSPL-2015-5528-EXTERNO</t>
  </si>
  <si>
    <t>MDT-DRTSPL-2015-2805-O</t>
  </si>
  <si>
    <t>Angel Sebastian Gualan Ajila</t>
  </si>
  <si>
    <t>1102918834</t>
  </si>
  <si>
    <t>MDT-DRTSPL-2015-5530-EXTERNO</t>
  </si>
  <si>
    <t>MDT-DRTSPL-2015-2812-O</t>
  </si>
  <si>
    <t>Ximena del Pilar Torres Merino</t>
  </si>
  <si>
    <t>MDT-DRTSPL-2015-5531-EXTERNO</t>
  </si>
  <si>
    <t>MDT-DRTSPL-2015-2811-O</t>
  </si>
  <si>
    <t>Jenny Maribel Robalino Padilla</t>
  </si>
  <si>
    <t>MDT-DRTSPL-2015-5533-EXTERNO</t>
  </si>
  <si>
    <t>MDT-DRTSPL-2015-2810-O</t>
  </si>
  <si>
    <t>Sara Roxette Muñoz Suarez</t>
  </si>
  <si>
    <t>MDT-DRTSPL-2015-5540-EXTERNO</t>
  </si>
  <si>
    <t>MDT-DRTSPL-2015-2792-O</t>
  </si>
  <si>
    <t>MDT-DRTSPL-2015-5541-EXTERNO</t>
  </si>
  <si>
    <t>MDT-DRTSPL-2015-4557-M</t>
  </si>
  <si>
    <t>MDT-DRTSPL-2015-2784-O</t>
  </si>
  <si>
    <t xml:space="preserve">Angel Alvear </t>
  </si>
  <si>
    <t>1103774814</t>
  </si>
  <si>
    <t>MDT-DRTSPL-2015-5545-EXTERNO</t>
  </si>
  <si>
    <t>MDT-DRTSPL-2015-2825-O</t>
  </si>
  <si>
    <t>MDT-DRTSPL-2015-5547-EXTERNO</t>
  </si>
  <si>
    <t>MDT-DRTSPL-2015-2801-O</t>
  </si>
  <si>
    <t>MDT-DRTSPL-2015-5548-EXTERNO</t>
  </si>
  <si>
    <t>MDT-DRTSPL-2015-2800-O</t>
  </si>
  <si>
    <t>MDT-DRTSPL-2015-5549-EXTERNO</t>
  </si>
  <si>
    <t>MDT-DRTSPL-2015-2794-O</t>
  </si>
  <si>
    <t>MDT-DRTSPL-2015-5550-EXTERNO</t>
  </si>
  <si>
    <t>MDT-DRTSPL-2015-2790-O</t>
  </si>
  <si>
    <t>MDT-DRTSPL-2015-5551-EXTERNO</t>
  </si>
  <si>
    <t>MDT-DRTSPL-2015-2808-O</t>
  </si>
  <si>
    <t xml:space="preserve">Junior Michael Uchuari Lima </t>
  </si>
  <si>
    <t>1103003321</t>
  </si>
  <si>
    <t>MDT-DRTSPL-2015-5552-EXTERNO</t>
  </si>
  <si>
    <t>MDT-DRTSPL-2015-4583-M</t>
  </si>
  <si>
    <t>MDT-DRTSPL-2015-2802-O</t>
  </si>
  <si>
    <t>MDT-DRTSPL-2015-5553-EXTERNO</t>
  </si>
  <si>
    <t>MDT-DRTSPL-2015-2793-O</t>
  </si>
  <si>
    <t>MDT-DRTSPL-2015-5554-EXTERNO</t>
  </si>
  <si>
    <t>MDT-DRTSPL-2015-4584-M</t>
  </si>
  <si>
    <t>MDT-DRTSPL-2015-2803-O</t>
  </si>
  <si>
    <t>MDT-DRTSPL-2015-5555-EXTERNO</t>
  </si>
  <si>
    <t>MDT-DRTSPL-2015-4576-M</t>
  </si>
  <si>
    <t>MDT-DRTSPL-2015-2799-O</t>
  </si>
  <si>
    <t>MDT-DRTSPL-2015-5556-EXTERNO</t>
  </si>
  <si>
    <t>MDT-DRTSPL-2015-2789-O</t>
  </si>
  <si>
    <t>MDT-DRTSPL-2015-5557-EXTERNO</t>
  </si>
  <si>
    <t>MDT-DRTSPL-2015-4579-M</t>
  </si>
  <si>
    <t>MDT-DRTSPL-2015-2798-O</t>
  </si>
  <si>
    <t>MDT-DRTSPL-2015-5558-EXTERNO</t>
  </si>
  <si>
    <t>MDT-DRTSPL-2015-4580-M</t>
  </si>
  <si>
    <t>MDT-DRTSPL-2015-2797-O</t>
  </si>
  <si>
    <t>MDT-DRTSPL-2015-5559-EXTERNO</t>
  </si>
  <si>
    <t>MDT-DRTSPL-2015-4566-M</t>
  </si>
  <si>
    <t>MDT-DRTSPL-2015-2785-O</t>
  </si>
  <si>
    <t>MDT-DRTSPL-2015-5560-EXTERNO</t>
  </si>
  <si>
    <t>MDT-DRTSPL-2015-4581-M</t>
  </si>
  <si>
    <t>MDT-DRTSPL-2015-2796-O</t>
  </si>
  <si>
    <t>MDT-DRTSPL-2015-5562-EXTERNO</t>
  </si>
  <si>
    <t>MDT-DRTSPL-2015-2824-O</t>
  </si>
  <si>
    <t>MDT-DRTSPL-2015-5563-EXTERNO</t>
  </si>
  <si>
    <t>MDT-DRTSPL-2015-4582-M</t>
  </si>
  <si>
    <t>MDT-DRTSPL-2015-2795-O</t>
  </si>
  <si>
    <t>MDT-DRTSPL-2015-5564-EXTERNO</t>
  </si>
  <si>
    <t>MDT-DRTSPL-2015-2788-O</t>
  </si>
  <si>
    <t>MDT-DRTSPL-2015-5565-EXTERNO</t>
  </si>
  <si>
    <t>MDT-DRTSPL-2015-2814-O</t>
  </si>
  <si>
    <t xml:space="preserve">Wilson Alcivar Yauri Remache </t>
  </si>
  <si>
    <t>1104515216</t>
  </si>
  <si>
    <t>MDT-DRTSPL-2015-5566-EXTERNO</t>
  </si>
  <si>
    <t>MDT-DRTSPL-2015-2817-O</t>
  </si>
  <si>
    <t xml:space="preserve">Ana Cristina Gallegos Aillon </t>
  </si>
  <si>
    <t>1102189071</t>
  </si>
  <si>
    <t>MDT-DRTSPL-2015-5567-EXTERNO</t>
  </si>
  <si>
    <t>MDT-DRTSPL-2015-2813-O</t>
  </si>
  <si>
    <t xml:space="preserve">Maria del Cisne Maza Medina </t>
  </si>
  <si>
    <t>1105878829</t>
  </si>
  <si>
    <t>MDT-DRTSPL-2015-5568-EXTERNO</t>
  </si>
  <si>
    <t>MDT-DRTSPL-2015-2816-O</t>
  </si>
  <si>
    <t xml:space="preserve">Juan Pablo Echeverria Tamayo </t>
  </si>
  <si>
    <t>1103471312</t>
  </si>
  <si>
    <t>MDT-DRTSPL-2015-5569-EXTERNO</t>
  </si>
  <si>
    <t>MDT-DRTSPL-2015-2807-O</t>
  </si>
  <si>
    <t xml:space="preserve">Leonardo Andres Eguiguren Bermeo </t>
  </si>
  <si>
    <t>MDT-DRTSPL-2015-5574-EXTERNO</t>
  </si>
  <si>
    <t>MDT-DRTSPL-2015-4585-M</t>
  </si>
  <si>
    <t>MDT-DRTSPL-2015-2806-O</t>
  </si>
  <si>
    <t xml:space="preserve">Rosa Macrina Alvarado Medina </t>
  </si>
  <si>
    <t>1103173710</t>
  </si>
  <si>
    <t>MDT-DRTSPL-2015-5576-EXTERNO</t>
  </si>
  <si>
    <t>MDT-DRTSPL-2015-2837-O</t>
  </si>
  <si>
    <t>MDT-DRTSPL-2015-5578-EXTERNO</t>
  </si>
  <si>
    <t>MDT-DRTSPL-2015-2836-O</t>
  </si>
  <si>
    <t>MDT-DRTSPL-2015-5579-EXTERNO</t>
  </si>
  <si>
    <t>MDT-DRTSPL-2015-2835-O</t>
  </si>
  <si>
    <t>MDT-DRTSPL-2015-5580-EXTERNO</t>
  </si>
  <si>
    <t>MDT-DRTSPL-2015-2834-O</t>
  </si>
  <si>
    <t>MDT-DRTSPL-2015-5583-EXTERNO</t>
  </si>
  <si>
    <t>MDT-DRTSPL-2015-2833-O</t>
  </si>
  <si>
    <t>MDT-DRTSPL-2015-2848-O</t>
  </si>
  <si>
    <t>1105206849</t>
  </si>
  <si>
    <t>MDT-DRTSPL-2015-5584-EXTERNO</t>
  </si>
  <si>
    <t>MDT-DRTSPL-2015-2809-O</t>
  </si>
  <si>
    <t>MDT-DRTSPL-2015-5585-EXTERNO</t>
  </si>
  <si>
    <t>MDT-DRTSPL-2015-5586-EXTERNO</t>
  </si>
  <si>
    <t>MDT-DRTSPL-2015-2821-O</t>
  </si>
  <si>
    <t>MDT-DRTSPL-2015-5587-EXTERNO</t>
  </si>
  <si>
    <t>MDT-DRTSPL-2015-2832-O</t>
  </si>
  <si>
    <t>MDT-DRTSPL-2015-5588-EXTERNO</t>
  </si>
  <si>
    <t>MDT-DRTSPL-2015-2831-O</t>
  </si>
  <si>
    <t>MDT-DRTSPL-2015-5589-EXTERNO</t>
  </si>
  <si>
    <t>MDT-DRTSPL-2015-2830-O</t>
  </si>
  <si>
    <t>MDT-DRTSPL-2015-5590-EXTERNO</t>
  </si>
  <si>
    <t>MDT-DRTSPL-2015-2829-O</t>
  </si>
  <si>
    <t>MDT-DRTSPL-2015-5592-EXTERNO</t>
  </si>
  <si>
    <t>MDT-DRTSPL-2015-2826-O</t>
  </si>
  <si>
    <t>MDT-DRTSPL-2015-5593-EXTERNO</t>
  </si>
  <si>
    <t>MDT-DRTSPL-2015-2827-O</t>
  </si>
  <si>
    <t>MDT-DRTSPL-2015-5594-EXTERNO</t>
  </si>
  <si>
    <t>MDT-DRTSPL-2015-4597-M</t>
  </si>
  <si>
    <t>MDT-DRTSPL-2015-2851-O</t>
  </si>
  <si>
    <t xml:space="preserve">Juan Andres Lara Ramirez </t>
  </si>
  <si>
    <t>1104678832</t>
  </si>
  <si>
    <t>MDT-DRTSPL-2015-5595-EXTERNO</t>
  </si>
  <si>
    <t>MDT-DRTSPL-2015-2828-O</t>
  </si>
  <si>
    <t>MDT-DRTSPL-2015-5597-EXTERNO</t>
  </si>
  <si>
    <t>MDT-DRTSPL-2015-2822-O</t>
  </si>
  <si>
    <t>MDT-DRTSPL-2015-5599-EXTERNO</t>
  </si>
  <si>
    <t>MDT-DRTSPL-2015-4600-M</t>
  </si>
  <si>
    <t>MDT-DRTSPL-2015-2852-O</t>
  </si>
  <si>
    <t xml:space="preserve">Marjorie Ximena Zari Zuñiga </t>
  </si>
  <si>
    <t>1104682966</t>
  </si>
  <si>
    <t>MDT-DRTSPL-2015-5605-EXTERNO</t>
  </si>
  <si>
    <t>MDT-DRTSPL-2015-4598-M</t>
  </si>
  <si>
    <t>MDT-DRTSPL-2015-2849-O</t>
  </si>
  <si>
    <t>MDT-DRTSPL-2015-5606-EXTERNO</t>
  </si>
  <si>
    <t>MDT-DRTSPL-2015-2847-O</t>
  </si>
  <si>
    <t xml:space="preserve">Rosa Aida Medina Armijos </t>
  </si>
  <si>
    <t>1102521463</t>
  </si>
  <si>
    <t>MDT-DRTSPL-2015-5607-EXTERNO</t>
  </si>
  <si>
    <t>MDT-DRTSPL-2015-2838-O</t>
  </si>
  <si>
    <t>MDT-DRTSPL-2015-5609-EXTERNO</t>
  </si>
  <si>
    <t>MDT-DRTSPL-2015-2839-O</t>
  </si>
  <si>
    <t>MDT-DRTSPL-2015-5610-EXTERNO</t>
  </si>
  <si>
    <t>MDT-DRTSPL-2015-2840-O</t>
  </si>
  <si>
    <t>MDT-DRTSPL-2015-5611-EXTERNO</t>
  </si>
  <si>
    <t>MDT-DRTSPL-2015-2841-O</t>
  </si>
  <si>
    <t>MDT-DRTSPL-2015-5613-EXTERNO</t>
  </si>
  <si>
    <t>MDT-DRTSPL-2015-2842-O</t>
  </si>
  <si>
    <t>MDT-DRTSPL-2015-5614-EXTERNO</t>
  </si>
  <si>
    <t>MDT-DRTSPL-2015-2843-O</t>
  </si>
  <si>
    <t>MDT-DRTSPL-2015-5615-EXTERNO</t>
  </si>
  <si>
    <t>MDT-DRTSPL-2015-2846-O</t>
  </si>
  <si>
    <t xml:space="preserve">Violeta de Lourdes Lapo Calva </t>
  </si>
  <si>
    <t>1102365762</t>
  </si>
  <si>
    <t>MDT-DRTSPL-2015-5616-EXTERNO</t>
  </si>
  <si>
    <t>MDT-DRTSPL-2015-2844-O</t>
  </si>
  <si>
    <t>MDT-DRTSPL-2015-5617-EXTERNO</t>
  </si>
  <si>
    <t>MDT-DRTSPL-2015-4601-M</t>
  </si>
  <si>
    <t>MDT-DRTSPL-2015-2853-O</t>
  </si>
  <si>
    <t xml:space="preserve">Rosalia Alejandrina Samaniego Leon </t>
  </si>
  <si>
    <t>1100087848</t>
  </si>
  <si>
    <t>MDT-DRTSPL-2015-5619-EXTERNO</t>
  </si>
  <si>
    <t>MDT-DRTSPL-2015-4599-M</t>
  </si>
  <si>
    <t>MDT-DRTSPL-2015-2850-O</t>
  </si>
  <si>
    <t>MDT-DRTSPL-2015-5621-EXTERNO</t>
  </si>
  <si>
    <t>MDT-DRTSPL-2015-4605-M</t>
  </si>
  <si>
    <t>MDT-DRTSPL-2015-2854-O</t>
  </si>
  <si>
    <t xml:space="preserve">Alejandro Rene Armijos Alvarado </t>
  </si>
  <si>
    <t>0704703131</t>
  </si>
  <si>
    <t>MDT-DRTSPL-2015-5622-EXTERNO</t>
  </si>
  <si>
    <t>MDT-DRTSPL-2015-4629-M</t>
  </si>
  <si>
    <t>MDT-DRTSPL-2015-2863-O</t>
  </si>
  <si>
    <t>MDT-DRTSPL-2015-5624-EXTERNO</t>
  </si>
  <si>
    <t>MDT-DRTSPL-2015-2845-O</t>
  </si>
  <si>
    <t xml:space="preserve">Jessica Katherine Samaniego Mendieta </t>
  </si>
  <si>
    <t>1104348550</t>
  </si>
  <si>
    <t>MDT-DRTSPL-2015-5625-EXTERNO</t>
  </si>
  <si>
    <t>MDT-DRTSPL-2015-4607-M</t>
  </si>
  <si>
    <t>MDT-DRTSPL-2015-2855-O</t>
  </si>
  <si>
    <t>MDT-DRTSPL-2015-5626-EXTERNO</t>
  </si>
  <si>
    <t>MDT-DRTSPL-2015-4610-M</t>
  </si>
  <si>
    <t>MDT-DRTSPL-2015-2856-O</t>
  </si>
  <si>
    <t>MDT-DRTSPL-2015-5628-EXTERNO</t>
  </si>
  <si>
    <t>MDT-DRTSPL-2015-2860-O</t>
  </si>
  <si>
    <t xml:space="preserve">Andrea Silvana Orellana Apolo </t>
  </si>
  <si>
    <t>MDT-DRTSPL-2015-5632-EXTERNO</t>
  </si>
  <si>
    <t>MDT-DRTSPL-2015-2861-O</t>
  </si>
  <si>
    <t xml:space="preserve">Julio Alberto Villacis Suarez </t>
  </si>
  <si>
    <t>1102052469</t>
  </si>
  <si>
    <t>MDT-DRTSPL-2015-5633-EXTERNO</t>
  </si>
  <si>
    <t>MDT-DRTSPL-2015-2862-O</t>
  </si>
  <si>
    <t>MDT-DRTSPL-2015-2864-O</t>
  </si>
  <si>
    <t xml:space="preserve">Pedro Ruiz Reinoso </t>
  </si>
  <si>
    <t>MDT-DRTSPL-2015-5634-EXTERNO</t>
  </si>
  <si>
    <t>MDT-DRTSPL-2015-4612-M</t>
  </si>
  <si>
    <t>MDT-DRTSPL-2015-2868-O</t>
  </si>
  <si>
    <t>MDT-DRTSPL-2015-5635-EXTERNO</t>
  </si>
  <si>
    <t>MDT-DRTSPL-2015-4615-M</t>
  </si>
  <si>
    <t>MDT-DRTSPL-2015-2867-O</t>
  </si>
  <si>
    <t>MDT-DRTSPL-2015-5637-EXTERNO</t>
  </si>
  <si>
    <t>MDT-DRTSPL-2015-4617-M</t>
  </si>
  <si>
    <t>MDT-DRTSPL-2015-2872-O</t>
  </si>
  <si>
    <t>MDT-DRTSPL-2015-5638-EXTERNO</t>
  </si>
  <si>
    <t>MDT-DRTSPL-2015-4618-M</t>
  </si>
  <si>
    <t>MDT-DRTSPL-2015-2866-O</t>
  </si>
  <si>
    <t>MDT-DRTSPL-2015-5639-EXTERNO</t>
  </si>
  <si>
    <t>MDT-DRTSPL-2015-4616-M</t>
  </si>
  <si>
    <t>MDT-DRTSPL-2015-2874-O</t>
  </si>
  <si>
    <t>MDT-DRTSPL-2015-5640-EXTERNO</t>
  </si>
  <si>
    <t>MDT-DRTSPL-2015-4620-M</t>
  </si>
  <si>
    <t>MDT-DRTSPL-2015-2871-O</t>
  </si>
  <si>
    <t>MDT-DRTSPL-2015-5643-EXTERNO</t>
  </si>
  <si>
    <t>MDT-DRTSPL-2015-4619-M</t>
  </si>
  <si>
    <t>MDT-DRTSPL-2015-2865-O</t>
  </si>
  <si>
    <t>MDT-DRTSPL-2015-5644-EXTERNO</t>
  </si>
  <si>
    <t>MDT-DRTSPL-2015-4621-M</t>
  </si>
  <si>
    <t>MDT-DRTSPL-2015-2869-O</t>
  </si>
  <si>
    <t>MDT-DRTSPL-2015-5646-EXTERNO</t>
  </si>
  <si>
    <t>MDT-DRTSPL-2015-4622-M</t>
  </si>
  <si>
    <t>MDT-DRTSPL-2015-2859-O</t>
  </si>
  <si>
    <t>MDT-DRTSPL-2015-5647-EXTERNO</t>
  </si>
  <si>
    <t>MDT-DRTSPL-2015-4623-M</t>
  </si>
  <si>
    <t>MDT-DRTSPL-2015-2870-O</t>
  </si>
  <si>
    <t>MDT-DRTSPL-2015-5648-EXTERNO</t>
  </si>
  <si>
    <t>MDT-DRTSPL-2015-4625-M</t>
  </si>
  <si>
    <t>MDT-DRTSPL-2015-2858-O</t>
  </si>
  <si>
    <t xml:space="preserve">Leonardo Santiago Sivisaka Satama </t>
  </si>
  <si>
    <t>1104667728</t>
  </si>
  <si>
    <t>MDT-DRTSPL-2015-5651-EXTERNO</t>
  </si>
  <si>
    <t xml:space="preserve">Maria Natacha Ruiz Salcedo </t>
  </si>
  <si>
    <t>MDT-DRTSPL-2015-5653-EXTERNO</t>
  </si>
  <si>
    <t>MDT-DRTSPL-2015-4637-M</t>
  </si>
  <si>
    <t>MDT-DRTSPL-2015-2877-O</t>
  </si>
  <si>
    <t>MDT-DRTSPL-2015-5659-EXTERNO</t>
  </si>
  <si>
    <t>MDT-DRTSPL-2015-4635-M</t>
  </si>
  <si>
    <t xml:space="preserve">Mercedes Celina Songor Medina </t>
  </si>
  <si>
    <t>MDT-DRTSPL-2015-5661-EXTERNO</t>
  </si>
  <si>
    <t>MDT-DRTSPL-2015-4634-M</t>
  </si>
  <si>
    <t xml:space="preserve">Alba Estefania Vivanco Ochoa </t>
  </si>
  <si>
    <t>MDT-DRTSPL-2015-5662-EXTERNO</t>
  </si>
  <si>
    <t>MDT-DRTSPL-2015-4636-M</t>
  </si>
  <si>
    <t>MDT-DRTSPL-2015-2878-O</t>
  </si>
  <si>
    <t xml:space="preserve">Monica Patricia Chavez Alverca </t>
  </si>
  <si>
    <t>MDT-DRTSPL-2015-5671-EXTERNO</t>
  </si>
  <si>
    <t>MDT-DRTSPL-2015-4638-M</t>
  </si>
  <si>
    <t>MDT-DRTSPL-2015-5672-EXTERNO</t>
  </si>
  <si>
    <t>MDT-DRTSPL-2015-4652-M</t>
  </si>
  <si>
    <t>MDT-DRTSPL-2015-5673-EXTERNO</t>
  </si>
  <si>
    <t>MDT-DRTSPL-2015-4646-M</t>
  </si>
  <si>
    <t>MDT-DRTSPL-2015-5674-EXTERNO</t>
  </si>
  <si>
    <t>MDT-DRTSPL-2015-4650-M</t>
  </si>
  <si>
    <t>MDT-DRTSPL-2015-5675-EXTERNO</t>
  </si>
  <si>
    <t>MDT-DRTSPL-2015-4651-M</t>
  </si>
  <si>
    <t>MDT-DRTSPL-2015-5677-EXTERNO</t>
  </si>
  <si>
    <t>MDT-DRTSPL-2015-4648-M</t>
  </si>
  <si>
    <t>NOTIFICADO</t>
  </si>
  <si>
    <t>MDT-DRTSPL-2015-5499-EXTERNO</t>
  </si>
  <si>
    <t>MDT-DSG-2015-3666-MEMORANDO</t>
  </si>
  <si>
    <t>MDT-DRTSPL-2015-2820-O</t>
  </si>
  <si>
    <t>Mercedes Alicia Llivigañay Borja</t>
  </si>
  <si>
    <t>MDT-DRTSPL-2015-1629-O</t>
  </si>
  <si>
    <t>MDT-DRTSPL-2015-2899-O</t>
  </si>
  <si>
    <t>MDT-DRTSPL-2015-5706-EXTERNO</t>
  </si>
  <si>
    <t>MDT-DRTSPL-2015-2906-O</t>
  </si>
  <si>
    <t>MDT-DRTSPL-2015-5710-EXTERNO</t>
  </si>
  <si>
    <t>MDT-DRTSPL-2015-2907-O</t>
  </si>
  <si>
    <t>MDT-DRTSPL-2015-5714-EXTERNO</t>
  </si>
  <si>
    <t>MDT-DRTSPL-2015-5715-EXTERNO</t>
  </si>
  <si>
    <t>MDT-DRTSPL-2015-2909-O</t>
  </si>
  <si>
    <t>MDT-DRTSPL-2015-5699-EXTERNO</t>
  </si>
  <si>
    <t>MDT-DRTSPL-2015-4668-M</t>
  </si>
  <si>
    <t>MDT-DRTSPL-2015-2918-O</t>
  </si>
  <si>
    <t>MDT-DRTSPL-2015-5700-EXTERNO</t>
  </si>
  <si>
    <t>MDT-DRTSPL-2015-4669-M</t>
  </si>
  <si>
    <t>MDT-DRTSPL-2015-2913-O</t>
  </si>
  <si>
    <t>MDT-DRTSPL-2015-5701-EXTERNO</t>
  </si>
  <si>
    <t>MDT-DRTSPL-2015-2917-O</t>
  </si>
  <si>
    <t xml:space="preserve">Rocio Elizabeth Sanchez Cuenca </t>
  </si>
  <si>
    <t>MDT-DRTSPL-2015-5702-EXTERNO</t>
  </si>
  <si>
    <t>MDT-DRTSPL-2015-4670-M</t>
  </si>
  <si>
    <t>MDT-DRTSPL-2015-2920-O</t>
  </si>
  <si>
    <t xml:space="preserve">Trosky Alberto Rodríguez León </t>
  </si>
  <si>
    <t>MDT-DRTSPL-2015-5703-EXTERNO</t>
  </si>
  <si>
    <t>MDT-DRTSPL-2015-2916-O</t>
  </si>
  <si>
    <t xml:space="preserve">Enma Esperanza Chuqui Lima </t>
  </si>
  <si>
    <t>1104212185</t>
  </si>
  <si>
    <t>MDT-DRTSPL-2015-5705-EXTERNO</t>
  </si>
  <si>
    <t>MDT-DRTSPL-2015-4671-M</t>
  </si>
  <si>
    <t>MDT-DRTSPL-2015-2921-O</t>
  </si>
  <si>
    <t xml:space="preserve">Paul Johvanny Arboleda Jaramillo </t>
  </si>
  <si>
    <t>1104626716</t>
  </si>
  <si>
    <t>MDT-DRTSPL-2015-5708-EXTERNO</t>
  </si>
  <si>
    <t>MDT-DRTSPL-2015-4672-M</t>
  </si>
  <si>
    <t>MDT-DRTSPL-2015-2924-O</t>
  </si>
  <si>
    <t>MDT-DRTSPL-2015-5709-EXTERNO</t>
  </si>
  <si>
    <t>MDT-DRTSPL-2015-4673-M</t>
  </si>
  <si>
    <t>MDT-DRTSPL-2015-2914-O</t>
  </si>
  <si>
    <t>MDT-DRTSPL-2015-5711-EXTERNO</t>
  </si>
  <si>
    <t>MDT-DRTSPL-2015-2912-O</t>
  </si>
  <si>
    <t>MDT-DRTSPL-2015-5712-EXTERNO</t>
  </si>
  <si>
    <t>MDT-DSG-2015-3849-MEMORANDO</t>
  </si>
  <si>
    <t>CARLOS ALBREDO BONEPALOMEQUE</t>
  </si>
  <si>
    <t>MDT-DRTSPL-2015-2994-O</t>
  </si>
  <si>
    <t>EN627252959EC</t>
  </si>
  <si>
    <t>MDT-DRTSPL-2015-2908-O</t>
  </si>
  <si>
    <t xml:space="preserve">Stalin Adolfo Suarez Carrion </t>
  </si>
  <si>
    <t>MDT-DRTSPL-2015-5716-EXTERNO</t>
  </si>
  <si>
    <t>MDT-DRTSPL-2015-2911-O</t>
  </si>
  <si>
    <t xml:space="preserve">Ana Lucia Guzman Rodriguez </t>
  </si>
  <si>
    <t>1727261537</t>
  </si>
  <si>
    <t>MDT-DRTSPL-2015-5717-EXTERNO</t>
  </si>
  <si>
    <t>MDT-DRTSPL-2015-2910-O</t>
  </si>
  <si>
    <t xml:space="preserve">Cristian Leonardo Garcia Velez </t>
  </si>
  <si>
    <t>1104062250</t>
  </si>
  <si>
    <t>MDT-DRTSPL-2015-5718-EXTERNO</t>
  </si>
  <si>
    <t xml:space="preserve">Veronica Maribel Palta Benitez </t>
  </si>
  <si>
    <t>1104983489</t>
  </si>
  <si>
    <t>MDT-DRTSPL-2015-5719-EXTERNO</t>
  </si>
  <si>
    <t>MDT-DRTSPL-2015-2927-O</t>
  </si>
  <si>
    <t>MDT-DRTSPL-2015-5720-EXTERNO</t>
  </si>
  <si>
    <t>MDT-DRTSPL-2015-4719-M</t>
  </si>
  <si>
    <t>ZAMORA ARCHIVO, LOJA</t>
  </si>
  <si>
    <t>MDT-DRTSPL-2015-2948-O</t>
  </si>
  <si>
    <t>MDT-DRTSPL-2015-5723-EXTERNO</t>
  </si>
  <si>
    <t>MDT-DRTSPL-2015-2915-O</t>
  </si>
  <si>
    <t>MDT-DRTSPL-2015-5728-EXTERNO</t>
  </si>
  <si>
    <t>MDT-DRTSPL-2015-2931-O</t>
  </si>
  <si>
    <t xml:space="preserve">Carlota Luzmila Celi Correa </t>
  </si>
  <si>
    <t>1102467965</t>
  </si>
  <si>
    <t>MDT-DRTSPL-2015-5731-EXTERNO</t>
  </si>
  <si>
    <t>MDT-DRTSPL-2015-2905-O</t>
  </si>
  <si>
    <t xml:space="preserve">Jose Vitelio Torres Camacho </t>
  </si>
  <si>
    <t>1100219466</t>
  </si>
  <si>
    <t>MDT-DRTSPL-2015-5735-EXTERNO</t>
  </si>
  <si>
    <t>MDT-DRTSPL-2015-2928-O</t>
  </si>
  <si>
    <t xml:space="preserve">Daniela Fernanda Chimbo Uchuari </t>
  </si>
  <si>
    <t>1150085114</t>
  </si>
  <si>
    <t>MDT-DRTSPL-2015-5737-EXTERNO</t>
  </si>
  <si>
    <t>MDT-DRTSPL-2015-2929-O</t>
  </si>
  <si>
    <t>MDT-DRTSPL-2015-5738-EXTERNO</t>
  </si>
  <si>
    <t>MDT-DRTSPL-2015-2930-O</t>
  </si>
  <si>
    <t>MDT-DRTSPL-2015-5742-EXTERNO</t>
  </si>
  <si>
    <t>MDT-DRTSPL-2015-2932-O</t>
  </si>
  <si>
    <t xml:space="preserve">Milko René Torres Ordóñez </t>
  </si>
  <si>
    <t>1102059712</t>
  </si>
  <si>
    <t>MDT-DRTSPL-2015-5743-EXTERNO</t>
  </si>
  <si>
    <t>MDT-DRTSPL-2015-2934-O</t>
  </si>
  <si>
    <t xml:space="preserve">Carlos Eduardo Ruíz López </t>
  </si>
  <si>
    <t>1103355879</t>
  </si>
  <si>
    <t>MDT-DRTSPL-2015-5745-EXTERNO</t>
  </si>
  <si>
    <t>MDT-DRTSPL-2015-2933-O</t>
  </si>
  <si>
    <t xml:space="preserve">Soraya Maria del Cisne Monroy Vivar </t>
  </si>
  <si>
    <t>1102660030</t>
  </si>
  <si>
    <t>MDT-DRTSPL-2015-5753-EXTERNO</t>
  </si>
  <si>
    <t>MDT-DRTSPL-2015-2935-O</t>
  </si>
  <si>
    <t xml:space="preserve">Julio Cesar Quezada Rosales </t>
  </si>
  <si>
    <t>1103902043</t>
  </si>
  <si>
    <t>MDT-DRTSPL-2015-5755-EXTERNO</t>
  </si>
  <si>
    <t>MDT-DRTSPL-2015-2937-O</t>
  </si>
  <si>
    <t xml:space="preserve">Maria Lucrecia Carrion </t>
  </si>
  <si>
    <t>1102551924</t>
  </si>
  <si>
    <t>MDT-DRTSPL-2015-5757-EXTERNO</t>
  </si>
  <si>
    <t>MDT-DRTSPL-2015-2964-O</t>
  </si>
  <si>
    <t xml:space="preserve">Francisco Salazar Jiménez </t>
  </si>
  <si>
    <t>1100489705</t>
  </si>
  <si>
    <t>MDT-DRTSPL-2015-5761-EXTERNO</t>
  </si>
  <si>
    <t>MDT-DRTSPL-2015-2938-O</t>
  </si>
  <si>
    <t>MDT-DRTSPL-2015-5764-EXTERNO</t>
  </si>
  <si>
    <t>MDT-DRTSPL-2015-2939-O</t>
  </si>
  <si>
    <t>MDT-DRTSPL-2015-5765-EXTERNO</t>
  </si>
  <si>
    <t>MDT-DRTSPL-2015-2940-O</t>
  </si>
  <si>
    <t xml:space="preserve">Hector Efren Burneo Saavedra </t>
  </si>
  <si>
    <t>MDT-DRTSPL-2015-5766-EXTERNO</t>
  </si>
  <si>
    <t>MDT-DRTSPL-2015-2943-O</t>
  </si>
  <si>
    <t>MDT-DRTSPL-2015-5769-EXTERNO</t>
  </si>
  <si>
    <t>MDT-DRTSPL-2015-2944-O</t>
  </si>
  <si>
    <t>MDT-DRTSPL-2015-5770-EXTERNO</t>
  </si>
  <si>
    <t>MDT-DRTSPL-2015-2945-O</t>
  </si>
  <si>
    <t xml:space="preserve">Stalin Paul Barrigas Jaramillo </t>
  </si>
  <si>
    <t>1104488455</t>
  </si>
  <si>
    <t>MDT-DRTSPL-2015-5771-EXTERNO</t>
  </si>
  <si>
    <t>MDT-DRTSPL-2015-2946-O</t>
  </si>
  <si>
    <t xml:space="preserve">Maria del Pilar Jaramillo Idrobo </t>
  </si>
  <si>
    <t>110813578</t>
  </si>
  <si>
    <t>MDT-DRTSPL-2015-5772-EXTERNO</t>
  </si>
  <si>
    <t>MDT-DRTSPL-2015-2947-O</t>
  </si>
  <si>
    <t xml:space="preserve">Veronica Guillermina Rios Abrigo </t>
  </si>
  <si>
    <t>1103372114</t>
  </si>
  <si>
    <t>MDT-DRTSPL-2015-5773-EXTERNO</t>
  </si>
  <si>
    <t>MDT-DRTSPL-2015-2936-O</t>
  </si>
  <si>
    <t xml:space="preserve">Janeth Johanna Chimbo Leon </t>
  </si>
  <si>
    <t>1104886450</t>
  </si>
  <si>
    <t>MDT-DRTSPL-2015-5776-EXTERNO</t>
  </si>
  <si>
    <t>MDT-DRTSPL-2015-2952-O</t>
  </si>
  <si>
    <t xml:space="preserve">Mary Eliza Castillo Vega </t>
  </si>
  <si>
    <t>1103847172</t>
  </si>
  <si>
    <t>MDT-DRTSPL-2015-5783-EXTERNO</t>
  </si>
  <si>
    <t>MDT-DRTSPL-2015-2953-O</t>
  </si>
  <si>
    <t>MDT-DRTSPL-2015-5785-EXTERNO</t>
  </si>
  <si>
    <t>MDT-DRTSPL-2015-2954-O</t>
  </si>
  <si>
    <t xml:space="preserve">Francisco Javier Quinche Gualan </t>
  </si>
  <si>
    <t>1102357108</t>
  </si>
  <si>
    <t>MDT-DRTSPL-2015-5786-EXTERNO</t>
  </si>
  <si>
    <t>MDT-DRTSPL-2015-2968-O</t>
  </si>
  <si>
    <t xml:space="preserve">Richard Fabian Quinche Shingre </t>
  </si>
  <si>
    <t>1104907173</t>
  </si>
  <si>
    <t>MDT-DRTSPL-2015-5787-EXTERNO</t>
  </si>
  <si>
    <t>MDT-DRTSPL-2015-2955-O</t>
  </si>
  <si>
    <t>MDT-DRTSPL-2015-5788-EXTERNO</t>
  </si>
  <si>
    <t>MDT-DRTSPL-2015-2956-O</t>
  </si>
  <si>
    <t>MDT-DRTSPL-2015-5789-EXTERNO</t>
  </si>
  <si>
    <t>MDT-DRTSPL-2015-2957-O</t>
  </si>
  <si>
    <t>MDT-DRTSPL-2015-5790-EXTERNO</t>
  </si>
  <si>
    <t>MDT-DRTSPL-2015-2958-O</t>
  </si>
  <si>
    <t>MDT-DRTSPL-2015-5791-EXTERNO</t>
  </si>
  <si>
    <t>MDT-DRTSPL-2015-2959-O</t>
  </si>
  <si>
    <t>MDT-DRTSPL-2015-5793-EXTERNO</t>
  </si>
  <si>
    <t>MDT-DRTSPL-2015-2960-O</t>
  </si>
  <si>
    <t>MDT-DRTSPL-2015-5794-EXTERNO</t>
  </si>
  <si>
    <t>Fernando Xavier Ramírez Yépez</t>
  </si>
  <si>
    <t>MDT-DATH-2015-0713</t>
  </si>
  <si>
    <t>Tania Gabriela Cueva Altamirano</t>
  </si>
  <si>
    <t>DIRECCION DE ADMINISTRACIÓN DEL TALENTO HUMANO</t>
  </si>
  <si>
    <t>MDT-DSG-2015-10966-TEMP</t>
  </si>
  <si>
    <t xml:space="preserve">Geovanna Chango Maldonado </t>
  </si>
  <si>
    <t>MDT-DRTSPL-2015-5795-EXTERNO</t>
  </si>
  <si>
    <t>MDT-DRTSPL-2015-2961-O</t>
  </si>
  <si>
    <t xml:space="preserve">Jose Luis Montoya Salinas </t>
  </si>
  <si>
    <t>1104418114</t>
  </si>
  <si>
    <t>MDT-DRTSPL-2015-5796-EXTERNO</t>
  </si>
  <si>
    <t>MDT-DRTSPL-2015-2962-O</t>
  </si>
  <si>
    <t>MDT-DRTSPL-2015-5798-EXTERNO</t>
  </si>
  <si>
    <t>MDT-DRTSPL-2015-2951-O</t>
  </si>
  <si>
    <t xml:space="preserve">Jose Luis Torres Lima </t>
  </si>
  <si>
    <t>2203784508</t>
  </si>
  <si>
    <t>MDT-DRTSPL-2015-5799-EXTERNO</t>
  </si>
  <si>
    <t>MDT-DRTSPL-2015-2969-O</t>
  </si>
  <si>
    <t>MDT-DRTSPL-2015-5802-EXTERNO</t>
  </si>
  <si>
    <t>MDT-DRTSPL-2015-2970-O</t>
  </si>
  <si>
    <t>MDT-DRTSPL-2015-5803-EXTERNO</t>
  </si>
  <si>
    <t>MDT-DRTSPL-2015-2963-O</t>
  </si>
  <si>
    <t xml:space="preserve">Joseline Nataly Espinoza Avila </t>
  </si>
  <si>
    <t>1105944407</t>
  </si>
  <si>
    <t>MDT-DRTSPL-2015-5810-EXTERNO</t>
  </si>
  <si>
    <t>MDT-DRTSPL-2015-2976-O</t>
  </si>
  <si>
    <t>MDT-DRTSPL-2015-5811-EXTERNO</t>
  </si>
  <si>
    <t>MDT-DRTSPL-2015-2977-O</t>
  </si>
  <si>
    <t>MDT-DRTSPL-2015-5812-EXTERNO</t>
  </si>
  <si>
    <t>MDT-DRTSPL-2015-2965-O</t>
  </si>
  <si>
    <t xml:space="preserve">Oblas Fabian Carrera Alban </t>
  </si>
  <si>
    <t>0703821751</t>
  </si>
  <si>
    <t>MDT-DRTSPL-2015-5814-EXTERNO</t>
  </si>
  <si>
    <t>MDT-DRTSPL-2015-2973-O</t>
  </si>
  <si>
    <t xml:space="preserve">Maria Daniela Carrion Chamba </t>
  </si>
  <si>
    <t>1105130049</t>
  </si>
  <si>
    <t>MDT-DRTSPL-2015-5815-EXTERNO</t>
  </si>
  <si>
    <t>MDT-DRTSPL-2015-2978-O</t>
  </si>
  <si>
    <t>MDT-DRTSPL-2015-5816-EXTERNO</t>
  </si>
  <si>
    <t>MDT-DRTSPL-2015-2974-O</t>
  </si>
  <si>
    <t xml:space="preserve">Leyter Viviana Tenezaca Carrion </t>
  </si>
  <si>
    <t>1105699382</t>
  </si>
  <si>
    <t>MDT-DRTSPL-2015-5817-EXTERNO</t>
  </si>
  <si>
    <t>MDT-DRTSPL-2015-2972-O</t>
  </si>
  <si>
    <t xml:space="preserve">Cyntia Nicole Hidalgo Japon </t>
  </si>
  <si>
    <t>1725706210</t>
  </si>
  <si>
    <t>MDT-DRTSPL-2015-5818-EXTERNO</t>
  </si>
  <si>
    <t>MDT-DRTSPL-2015-2966-O</t>
  </si>
  <si>
    <t xml:space="preserve">Vicente Carlos Camacho Calva </t>
  </si>
  <si>
    <t>1714321047</t>
  </si>
  <si>
    <t>MDT-DRTSPL-2015-5819-EXTERNO</t>
  </si>
  <si>
    <t>MDT-DRTSPL-2015-2979-O</t>
  </si>
  <si>
    <t>MDT-DRTSPL-2015-5820-EXTERNO</t>
  </si>
  <si>
    <t>MDT-DRTSPL-2015-2980-O</t>
  </si>
  <si>
    <t>MDT-DRTSPL-2015-5821-EXTERNO</t>
  </si>
  <si>
    <t>MDT-DRTSPL-2015-2981-O</t>
  </si>
  <si>
    <t>MDT-DRTSPL-2015-5822-EXTERNO</t>
  </si>
  <si>
    <t>MDT-DRTSPL-2015-3030-O</t>
  </si>
  <si>
    <t>MDT-DRTSPL-2015-5823-EXTERNO</t>
  </si>
  <si>
    <t>MDT-DRTSPL-2015-2967-O</t>
  </si>
  <si>
    <t xml:space="preserve">Ronald Vladimir Guaman Galvez </t>
  </si>
  <si>
    <t>1104733876</t>
  </si>
  <si>
    <t>MDT-DRTSPL-2015-5824-EXTERNO</t>
  </si>
  <si>
    <t>MDT-DRTSPL-2015-2992-O</t>
  </si>
  <si>
    <t>MDT-DRTSPL-2015-5826-EXTERNO</t>
  </si>
  <si>
    <t>MDT-DRTSPL-2015-2983-O</t>
  </si>
  <si>
    <t>MDT-DRTSPL-2015-5829-EXTERNO</t>
  </si>
  <si>
    <t>MDT-DRTSPL-2015-2984-O</t>
  </si>
  <si>
    <t>MDT-DRTSPL-2015-5831-EXTERNO</t>
  </si>
  <si>
    <t>MDT-DRTSPL-2015-2985-O</t>
  </si>
  <si>
    <t xml:space="preserve">Vinicio José Bravo Merchan </t>
  </si>
  <si>
    <t>MDT-DRTSPL-2015-5832-EXTERNO</t>
  </si>
  <si>
    <t>MDT-DRTSPL-2015-2986-O</t>
  </si>
  <si>
    <t>EN627252945EC</t>
  </si>
  <si>
    <t>MDT-DRTSPL-2015-5837-EXTERNO</t>
  </si>
  <si>
    <t>MDT-DRTSPL-2015-2987-O</t>
  </si>
  <si>
    <t xml:space="preserve">Ana Dioselina Jaramillo Wisun </t>
  </si>
  <si>
    <t>1900338300</t>
  </si>
  <si>
    <t>MDT-DRTSPL-2015-5838-EXTERNO</t>
  </si>
  <si>
    <t>MDT-DRTSPL-2015-2988-O</t>
  </si>
  <si>
    <t xml:space="preserve">Jose Draucin Gallo Llivigañay </t>
  </si>
  <si>
    <t>1103811822</t>
  </si>
  <si>
    <t>MDT-DRTSPL-2015-5839-EXTERNO</t>
  </si>
  <si>
    <t>MDT-DRTSPL-2015-3014-O</t>
  </si>
  <si>
    <t xml:space="preserve">Santiago Sanchez Poma </t>
  </si>
  <si>
    <t>MDT-DRTSPL-2015-5840-EXTERNO</t>
  </si>
  <si>
    <t>MDT-DRTSPL-2015-2996-O</t>
  </si>
  <si>
    <t>MDT-DRTSPL-2015-5841-EXTERNO</t>
  </si>
  <si>
    <t>MDT-DRTSPL-2015-2997-O</t>
  </si>
  <si>
    <t xml:space="preserve">Alba Lucia Castillo Ojeda </t>
  </si>
  <si>
    <t>MDT-DRTSPL-2015-5842-EXTERNO</t>
  </si>
  <si>
    <t>MDT-DRTSPL-2015-3007-O</t>
  </si>
  <si>
    <t>MDT-DRTSPL-2015-5843-EXTERNO</t>
  </si>
  <si>
    <t>MDT-DRTSPL-2015-3008-O</t>
  </si>
  <si>
    <t>MDT-DRTSPL-2015-5844-EXTERNO</t>
  </si>
  <si>
    <t>MDT-DRTSPL-2015-3009-O</t>
  </si>
  <si>
    <t>MDT-DRTSPL-2015-5845-EXTERNO</t>
  </si>
  <si>
    <t>MDT-DRTSPL-2015-3018-O</t>
  </si>
  <si>
    <t xml:space="preserve">Juana Jesus Neyra Coello </t>
  </si>
  <si>
    <t>1750769729</t>
  </si>
  <si>
    <t>MDT-DRTSPL-2015-5846-EXTERNO</t>
  </si>
  <si>
    <t>MDT-DRTSPL-2015-3010-O</t>
  </si>
  <si>
    <t>MDT-DRTSPL-2015-5847-EXTERNO</t>
  </si>
  <si>
    <t>MDT-DRTSPL-2015-3011-O</t>
  </si>
  <si>
    <t>MDT-DRTSPL-2015-5848-EXTERNO</t>
  </si>
  <si>
    <t>MDT-DRTSPL-2015-2989-O</t>
  </si>
  <si>
    <t xml:space="preserve">Amparo Victoria Gonzalez Zumba </t>
  </si>
  <si>
    <t>1104278062</t>
  </si>
  <si>
    <t>MDT-DRTSPL-2015-5849-EXTERNO</t>
  </si>
  <si>
    <t>MDT-DRTSPL-2015-2990-O</t>
  </si>
  <si>
    <t xml:space="preserve">Magaly Mercedes Sanchez Quilambaqui </t>
  </si>
  <si>
    <t>1104272867</t>
  </si>
  <si>
    <t>MDT-DRTSPL-2015-5850-EXTERNO</t>
  </si>
  <si>
    <t>MDT-DRTSPL-2015-2991-O</t>
  </si>
  <si>
    <t xml:space="preserve">Blanca Aurora Padilla Lituma </t>
  </si>
  <si>
    <t>1104562187</t>
  </si>
  <si>
    <t>MDT-DRTSPL-2015-5852-EXTERNO</t>
  </si>
  <si>
    <t>MDT-DRTSPL-2015-3012-O</t>
  </si>
  <si>
    <t>MDT-DRTSPL-2015-5853-EXTERNO</t>
  </si>
  <si>
    <t>MDT-DRTSPL-2015-3041-O</t>
  </si>
  <si>
    <t>MDT-DRTSPL-2015-5854-EXTERNO</t>
  </si>
  <si>
    <t>MDT-DRTSPL-2015-3013-O</t>
  </si>
  <si>
    <t>MDT-DRTSPL-2015-5855-EXTERNO</t>
  </si>
  <si>
    <t>MDT-DRTSPL-2015-3015-O</t>
  </si>
  <si>
    <t>MDT-DRTSPL-2015-5856-EXTERNO</t>
  </si>
  <si>
    <t>MDT-DATH-2015-0711</t>
  </si>
  <si>
    <t>MDT-DSG-2015-10962-TEMP</t>
  </si>
  <si>
    <t>MDT-DRTSPL-2015-5857-EXTERNO</t>
  </si>
  <si>
    <t>MDT-DRTSPL-2015-3017-O</t>
  </si>
  <si>
    <t>MDT-DRTSPL-2015-5858-EXTERNO</t>
  </si>
  <si>
    <t>MDT-DRTSPL-2015-3016-O</t>
  </si>
  <si>
    <t>MDT-DRTSPL-2015-5859-EXTERNO</t>
  </si>
  <si>
    <t>MDT-DRTSPL-2015-2993-O</t>
  </si>
  <si>
    <t xml:space="preserve">Ana Cristina Salinas Reyes </t>
  </si>
  <si>
    <t>1104913080</t>
  </si>
  <si>
    <t>MDT-DRTSPL-2015-5860-EXTERNO</t>
  </si>
  <si>
    <t>Felipe David Gomez Parra</t>
  </si>
  <si>
    <t>MRL-DRTSPL-2015-785-OF</t>
  </si>
  <si>
    <t>EN627319704EC</t>
  </si>
  <si>
    <t>MDT-DRTSPL-2015-5864-EXTERNO</t>
  </si>
  <si>
    <t>MDT-DRTSPL-2015-3035-O</t>
  </si>
  <si>
    <t xml:space="preserve">Delia Victoria Carrión Palacios </t>
  </si>
  <si>
    <t>1102873559</t>
  </si>
  <si>
    <t>MDT-DRTSPL-2015-5867-EXTERNO</t>
  </si>
  <si>
    <t>MDT-DRTSPL-2015-3046-O</t>
  </si>
  <si>
    <t xml:space="preserve">Paulina Margarita Quezada Jumbo </t>
  </si>
  <si>
    <t>1103545396</t>
  </si>
  <si>
    <t>MDT-DRTSPL-2015-5871-EXTERNO</t>
  </si>
  <si>
    <t>MDT-DRTSPL-2015-3036-O</t>
  </si>
  <si>
    <t xml:space="preserve">Duquer Leodan Carrion Armijos </t>
  </si>
  <si>
    <t>1103309041</t>
  </si>
  <si>
    <t>MDT-DRTSPL-2015-5873-EXTERNO</t>
  </si>
  <si>
    <t>MDT-DRTSPL-2015-3032-O</t>
  </si>
  <si>
    <t xml:space="preserve">Digna Cecilia Bonilla Saraguro </t>
  </si>
  <si>
    <t>1102116819</t>
  </si>
  <si>
    <t>MDT-DRTSPL-2015-5876-EXTERNO</t>
  </si>
  <si>
    <t>MDT-DRTSPL-2015-3031-O</t>
  </si>
  <si>
    <t xml:space="preserve">Fanny Alexandra Duarte Armijos </t>
  </si>
  <si>
    <t>1103996995</t>
  </si>
  <si>
    <t>MDT-DRTSPL-2015-5877-EXTERNO</t>
  </si>
  <si>
    <t>MDT-DRTSPL-2015-3023-O</t>
  </si>
  <si>
    <t>MDT-DRTSPL-2015-5879-EXTERNO</t>
  </si>
  <si>
    <t>MDT-DRTSPL-2015-3022-O</t>
  </si>
  <si>
    <t>MDT-DRTSPL-2015-5880-EXTERNO</t>
  </si>
  <si>
    <t>MDT-DRTSPL-2015-3021-O</t>
  </si>
  <si>
    <t>MDT-DRTSPL-2015-5881-EXTERNO</t>
  </si>
  <si>
    <t>MDT-DRTSPL-2015-3020-O</t>
  </si>
  <si>
    <t xml:space="preserve">Eduardo González González </t>
  </si>
  <si>
    <t>MDT-DRTSPL-2015-5882-EXTERNO</t>
  </si>
  <si>
    <t>MDT-DRTSPL-2015-3024-O</t>
  </si>
  <si>
    <t>MDT-DRTSPL-2015-5885-EXTERNO</t>
  </si>
  <si>
    <t>MDT-DRTSPL-2015-3025-O</t>
  </si>
  <si>
    <t>MDT-DRTSPL-2015-5886-EXTERNO</t>
  </si>
  <si>
    <t>MDT-DRTSPL-2015-3037-O</t>
  </si>
  <si>
    <t xml:space="preserve">Nelson Medardo Ramirez Arias </t>
  </si>
  <si>
    <t>1100593597</t>
  </si>
  <si>
    <t>MDT-DRTSPL-2015-5888-EXTERNO</t>
  </si>
  <si>
    <t>MDT-DRTSPL-2015-3026-O</t>
  </si>
  <si>
    <t>MDT-DRTSPL-2015-5890-EXTERNO</t>
  </si>
  <si>
    <t>MDT-DRTSPL-2015-3038-O</t>
  </si>
  <si>
    <t xml:space="preserve">Luis Hernan Armijos Vega </t>
  </si>
  <si>
    <t>1104499098</t>
  </si>
  <si>
    <t>MDT-DRTSPL-2015-5893-EXTERNO</t>
  </si>
  <si>
    <t>MDT-DRTSPL-2015-3027-O</t>
  </si>
  <si>
    <t>MDT-DRTSPL-2015-5894-EXTERNO</t>
  </si>
  <si>
    <t>MDT-DRTSPL-2015-3039-O</t>
  </si>
  <si>
    <t xml:space="preserve">Rene Patricio Obando Calderon </t>
  </si>
  <si>
    <t>1900364850</t>
  </si>
  <si>
    <t>MDT-DRTSPL-2015-5896-EXTERNO</t>
  </si>
  <si>
    <t>MDT-DRTSPL-2015-3043-O</t>
  </si>
  <si>
    <t xml:space="preserve">Limber Chuquihuanga Morocho </t>
  </si>
  <si>
    <t>1750769679</t>
  </si>
  <si>
    <t>MDT-DRTSPL-2015-5897-EXTERNO</t>
  </si>
  <si>
    <t>MDT-DRTSPL-2015-3044-O</t>
  </si>
  <si>
    <t xml:space="preserve">Betty Tandazo Rios </t>
  </si>
  <si>
    <t>1101051579</t>
  </si>
  <si>
    <t>MDT-DRTSPL-2015-5898-EXTERNO</t>
  </si>
  <si>
    <t>MDT-DRTSPL-2015-3040-O</t>
  </si>
  <si>
    <t xml:space="preserve">Maria Alejandrina Jimenez Merino </t>
  </si>
  <si>
    <t>1104359441</t>
  </si>
  <si>
    <t>MDT-DRTSPL-2015-5900-EXTERNO</t>
  </si>
  <si>
    <t>MDT-DRTSPL-2015-3045-O</t>
  </si>
  <si>
    <t>MDT-DRTSPL-2015-5901-EXTERNO</t>
  </si>
  <si>
    <t>MDT-DRTSPL-2015-3047-O</t>
  </si>
  <si>
    <t>MDT-DRTSPL-2015-5902-EXTERNO</t>
  </si>
  <si>
    <t xml:space="preserve">Cristina Belén Freire Mendieta </t>
  </si>
  <si>
    <t>MDT-DSMUATH-2015-0138</t>
  </si>
  <si>
    <t>Tania Guadalupe Gualli Culqui</t>
  </si>
  <si>
    <t>MDT-DSG-2015-6464-OFICIO</t>
  </si>
  <si>
    <t>UNIVERSIDAD NACIONAL DE LOJA</t>
  </si>
  <si>
    <t>QUITO</t>
  </si>
  <si>
    <t>MDT-DRTSPL-2015-5903-EXTERNO</t>
  </si>
  <si>
    <t>MDT-DRTSPL-2015-3061-O</t>
  </si>
  <si>
    <t xml:space="preserve">Oscar Fernando Padilla Lima </t>
  </si>
  <si>
    <t>1150664496</t>
  </si>
  <si>
    <t>MDT-DRTSPL-2015-5904-EXTERNO</t>
  </si>
  <si>
    <t>MDT-DRTSPL-2015-3048-O</t>
  </si>
  <si>
    <t xml:space="preserve">Ana Maria Lima Ontaneda </t>
  </si>
  <si>
    <t>1103670442</t>
  </si>
  <si>
    <t>MDT-DRTSPL-2015-5909-EXTERNO</t>
  </si>
  <si>
    <t>MDT-DRTSPL-2015-3049-O</t>
  </si>
  <si>
    <t xml:space="preserve">Diego Orlando Sanchez Cuenca </t>
  </si>
  <si>
    <t>1105820110</t>
  </si>
  <si>
    <t>MDT-DRTSPL-2015-5913-EXTERNO</t>
  </si>
  <si>
    <t>MDT-DRTSPL-2015-3050-O</t>
  </si>
  <si>
    <t xml:space="preserve">Bayardo Alexander Albán Ortega </t>
  </si>
  <si>
    <t>MDT-DRTSPL-2015-5914-EXTERNO</t>
  </si>
  <si>
    <t>MDT-DRTSPL-2015-3051-O</t>
  </si>
  <si>
    <t>MDT-DRTSPL-2015-5915-EXTERNO</t>
  </si>
  <si>
    <t>MDT-DRTSPL-2015-3052-O</t>
  </si>
  <si>
    <t>MDT-DRTSPL-2015-5916-EXTERNO</t>
  </si>
  <si>
    <t>MDT-DRTSPL-2015-3053-O</t>
  </si>
  <si>
    <t>MDT-DRTSPL-2015-5917-EXTERNO</t>
  </si>
  <si>
    <t>MDT-DRTSPL-2015-3054-O</t>
  </si>
  <si>
    <t xml:space="preserve">Geovanna Tamara Chango Maldonado </t>
  </si>
  <si>
    <t>MDT-DRTSPL-2015-5921-EXTERNO</t>
  </si>
  <si>
    <t>MDT-DRTSPL-2015-3055-O</t>
  </si>
  <si>
    <t>MDT-DRTSPL-2015-5922-EXTERNO</t>
  </si>
  <si>
    <t>MDT-DRTSPL-2015-3056-O</t>
  </si>
  <si>
    <t>MDT-DRTSPL-2015-5923-EXTERNO</t>
  </si>
  <si>
    <t>MDT-DRTSPL-2015-3057-O</t>
  </si>
  <si>
    <t>MDT-DRTSPL-2015-5924-EXTERNO</t>
  </si>
  <si>
    <t>MDT-DRTSPL-2015-3062-O</t>
  </si>
  <si>
    <t xml:space="preserve">Alex Rene Vasquez Zhingre </t>
  </si>
  <si>
    <t>1103295125</t>
  </si>
  <si>
    <t>MDT-DRTSPL-2015-5925-EXTERNO</t>
  </si>
  <si>
    <t>MDT-DRTSPL-2015-3059-O</t>
  </si>
  <si>
    <t xml:space="preserve">Cruzkaya Jimenez Guerrero </t>
  </si>
  <si>
    <t>1103153712</t>
  </si>
  <si>
    <t>MDT-DRTSPL-2015-5926-EXTERNO</t>
  </si>
  <si>
    <t>MDT-DRTSPL-2015-3060-O</t>
  </si>
  <si>
    <t xml:space="preserve">Nury Alexandrova Uchuari Malla </t>
  </si>
  <si>
    <t>1102550694</t>
  </si>
  <si>
    <t>MDT-DRTSPL-2015-5927-EXTERNO</t>
  </si>
  <si>
    <t>MDT-DRTSPL-2015-3058-O</t>
  </si>
  <si>
    <t>MDT-DRTSPL-2015-5928-EXTERNO</t>
  </si>
  <si>
    <t>MDT-DRTSPL-2015-3063-O</t>
  </si>
  <si>
    <t xml:space="preserve">Freddy Israel Ludeña Torres </t>
  </si>
  <si>
    <t>1104580327</t>
  </si>
  <si>
    <t>MDT-DRTSPL-2015-5929-EXTERNO</t>
  </si>
  <si>
    <t>MDT-DRTSPL-2015-3064-O</t>
  </si>
  <si>
    <t xml:space="preserve">Nadegda Ivanoba Torres Gallardo </t>
  </si>
  <si>
    <t>1102954821</t>
  </si>
  <si>
    <t>MDT-DRTSPL-2015-5931-EXTERNO</t>
  </si>
  <si>
    <t>MDT-DRTSPL-2015-3066-O</t>
  </si>
  <si>
    <t>EN627616375EC</t>
  </si>
  <si>
    <t>MDT-DRTSPL-2015-5932-EXTERNO</t>
  </si>
  <si>
    <t>MDT-DRTSPL-2015-3067-O</t>
  </si>
  <si>
    <t>MDT-DRTSPL-2015-5935-EXTERNO</t>
  </si>
  <si>
    <t>MDT-DRTSPL-2015-3065-O</t>
  </si>
  <si>
    <t xml:space="preserve">Maria Serafina Morocho Tacuri </t>
  </si>
  <si>
    <t>1100569506</t>
  </si>
  <si>
    <t>MDT-DRTSPL-2015-5940-EXTERNO</t>
  </si>
  <si>
    <t>MDT-DRTSPL-2015-3068-O</t>
  </si>
  <si>
    <t xml:space="preserve">Sandra Alicia Luzuriaga Ochoa </t>
  </si>
  <si>
    <t>1104399157</t>
  </si>
  <si>
    <t>MDT-DRTSPL-2015-5941-EXTERNO</t>
  </si>
  <si>
    <t>MDT-DRTSPL-2015-3069-O</t>
  </si>
  <si>
    <t>MDT-DRTSPL-2015-5942-EXTERNO</t>
  </si>
  <si>
    <t>MDT-DRTSPL-2015-3070-O</t>
  </si>
  <si>
    <t>MDT-DRTSPL-2015-5943-EXTERNO</t>
  </si>
  <si>
    <t>MDT-DRTSPL-2015-3071-O</t>
  </si>
  <si>
    <t>MDT-DRTSPL-2015-5944-EXTERNO</t>
  </si>
  <si>
    <t>MDT-DRTSPL-2015-3072-O</t>
  </si>
  <si>
    <t>MDT-DRTSPL-2015-5945-EXTERNO</t>
  </si>
  <si>
    <t>MDT-DRTSPL-2015-3073-O</t>
  </si>
  <si>
    <t>MDT-DRTSPL-2015-5946-EXTERNO</t>
  </si>
  <si>
    <t>MDT-DRTSPL-2015-3074-O</t>
  </si>
  <si>
    <t>MDT-DRTSPL-2015-5956-EXTERNO</t>
  </si>
  <si>
    <t>MDT-DRTSPL-2015-3075-O</t>
  </si>
  <si>
    <t xml:space="preserve">Nathalie Cabrera Arevalo </t>
  </si>
  <si>
    <t>1104262421</t>
  </si>
  <si>
    <t>MDT-DRTSPL-2015-5957-EXTERNO</t>
  </si>
  <si>
    <t>MDT-DRTSPL-2015-3076-O</t>
  </si>
  <si>
    <t xml:space="preserve">Marjorie Alexandra Quezada Quizhpe </t>
  </si>
  <si>
    <t>1105040164</t>
  </si>
  <si>
    <t>MDT-DRTSPL-2015-5964-EXTERNO</t>
  </si>
  <si>
    <t>MDT-DRTSPL-2015-3077-O</t>
  </si>
  <si>
    <t xml:space="preserve">Sara Salome Tandazo Valarezo </t>
  </si>
  <si>
    <t>MDT-DRTSPL-2015-5966-EXTERNO</t>
  </si>
  <si>
    <t>MDT-DRTSPL-2015-3079-O</t>
  </si>
  <si>
    <t>MDT-DRTSPL-2015-5975-EXTERNO</t>
  </si>
  <si>
    <t>MDT-DRTSPL-2015-3080-O</t>
  </si>
  <si>
    <t>EN627662993EC</t>
  </si>
  <si>
    <t>MDT-DRTSPL-2015-5984-EXTERNO</t>
  </si>
  <si>
    <t>MDT-DRTSPL-2015-3081-O</t>
  </si>
  <si>
    <t xml:space="preserve">Nadegda Salome Ludeña Torres </t>
  </si>
  <si>
    <t>MDT-DRTSPL-2015-5985-EXTERNO</t>
  </si>
  <si>
    <t>MDT-DRTSPL-2015-3089-O</t>
  </si>
  <si>
    <t>MDT-DRTSPL-2015-5986-EXTERNO</t>
  </si>
  <si>
    <t>MDT-DRTSPL-2015-3090-O</t>
  </si>
  <si>
    <t>MDT-DRTSPL-2015-5989-EXTERNO</t>
  </si>
  <si>
    <t>MDT-DRTSPL-2015-3095-O</t>
  </si>
  <si>
    <t xml:space="preserve">Manuel Eduardo Lozada Ramirez </t>
  </si>
  <si>
    <t>MDT-DRTSPL-2015-5990-EXTERNO</t>
  </si>
  <si>
    <t>MDT-DRTSPL-2015-3096-O</t>
  </si>
  <si>
    <t>MDT-DRTSPL-2015-5992-EXTERNO</t>
  </si>
  <si>
    <t>MDT-DRTSPL-2015-3091-O</t>
  </si>
  <si>
    <t xml:space="preserve">Marlon Segundo Erreis Ortega </t>
  </si>
  <si>
    <t>1104487754</t>
  </si>
  <si>
    <t>MDT-DRTSPL-2015-5995-EXTERNO</t>
  </si>
  <si>
    <t>MDT-DRTSPL-2015-3097-O</t>
  </si>
  <si>
    <t xml:space="preserve">Edison Javier Solorzano Vicente </t>
  </si>
  <si>
    <t>1104279284</t>
  </si>
  <si>
    <t>MDT-DRTSPL-2015-5996-EXTERNO</t>
  </si>
  <si>
    <t>MDT-DRTSPL-2015-3098-O</t>
  </si>
  <si>
    <t xml:space="preserve">Manuel Santos Matailo Parra </t>
  </si>
  <si>
    <t>1715504211</t>
  </si>
  <si>
    <t>MDT-DRTSPL-2015-5997-EXTERNO</t>
  </si>
  <si>
    <t>MDT-DRTSPL-2015-3099-O</t>
  </si>
  <si>
    <t xml:space="preserve">Karina Elizabeth Mora Quezada </t>
  </si>
  <si>
    <t>1150031027</t>
  </si>
  <si>
    <t>MDT-DRTSPL-2015-6001-EXTERNO</t>
  </si>
  <si>
    <t>MDT-DRTSPL-2015-3100-O</t>
  </si>
  <si>
    <t>MDT-DRTSPL-2015-6002-EXTERNO</t>
  </si>
  <si>
    <t>MDT-DRTSPL-2015-3101-O</t>
  </si>
  <si>
    <t>MDT-DRTSPL-2015-6003-EXTERNO</t>
  </si>
  <si>
    <t>MDT-DRTSPL-2015-3102-O</t>
  </si>
  <si>
    <t>MDT-DRTSPL-2015-6004-EXTERNO</t>
  </si>
  <si>
    <t>MDT-DRTSPL-2015-3122-O</t>
  </si>
  <si>
    <t>EN628170006EC</t>
  </si>
  <si>
    <t>MDT-DRTSPL-2015-6005-EXTERNO</t>
  </si>
  <si>
    <t>MDT-DRTSPL-2015-3123-O</t>
  </si>
  <si>
    <t>MDT-DRTSPL-2015-6006-EXTERNO</t>
  </si>
  <si>
    <t>MDT-DRTSPL-2015-3103-O</t>
  </si>
  <si>
    <t>MDT-DRTSPL-2015-6007-EXTERNO</t>
  </si>
  <si>
    <t>MDT-DRTSPL-2015-3104-O</t>
  </si>
  <si>
    <t>MDT-DRTSPL-2015-6011-EXTERNO</t>
  </si>
  <si>
    <t>MDT-DRTSPL-2015-3114-O</t>
  </si>
  <si>
    <t>EN628104038EC</t>
  </si>
  <si>
    <t>MDT-DRTSPL-2015-6012-EXTERNO</t>
  </si>
  <si>
    <t>MDT-DRTSPL-2015-3105-O</t>
  </si>
  <si>
    <t xml:space="preserve">Lourdes Katherine Sanchez Gualan </t>
  </si>
  <si>
    <t>1105943821</t>
  </si>
  <si>
    <t>MDT-DRTSPL-2015-6013-EXTERNO</t>
  </si>
  <si>
    <t>MDT-DRTSPL-2015-3117-O</t>
  </si>
  <si>
    <t xml:space="preserve">Viviana Alexandra Martinez Medina </t>
  </si>
  <si>
    <t>1104222250</t>
  </si>
  <si>
    <t>MDT-DRTSPL-2015-6014-EXTERNO</t>
  </si>
  <si>
    <t>MDT-DRTSPL-2015-3106-O</t>
  </si>
  <si>
    <t>MDT-DRTSPL-2015-6019-EXTERNO</t>
  </si>
  <si>
    <t>MDT-DRTSPL-2015-3107-O</t>
  </si>
  <si>
    <t xml:space="preserve">Franco Rómulo Carrión Paz </t>
  </si>
  <si>
    <t>MDT-DRTSPL-2015-6020-EXTERNO</t>
  </si>
  <si>
    <t>MDT-DRTSPL-2015-3108-O</t>
  </si>
  <si>
    <t xml:space="preserve">Pablo Mariano Ojeda Sotomayor </t>
  </si>
  <si>
    <t>MDT-DRTSPL-2015-6021-EXTERNO</t>
  </si>
  <si>
    <t>MDT-DRTSPL-2015-3109-O</t>
  </si>
  <si>
    <t>MDT-DRTSPL-2015-6022-EXTERNO</t>
  </si>
  <si>
    <t>MDT-DRTSPL-2015-3110-O</t>
  </si>
  <si>
    <t>MDT-DRTSPL-2015-6023-EXTERNO</t>
  </si>
  <si>
    <t>MDT-DRTSPL-2015-3111-O</t>
  </si>
  <si>
    <t>MDT-DRTSPL-2015-6024-EXTERNO</t>
  </si>
  <si>
    <t>MDT-DRTSPL-2015-3112-O</t>
  </si>
  <si>
    <t>MDT-DRTSPL-2015-6025-EXTERNO</t>
  </si>
  <si>
    <t>MDT-DRTSPL-2015-3113-O</t>
  </si>
  <si>
    <t>MDT-DRTSPL-2015-6026-EXTERNO</t>
  </si>
  <si>
    <t>MDT-DRTSPL-2015-3116-O</t>
  </si>
  <si>
    <t>1104554686</t>
  </si>
  <si>
    <t>MDT-DRTSPL-2015-6032-EXTERNO</t>
  </si>
  <si>
    <t>MDT-DRTSPL-2015-3115-O</t>
  </si>
  <si>
    <t>MDT-DRTSPL-2015-6034-EXTERNO</t>
  </si>
  <si>
    <t>MDT-DRTSPL-2015-3142-O</t>
  </si>
  <si>
    <t>MDT-DRTSPL-2015-6035-EXTERNO</t>
  </si>
  <si>
    <t>MDT-DRTSPL-2015-3124-O</t>
  </si>
  <si>
    <t>MDT-DRTSPL-2015-6036-EXTERNO</t>
  </si>
  <si>
    <t>MDT-DRTSPL-2015-3125-O</t>
  </si>
  <si>
    <t>MDT-DRTSPL-2015-6037-EXTERNO</t>
  </si>
  <si>
    <t>MDT-DRTSPL-2015-3126-O</t>
  </si>
  <si>
    <t xml:space="preserve">Carlos Geovanny Cabrera Flores </t>
  </si>
  <si>
    <t>MDT-DRTSPL-2015-6040-EXTERNO</t>
  </si>
  <si>
    <t>MDT-DRTSPL-2015-3129-O</t>
  </si>
  <si>
    <t>1103327753</t>
  </si>
  <si>
    <t>MDT-DRTSPL-2015-6041-EXTERNO</t>
  </si>
  <si>
    <t>MDT-DRTSPL-2015-3127-O</t>
  </si>
  <si>
    <t>MDT-DRTSPL-2015-6042-EXTERNO</t>
  </si>
  <si>
    <t>MDT-DRTSPL-2015-3128-O</t>
  </si>
  <si>
    <t xml:space="preserve">Maria Elena Arevalo Quezada </t>
  </si>
  <si>
    <t>MDT-DRTSPL-2015-6045-EXTERNO</t>
  </si>
  <si>
    <t>MDT-DRTSPL-2015-3130-O</t>
  </si>
  <si>
    <t xml:space="preserve">Blanca Patricia Aguirre Celi </t>
  </si>
  <si>
    <t>1104698087</t>
  </si>
  <si>
    <t>MDT-DRTSPL-2015-6047-EXTERNO</t>
  </si>
  <si>
    <t>RASIGNAR</t>
  </si>
  <si>
    <t>MDT-DRTSPL-2015-4951-M</t>
  </si>
  <si>
    <t xml:space="preserve">  María Cumanda Nole Nole</t>
  </si>
  <si>
    <t>FINANCIERO</t>
  </si>
  <si>
    <t xml:space="preserve">Yovany Ricaurte Arcos Rodriguez </t>
  </si>
  <si>
    <t>MDT-DRTSPL-2015-6049-EXTERNO</t>
  </si>
  <si>
    <t>MDT-DRTSPL-2015-3131-O</t>
  </si>
  <si>
    <t>Yovany Ricaurte Arcos Rodrigu</t>
  </si>
  <si>
    <t>MDT-DRTSPL-2015-6054-EXTERNO</t>
  </si>
  <si>
    <t>MDT-DRTSPL-2015-3132-O</t>
  </si>
  <si>
    <t xml:space="preserve">Carlos Manuel Machuca Cuenca </t>
  </si>
  <si>
    <t>MDT-DRTSPL-2015-6055-EXTERNO</t>
  </si>
  <si>
    <t>MDT-DRTSPL-2015-3133-O</t>
  </si>
  <si>
    <t>Carlos Manuel Machuca Cuenc</t>
  </si>
  <si>
    <t>1103600860</t>
  </si>
  <si>
    <t>MDT-DRTSPL-2015-6056-EXTERNO</t>
  </si>
  <si>
    <t>MDT-DRTSPL-2015-3134-O</t>
  </si>
  <si>
    <t xml:space="preserve">Ximena Brigitte Villavicencio Macas </t>
  </si>
  <si>
    <t>1104907975</t>
  </si>
  <si>
    <t>MDT-DRTSPL-2015-6060-EXTERNO</t>
  </si>
  <si>
    <t>MDT-DRTSPL-2015-3135-O</t>
  </si>
  <si>
    <t>1105006835</t>
  </si>
  <si>
    <t>MDT-DRTSPL-2015-6061-EXTERNO</t>
  </si>
  <si>
    <t>MDT-DRTSPL-2015-3136-O</t>
  </si>
  <si>
    <t xml:space="preserve">Martha Graciela Shapa Armijos </t>
  </si>
  <si>
    <t>1150422713</t>
  </si>
  <si>
    <t>MDT-DRTSPL-2015-6063-EXTERNO</t>
  </si>
  <si>
    <t>MDT-DRTSPL-2015-3137-O</t>
  </si>
  <si>
    <t>MDT-DRTSPL-2015-6065-EXTERNO</t>
  </si>
  <si>
    <t>MDT-DRTSPL-2015-3138-O</t>
  </si>
  <si>
    <t>MDT-DRTSPL-2015-6067-EXTERNO</t>
  </si>
  <si>
    <t>MDT-DRTSPL-2015-3139-O</t>
  </si>
  <si>
    <t>MDT-DRTSPL-2015-6070-EXTERNO</t>
  </si>
  <si>
    <t>MDT-DRTSPL-2015-3140-O</t>
  </si>
  <si>
    <t>MDT-DRTSPL-2015-6071-EXTERNO</t>
  </si>
  <si>
    <t>MDT-DRTSPL-2015-3151-O</t>
  </si>
  <si>
    <t>MDT-DRTSPL-2015-6072-EXTERNO</t>
  </si>
  <si>
    <t>MDT-DRTSPL-2015-3141-O</t>
  </si>
  <si>
    <t>MDT-DRTSPL-2015-6075-EXTERNO</t>
  </si>
  <si>
    <t>MDT-DRTSPL-2015-3148-O</t>
  </si>
  <si>
    <t xml:space="preserve">Vanessa Piedad Quezada Chamba </t>
  </si>
  <si>
    <t>1103651111</t>
  </si>
  <si>
    <t>MDT-DRTSPL-2015-6077-EXTERNO</t>
  </si>
  <si>
    <t>MDT-DRTSPL-2015-3149-O</t>
  </si>
  <si>
    <t xml:space="preserve">Deisy Katherine Abad Gaona </t>
  </si>
  <si>
    <t>1150074928</t>
  </si>
  <si>
    <t>MDT-DRTSPL-2015-6078-EXTERNO</t>
  </si>
  <si>
    <t>MDT-DRTSPL-2015-3150-O</t>
  </si>
  <si>
    <t xml:space="preserve">Scarlet Yamilex Luzuriaga Bonilla </t>
  </si>
  <si>
    <t>1105062580</t>
  </si>
  <si>
    <t>MDT-DRTSPL-2015-6079-EXTERNO</t>
  </si>
  <si>
    <t>MDT-DRTSPL-2015-3152-O</t>
  </si>
  <si>
    <t xml:space="preserve">Guiselle Paola Torres Ordoñez </t>
  </si>
  <si>
    <t>1104702046</t>
  </si>
  <si>
    <t>MDT-DRTSPL-2015-6080-EXTERNO</t>
  </si>
  <si>
    <t>MDT-DRTSPL-2015-3162-O</t>
  </si>
  <si>
    <t>MDT-DRTSPL-2015-6081-EXTERNO</t>
  </si>
  <si>
    <t>MDT-DRTSPL-2015-3163-O</t>
  </si>
  <si>
    <t>MDT-DRTSPL-2015-6084-EXTERNO</t>
  </si>
  <si>
    <t>MDT-DRTSPL-2015-3165-O</t>
  </si>
  <si>
    <t>MDT-DRTSPL-2015-6085-EXTERNO</t>
  </si>
  <si>
    <t>MDT-DRTSPL-2015-3167-O</t>
  </si>
  <si>
    <t>MDT-DRTSPL-2015-6086-EXTERNO</t>
  </si>
  <si>
    <t>MDT-DRTSPL-2015-3166-O</t>
  </si>
  <si>
    <t>MDT-DRTSPL-2015-6088-EXTERNO</t>
  </si>
  <si>
    <t>MDT-DRTSPL-2015-3168-O</t>
  </si>
  <si>
    <t>MDT-DRTSPL-2015-6090-EXTERNO</t>
  </si>
  <si>
    <t>MDT-DRTSPL-2015-3169-O</t>
  </si>
  <si>
    <t xml:space="preserve">Fidel Antonio Sanmartin Pesantes </t>
  </si>
  <si>
    <t>MDT-DRTSPL-2015-6091-EXTERNO</t>
  </si>
  <si>
    <t>MDT-DRTSPL-2015-3153-O</t>
  </si>
  <si>
    <t xml:space="preserve">Laura Mercy Montaño Mora </t>
  </si>
  <si>
    <t>MDT-DRTSPL-2015-6094-EXTERNO</t>
  </si>
  <si>
    <t>MDT-DRTSPL-2015-3154-O</t>
  </si>
  <si>
    <t xml:space="preserve">Holger Rafael Macas Valdivieso </t>
  </si>
  <si>
    <t>MDT-DRTSPL-2015-6095-EXTERNO</t>
  </si>
  <si>
    <t>MDT-DRTSPL-2015-3155-O</t>
  </si>
  <si>
    <t xml:space="preserve">Darwin Leodan Guaman Carrion </t>
  </si>
  <si>
    <t>MDT-DRTSPL-2015-6096-EXTERNO</t>
  </si>
  <si>
    <t>MDT-DRTSPL-2015-3156-O</t>
  </si>
  <si>
    <t xml:space="preserve">Carla Johana Teran Burneo </t>
  </si>
  <si>
    <t>MDT-DRTSPL-2015-6097-EXTERNO</t>
  </si>
  <si>
    <t>MDT-DRTSPL-2015-3157-O</t>
  </si>
  <si>
    <t xml:space="preserve">Julio Cesar Naula Rodriguez </t>
  </si>
  <si>
    <t>MDT-DRTSPL-2015-6098-EXTERNO</t>
  </si>
  <si>
    <t>MDT-DRTSPL-2015-3159-O</t>
  </si>
  <si>
    <t xml:space="preserve">Ruth Lorena Villamagua Jimenez </t>
  </si>
  <si>
    <t>1102424288</t>
  </si>
  <si>
    <t>MDT-DRTSPL-2015-6102-EXTERNO</t>
  </si>
  <si>
    <t>MDT-DRTSPL-2015-3170-O</t>
  </si>
  <si>
    <t xml:space="preserve">Maria de los Angeles Encalada Valdivieso </t>
  </si>
  <si>
    <t>MDT-DRTSPL-2015-6103-EXTERNO</t>
  </si>
  <si>
    <t>MDT-DRTSPL-2015-3171-O</t>
  </si>
  <si>
    <t>MDT-DRTSPL-2015-6104-EXTERNO</t>
  </si>
  <si>
    <t>MDT-DRTSPL-2015-3172-O</t>
  </si>
  <si>
    <t>MDT-DRTSPL-2015-6106-EXTERNO</t>
  </si>
  <si>
    <t>MDT-DRTSPL-2015-3173-O</t>
  </si>
  <si>
    <t>MDT-DRTSPL-2015-6107-EXTERNO</t>
  </si>
  <si>
    <t>MDT-DRTSPL-2015-6109-EXTERNO</t>
  </si>
  <si>
    <t xml:space="preserve">Ramiro Eugenio Armijos Barrazueta </t>
  </si>
  <si>
    <t>MDT-DRTSPL-2015-6114-EXTERNO</t>
  </si>
  <si>
    <t xml:space="preserve">Edwin Patricio Calle Ordoñez </t>
  </si>
  <si>
    <t>MDT-DRTSPL-2015-6115-EXTERNO</t>
  </si>
  <si>
    <t>MDT-DRTSPL-2015-6117-EXTERNO</t>
  </si>
  <si>
    <t>MDT-DRTSPL-2015-6120-EXTERNO</t>
  </si>
  <si>
    <t>MDT-DRTSPL-2015-6122-EXTERNO</t>
  </si>
  <si>
    <t>MDT-DRTSPL-2015-6123-EXTERNO</t>
  </si>
  <si>
    <t xml:space="preserve">Diana del Cisne Lituma Torres </t>
  </si>
  <si>
    <t>MDT-DRTSPL-2015-6124-EXTERNO</t>
  </si>
  <si>
    <t>MDT-DRTSPL-2015-6125-EXTERNO</t>
  </si>
  <si>
    <t>MDT-DRTSPL-2015-6126-EXTERNO</t>
  </si>
  <si>
    <t>MDT-DRTSPL-2015-6137-EXTERNO</t>
  </si>
  <si>
    <t>MDT-DRTSPL-2015-6138-EXTERNO</t>
  </si>
  <si>
    <t>MDT-DRTSPL-2015-6140-EXTERNO</t>
  </si>
  <si>
    <t>MDT-DRTSPL-2015-6141-EXTERNO</t>
  </si>
  <si>
    <t>MDT-DRTSPL-2015-6142-EXTERNO</t>
  </si>
  <si>
    <t xml:space="preserve">Ana del Carmen Cueva Pardo </t>
  </si>
  <si>
    <t>MDT-DRTSPL-2015-6151-EXTERNO</t>
  </si>
  <si>
    <t>MDT-DRTSPL-2015-6156-EXTERNO</t>
  </si>
  <si>
    <t xml:space="preserve">Nelson Vicente Sarango Gonzalez </t>
  </si>
  <si>
    <t>USUARIO EXTERNO - CASILLERO</t>
  </si>
  <si>
    <t>1104509532</t>
  </si>
  <si>
    <t>EN628382884EC</t>
  </si>
  <si>
    <t>1104057490</t>
  </si>
  <si>
    <t>1103711782</t>
  </si>
  <si>
    <t>1103668339</t>
  </si>
  <si>
    <t>1103325997</t>
  </si>
  <si>
    <t>0702403007</t>
  </si>
  <si>
    <t>1104783806</t>
  </si>
  <si>
    <t>MDT-DRTSPL-2015-3174-O</t>
  </si>
  <si>
    <t>MDT-DRTSPL-2015-3177-O</t>
  </si>
  <si>
    <t>MDT-DRTSPL-2015-3176-O</t>
  </si>
  <si>
    <t>MDT-DRTSPL-2015-3179-O</t>
  </si>
  <si>
    <t>MDT-DRTSPL-2015-3180-O</t>
  </si>
  <si>
    <t>MDT-DRTSPL-2015-3178-O</t>
  </si>
  <si>
    <t>1102567276</t>
  </si>
  <si>
    <t>1104717457</t>
  </si>
  <si>
    <t>MDT-DRTSPL-2015-3181-O</t>
  </si>
  <si>
    <t>MDT-DRTSPL-2015-3182-O</t>
  </si>
  <si>
    <t>MDT-DRTSPL-2015-3183-O</t>
  </si>
  <si>
    <t>MDT-DRTSPL-2015-3185-O</t>
  </si>
  <si>
    <t>MDT-DRTSPL-2015-3186-O</t>
  </si>
  <si>
    <t>1103256085</t>
  </si>
  <si>
    <t>1103784508</t>
  </si>
  <si>
    <t>EN626893810EC</t>
  </si>
  <si>
    <t>MDT-DSG-2015-3766-MEMORANDO</t>
  </si>
  <si>
    <t>DT-DRTSPL-2015-2925-O</t>
  </si>
  <si>
    <t>ENVIADO DESDE QUITO</t>
  </si>
  <si>
    <t>EN626587315EC</t>
  </si>
  <si>
    <t>EN626587284EC</t>
  </si>
  <si>
    <t>EN626587307EC</t>
  </si>
  <si>
    <t>EN626587298EC</t>
  </si>
  <si>
    <t>EN626679051EC</t>
  </si>
  <si>
    <t>EN626681877EC</t>
  </si>
  <si>
    <t>MDT-DRTSPL-2015-2888-O</t>
  </si>
  <si>
    <t xml:space="preserve"> MDT-DRTSPL-2015-2881-O</t>
  </si>
  <si>
    <t>MDT-DRTSPL-2015-2879-O</t>
  </si>
  <si>
    <t>MDT-DRTSPL-2015-2887-O</t>
  </si>
  <si>
    <t>Juan Fernando Sigcho Pineda</t>
  </si>
  <si>
    <t>MDT-DRTSPL-2015-2884-O</t>
  </si>
  <si>
    <t>MDT-DRTSPL-2015-2886-O</t>
  </si>
  <si>
    <t>Pablo Vinicio Muñoz Abarc</t>
  </si>
  <si>
    <t>MDT-DRTSPL-2015-2883-O</t>
  </si>
  <si>
    <t>MDT-DRTSPL-2015-2893-O</t>
  </si>
  <si>
    <t>EN626893854EC</t>
  </si>
  <si>
    <t>EN627023995EC</t>
  </si>
  <si>
    <t>EN626893837EC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</si>
</sst>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name val="Calibri"/>
      <family val="2"/>
      <scheme val="minor"/>
    </font>
    <font>
      <sz val="8"/>
      <name val="Calibri"/>
      <family val="2"/>
      <scheme val="minor"/>
    </font>
    <font>
      <sz val="7.5"/>
      <color rgb="FFC00000"/>
      <name val="Calibri"/>
      <family val="2"/>
      <scheme val="minor"/>
    </font>
    <font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7758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6" fillId="0" borderId="5" xfId="1" applyFont="1" applyBorder="1" applyAlignment="1" applyProtection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NumberFormat="1" applyFill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0" borderId="0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4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7" fillId="0" borderId="0" xfId="0" applyFont="1" applyAlignment="1">
      <alignment horizontal="center" wrapText="1"/>
    </xf>
    <xf numFmtId="14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5" xfId="0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/>
    <xf numFmtId="0" fontId="14" fillId="0" borderId="0" xfId="0" applyFont="1" applyBorder="1" applyAlignment="1"/>
    <xf numFmtId="49" fontId="0" fillId="0" borderId="0" xfId="0" applyNumberFormat="1" applyBorder="1" applyAlignment="1">
      <alignment horizont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9" fillId="0" borderId="5" xfId="0" applyFont="1" applyBorder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9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6" fillId="0" borderId="5" xfId="0" applyFont="1" applyBorder="1"/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 wrapText="1"/>
    </xf>
    <xf numFmtId="1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top"/>
    </xf>
    <xf numFmtId="0" fontId="0" fillId="5" borderId="0" xfId="0" applyFill="1" applyBorder="1"/>
    <xf numFmtId="0" fontId="0" fillId="5" borderId="0" xfId="0" applyFill="1"/>
    <xf numFmtId="0" fontId="0" fillId="5" borderId="5" xfId="0" applyFont="1" applyFill="1" applyBorder="1" applyAlignment="1">
      <alignment horizontal="left" vertical="center" wrapText="1"/>
    </xf>
    <xf numFmtId="14" fontId="0" fillId="5" borderId="5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wrapText="1"/>
    </xf>
    <xf numFmtId="0" fontId="7" fillId="0" borderId="5" xfId="0" applyFont="1" applyBorder="1"/>
    <xf numFmtId="0" fontId="7" fillId="0" borderId="5" xfId="0" applyFont="1" applyBorder="1" applyAlignment="1">
      <alignment wrapText="1"/>
    </xf>
    <xf numFmtId="14" fontId="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14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wrapText="1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14" fontId="22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wrapText="1"/>
    </xf>
    <xf numFmtId="14" fontId="22" fillId="0" borderId="0" xfId="0" applyNumberFormat="1" applyFont="1" applyBorder="1" applyAlignment="1">
      <alignment horizontal="left" vertical="center"/>
    </xf>
    <xf numFmtId="0" fontId="23" fillId="0" borderId="0" xfId="0" applyFont="1" applyBorder="1" applyAlignment="1">
      <alignment wrapText="1"/>
    </xf>
    <xf numFmtId="0" fontId="0" fillId="2" borderId="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25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wrapText="1"/>
    </xf>
    <xf numFmtId="0" fontId="7" fillId="6" borderId="5" xfId="0" applyFont="1" applyFill="1" applyBorder="1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7" fillId="0" borderId="0" xfId="0" applyFont="1" applyFill="1" applyBorder="1"/>
    <xf numFmtId="0" fontId="0" fillId="0" borderId="0" xfId="0" applyFill="1" applyBorder="1"/>
    <xf numFmtId="0" fontId="28" fillId="5" borderId="5" xfId="0" applyFont="1" applyFill="1" applyBorder="1" applyAlignment="1">
      <alignment wrapText="1"/>
    </xf>
    <xf numFmtId="14" fontId="28" fillId="5" borderId="5" xfId="0" applyNumberFormat="1" applyFont="1" applyFill="1" applyBorder="1" applyAlignment="1">
      <alignment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wrapText="1"/>
    </xf>
    <xf numFmtId="14" fontId="9" fillId="5" borderId="5" xfId="0" applyNumberFormat="1" applyFont="1" applyFill="1" applyBorder="1" applyAlignment="1">
      <alignment wrapText="1"/>
    </xf>
    <xf numFmtId="0" fontId="29" fillId="5" borderId="5" xfId="0" applyFont="1" applyFill="1" applyBorder="1" applyAlignment="1">
      <alignment wrapText="1"/>
    </xf>
    <xf numFmtId="14" fontId="29" fillId="5" borderId="5" xfId="0" applyNumberFormat="1" applyFont="1" applyFill="1" applyBorder="1" applyAlignment="1">
      <alignment wrapText="1"/>
    </xf>
    <xf numFmtId="0" fontId="3" fillId="5" borderId="5" xfId="0" applyFont="1" applyFill="1" applyBorder="1" applyAlignment="1">
      <alignment horizontal="center" vertical="center" wrapText="1"/>
    </xf>
    <xf numFmtId="14" fontId="3" fillId="5" borderId="9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7" fillId="5" borderId="12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wrapText="1"/>
    </xf>
    <xf numFmtId="14" fontId="28" fillId="8" borderId="5" xfId="0" applyNumberFormat="1" applyFont="1" applyFill="1" applyBorder="1" applyAlignment="1">
      <alignment wrapText="1"/>
    </xf>
    <xf numFmtId="0" fontId="7" fillId="8" borderId="5" xfId="0" applyFont="1" applyFill="1" applyBorder="1" applyAlignment="1">
      <alignment horizontal="center" vertical="center" wrapText="1"/>
    </xf>
    <xf numFmtId="14" fontId="28" fillId="8" borderId="5" xfId="0" applyNumberFormat="1" applyFont="1" applyFill="1" applyBorder="1" applyAlignment="1">
      <alignment horizontal="center" wrapText="1"/>
    </xf>
    <xf numFmtId="0" fontId="28" fillId="8" borderId="5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vertical="center" wrapText="1"/>
    </xf>
    <xf numFmtId="49" fontId="7" fillId="8" borderId="5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14" fontId="0" fillId="8" borderId="5" xfId="0" applyNumberFormat="1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29" fillId="8" borderId="5" xfId="0" applyFont="1" applyFill="1" applyBorder="1" applyAlignment="1">
      <alignment wrapText="1"/>
    </xf>
    <xf numFmtId="14" fontId="29" fillId="8" borderId="5" xfId="0" applyNumberFormat="1" applyFont="1" applyFill="1" applyBorder="1" applyAlignment="1">
      <alignment wrapText="1"/>
    </xf>
    <xf numFmtId="14" fontId="29" fillId="8" borderId="5" xfId="0" applyNumberFormat="1" applyFont="1" applyFill="1" applyBorder="1" applyAlignment="1">
      <alignment horizontal="center" wrapText="1"/>
    </xf>
    <xf numFmtId="0" fontId="29" fillId="8" borderId="5" xfId="0" applyFont="1" applyFill="1" applyBorder="1" applyAlignment="1">
      <alignment horizont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1" fillId="8" borderId="5" xfId="0" applyFont="1" applyFill="1" applyBorder="1" applyAlignment="1">
      <alignment wrapText="1"/>
    </xf>
    <xf numFmtId="14" fontId="31" fillId="8" borderId="5" xfId="0" applyNumberFormat="1" applyFont="1" applyFill="1" applyBorder="1" applyAlignment="1">
      <alignment wrapText="1"/>
    </xf>
    <xf numFmtId="0" fontId="32" fillId="8" borderId="5" xfId="0" applyFont="1" applyFill="1" applyBorder="1" applyAlignment="1">
      <alignment horizontal="center" vertical="center" wrapText="1"/>
    </xf>
    <xf numFmtId="14" fontId="31" fillId="8" borderId="5" xfId="0" applyNumberFormat="1" applyFont="1" applyFill="1" applyBorder="1" applyAlignment="1">
      <alignment horizontal="center" wrapText="1"/>
    </xf>
    <xf numFmtId="0" fontId="31" fillId="8" borderId="5" xfId="0" applyFont="1" applyFill="1" applyBorder="1" applyAlignment="1">
      <alignment horizontal="center" wrapText="1"/>
    </xf>
    <xf numFmtId="49" fontId="32" fillId="8" borderId="5" xfId="0" applyNumberFormat="1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wrapText="1"/>
    </xf>
    <xf numFmtId="0" fontId="34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wrapText="1"/>
    </xf>
    <xf numFmtId="14" fontId="1" fillId="8" borderId="5" xfId="0" applyNumberFormat="1" applyFont="1" applyFill="1" applyBorder="1" applyAlignment="1">
      <alignment horizontal="center" wrapText="1"/>
    </xf>
    <xf numFmtId="0" fontId="7" fillId="8" borderId="12" xfId="0" applyFont="1" applyFill="1" applyBorder="1" applyAlignment="1">
      <alignment horizontal="center" vertical="center" wrapText="1"/>
    </xf>
    <xf numFmtId="0" fontId="28" fillId="9" borderId="16" xfId="0" applyFont="1" applyFill="1" applyBorder="1" applyAlignment="1">
      <alignment wrapText="1"/>
    </xf>
    <xf numFmtId="14" fontId="28" fillId="9" borderId="0" xfId="0" applyNumberFormat="1" applyFont="1" applyFill="1" applyAlignment="1">
      <alignment wrapText="1"/>
    </xf>
    <xf numFmtId="0" fontId="7" fillId="9" borderId="5" xfId="0" applyFont="1" applyFill="1" applyBorder="1" applyAlignment="1">
      <alignment horizontal="center" vertical="center" wrapText="1"/>
    </xf>
    <xf numFmtId="0" fontId="28" fillId="9" borderId="0" xfId="0" applyFont="1" applyFill="1" applyAlignment="1">
      <alignment wrapText="1"/>
    </xf>
    <xf numFmtId="14" fontId="28" fillId="9" borderId="0" xfId="0" applyNumberFormat="1" applyFont="1" applyFill="1" applyAlignment="1">
      <alignment horizontal="center" wrapText="1"/>
    </xf>
    <xf numFmtId="0" fontId="28" fillId="9" borderId="0" xfId="0" applyFont="1" applyFill="1" applyAlignment="1">
      <alignment horizontal="center" wrapText="1"/>
    </xf>
    <xf numFmtId="0" fontId="3" fillId="9" borderId="9" xfId="0" applyFont="1" applyFill="1" applyBorder="1" applyAlignment="1">
      <alignment horizontal="center" vertical="center" wrapText="1"/>
    </xf>
    <xf numFmtId="0" fontId="28" fillId="9" borderId="16" xfId="0" applyFont="1" applyFill="1" applyBorder="1" applyAlignment="1">
      <alignment horizontal="center" wrapText="1"/>
    </xf>
    <xf numFmtId="14" fontId="0" fillId="9" borderId="0" xfId="0" applyNumberFormat="1" applyFill="1" applyAlignment="1">
      <alignment horizontal="center" wrapText="1"/>
    </xf>
    <xf numFmtId="0" fontId="9" fillId="9" borderId="5" xfId="0" applyFont="1" applyFill="1" applyBorder="1" applyAlignment="1">
      <alignment horizontal="center" vertical="center" wrapText="1"/>
    </xf>
    <xf numFmtId="49" fontId="7" fillId="9" borderId="5" xfId="0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14" fontId="0" fillId="9" borderId="0" xfId="0" applyNumberFormat="1" applyFont="1" applyFill="1" applyAlignment="1">
      <alignment horizontal="center" wrapText="1"/>
    </xf>
    <xf numFmtId="0" fontId="7" fillId="9" borderId="12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wrapText="1"/>
    </xf>
    <xf numFmtId="14" fontId="28" fillId="10" borderId="5" xfId="0" applyNumberFormat="1" applyFont="1" applyFill="1" applyBorder="1" applyAlignment="1">
      <alignment wrapText="1"/>
    </xf>
    <xf numFmtId="0" fontId="7" fillId="10" borderId="5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wrapText="1"/>
    </xf>
    <xf numFmtId="14" fontId="0" fillId="10" borderId="5" xfId="0" applyNumberFormat="1" applyFill="1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28" fillId="11" borderId="5" xfId="0" applyFont="1" applyFill="1" applyBorder="1" applyAlignment="1">
      <alignment wrapText="1"/>
    </xf>
    <xf numFmtId="14" fontId="28" fillId="11" borderId="5" xfId="0" applyNumberFormat="1" applyFont="1" applyFill="1" applyBorder="1" applyAlignment="1">
      <alignment wrapText="1"/>
    </xf>
    <xf numFmtId="0" fontId="0" fillId="11" borderId="5" xfId="0" applyFill="1" applyBorder="1" applyAlignment="1">
      <alignment horizontal="center" wrapText="1"/>
    </xf>
    <xf numFmtId="0" fontId="7" fillId="11" borderId="5" xfId="0" applyFont="1" applyFill="1" applyBorder="1" applyAlignment="1">
      <alignment horizontal="center" vertical="center" wrapText="1"/>
    </xf>
    <xf numFmtId="14" fontId="0" fillId="11" borderId="5" xfId="0" applyNumberFormat="1" applyFill="1" applyBorder="1" applyAlignment="1">
      <alignment horizontal="center" wrapText="1"/>
    </xf>
    <xf numFmtId="0" fontId="28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wrapText="1"/>
    </xf>
    <xf numFmtId="14" fontId="28" fillId="0" borderId="5" xfId="0" applyNumberFormat="1" applyFont="1" applyFill="1" applyBorder="1" applyAlignment="1">
      <alignment wrapText="1"/>
    </xf>
    <xf numFmtId="0" fontId="0" fillId="0" borderId="5" xfId="0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wrapText="1"/>
    </xf>
    <xf numFmtId="0" fontId="28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0" fontId="7" fillId="0" borderId="9" xfId="0" applyFont="1" applyFill="1" applyBorder="1" applyAlignment="1">
      <alignment horizontal="center" vertical="center"/>
    </xf>
    <xf numFmtId="14" fontId="7" fillId="0" borderId="9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28" fillId="0" borderId="16" xfId="0" applyFont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4" fontId="21" fillId="0" borderId="0" xfId="0" applyNumberFormat="1" applyFont="1" applyBorder="1" applyAlignment="1">
      <alignment horizontal="center" vertical="center"/>
    </xf>
    <xf numFmtId="14" fontId="26" fillId="0" borderId="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0" fontId="27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7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CC"/>
      <color rgb="FFCCECFF"/>
      <color rgb="FFFF66FF"/>
      <color rgb="FF00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rreosdelecuador.com.ec/pages/interna_rastre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20"/>
  <sheetViews>
    <sheetView tabSelected="1" workbookViewId="0">
      <pane xSplit="3" ySplit="9" topLeftCell="D2070" activePane="bottomRight" state="frozen"/>
      <selection pane="topRight" activeCell="C1" sqref="C1"/>
      <selection pane="bottomLeft" activeCell="A10" sqref="A10"/>
      <selection pane="bottomRight" activeCell="B2082" sqref="B2082"/>
    </sheetView>
  </sheetViews>
  <sheetFormatPr baseColWidth="10" defaultColWidth="11.42578125" defaultRowHeight="18" customHeight="1" x14ac:dyDescent="0.25"/>
  <cols>
    <col min="1" max="1" width="9.7109375" style="53" customWidth="1"/>
    <col min="2" max="2" width="34" style="20" customWidth="1"/>
    <col min="3" max="3" width="11.85546875" style="25" customWidth="1"/>
    <col min="4" max="4" width="13" style="25" customWidth="1"/>
    <col min="5" max="5" width="12.85546875" style="25" customWidth="1"/>
    <col min="6" max="6" width="12" style="25" customWidth="1"/>
    <col min="7" max="7" width="11.7109375" style="25" customWidth="1"/>
    <col min="8" max="9" width="11.28515625" style="25" customWidth="1"/>
    <col min="10" max="10" width="19.7109375" style="25" customWidth="1"/>
    <col min="11" max="11" width="22.140625" style="18" customWidth="1"/>
    <col min="12" max="12" width="13.28515625" style="26" customWidth="1"/>
    <col min="13" max="14" width="16.140625" style="25" customWidth="1"/>
    <col min="15" max="15" width="13.28515625" style="26" customWidth="1"/>
    <col min="16" max="16" width="9.85546875" style="25" customWidth="1"/>
    <col min="17" max="17" width="20.85546875" style="51" customWidth="1"/>
    <col min="18" max="18" width="11.42578125" style="25" customWidth="1"/>
    <col min="19" max="19" width="17" style="25" customWidth="1"/>
    <col min="20" max="20" width="17.28515625" style="26" customWidth="1"/>
    <col min="21" max="21" width="10.85546875" style="25" customWidth="1"/>
    <col min="22" max="22" width="16.28515625" style="25" customWidth="1"/>
    <col min="23" max="23" width="13.140625" style="35" customWidth="1"/>
    <col min="24" max="24" width="11.42578125" style="35"/>
    <col min="25" max="16384" width="11.42578125" style="25"/>
  </cols>
  <sheetData>
    <row r="1" spans="1:16384" ht="15" customHeight="1" x14ac:dyDescent="0.25">
      <c r="B1" s="19"/>
      <c r="C1" s="20"/>
      <c r="D1" s="21"/>
      <c r="E1" s="20"/>
      <c r="F1" s="20"/>
      <c r="G1" s="37"/>
      <c r="H1" s="37"/>
      <c r="I1" s="37"/>
      <c r="J1" s="37"/>
      <c r="K1" s="36"/>
      <c r="L1" s="22"/>
      <c r="M1" s="23"/>
      <c r="N1" s="23"/>
      <c r="O1" s="22"/>
      <c r="P1" s="23"/>
      <c r="Q1" s="45"/>
      <c r="R1" s="24"/>
    </row>
    <row r="2" spans="1:16384" ht="15" customHeight="1" x14ac:dyDescent="0.25">
      <c r="B2" s="19"/>
      <c r="C2" s="20"/>
      <c r="D2" s="21"/>
      <c r="E2" s="20"/>
      <c r="F2" s="20"/>
      <c r="G2" s="37"/>
      <c r="H2" s="36"/>
      <c r="I2" s="37"/>
      <c r="J2" s="36"/>
      <c r="K2" s="14"/>
      <c r="L2" s="22"/>
      <c r="M2" s="36"/>
      <c r="N2" s="36"/>
      <c r="O2" s="22"/>
      <c r="P2" s="23"/>
      <c r="Q2" s="45"/>
      <c r="R2" s="24"/>
    </row>
    <row r="3" spans="1:16384" ht="33.75" customHeight="1" x14ac:dyDescent="0.25">
      <c r="A3" s="232" t="s">
        <v>184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1" t="s">
        <v>171</v>
      </c>
      <c r="X3" s="231"/>
    </row>
    <row r="4" spans="1:16384" ht="15" hidden="1" customHeight="1" x14ac:dyDescent="0.25">
      <c r="B4" s="19"/>
      <c r="C4" s="223" t="s">
        <v>0</v>
      </c>
      <c r="D4" s="224"/>
      <c r="E4" s="224"/>
      <c r="F4" s="224"/>
      <c r="G4" s="225"/>
      <c r="H4" s="225"/>
      <c r="I4" s="225"/>
      <c r="J4" s="225"/>
      <c r="K4" s="226"/>
      <c r="L4" s="22"/>
      <c r="M4" s="14"/>
      <c r="N4" s="14"/>
      <c r="O4" s="15"/>
      <c r="P4" s="16"/>
      <c r="Q4" s="45"/>
      <c r="R4" s="23"/>
      <c r="S4" s="5"/>
    </row>
    <row r="5" spans="1:16384" ht="15" hidden="1" customHeight="1" x14ac:dyDescent="0.25">
      <c r="B5" s="19"/>
      <c r="C5" s="227" t="s">
        <v>1</v>
      </c>
      <c r="D5" s="225"/>
      <c r="E5" s="225"/>
      <c r="F5" s="225"/>
      <c r="G5" s="225"/>
      <c r="H5" s="225"/>
      <c r="I5" s="225"/>
      <c r="J5" s="225"/>
      <c r="K5" s="226"/>
      <c r="L5" s="22"/>
      <c r="M5" s="23"/>
      <c r="N5" s="23"/>
      <c r="O5" s="27"/>
      <c r="P5" s="28"/>
      <c r="Q5" s="46"/>
      <c r="R5" s="24"/>
    </row>
    <row r="6" spans="1:16384" ht="15" hidden="1" customHeight="1" x14ac:dyDescent="0.25">
      <c r="B6" s="19"/>
      <c r="C6" s="227" t="s">
        <v>2</v>
      </c>
      <c r="D6" s="225"/>
      <c r="E6" s="225"/>
      <c r="F6" s="225"/>
      <c r="G6" s="225"/>
      <c r="H6" s="225"/>
      <c r="I6" s="225"/>
      <c r="J6" s="225"/>
      <c r="K6" s="226"/>
      <c r="L6" s="22"/>
      <c r="M6" s="23"/>
      <c r="N6" s="23"/>
      <c r="O6" s="27"/>
      <c r="P6" s="28"/>
      <c r="Q6" s="47"/>
      <c r="R6" s="24"/>
      <c r="U6" s="1" t="s">
        <v>3</v>
      </c>
    </row>
    <row r="7" spans="1:16384" ht="15" hidden="1" customHeight="1" thickBot="1" x14ac:dyDescent="0.3">
      <c r="B7" s="19"/>
      <c r="C7" s="228" t="s">
        <v>14</v>
      </c>
      <c r="D7" s="229"/>
      <c r="E7" s="229"/>
      <c r="F7" s="229"/>
      <c r="G7" s="229"/>
      <c r="H7" s="229"/>
      <c r="I7" s="229"/>
      <c r="J7" s="229"/>
      <c r="K7" s="230"/>
      <c r="L7" s="22"/>
      <c r="M7" s="23"/>
      <c r="N7" s="23"/>
      <c r="O7" s="27"/>
      <c r="P7" s="28"/>
      <c r="Q7" s="47"/>
      <c r="R7" s="24"/>
    </row>
    <row r="8" spans="1:16384" ht="15" hidden="1" customHeight="1" x14ac:dyDescent="0.25">
      <c r="B8" s="19"/>
      <c r="D8" s="29"/>
      <c r="K8" s="30"/>
      <c r="O8" s="31"/>
      <c r="P8" s="32"/>
      <c r="Q8" s="48"/>
      <c r="R8" s="33"/>
    </row>
    <row r="9" spans="1:16384" s="7" customFormat="1" ht="44.25" customHeight="1" x14ac:dyDescent="0.25">
      <c r="A9" s="107"/>
      <c r="B9" s="38" t="s">
        <v>4</v>
      </c>
      <c r="C9" s="8" t="s">
        <v>5</v>
      </c>
      <c r="D9" s="9" t="s">
        <v>48</v>
      </c>
      <c r="E9" s="8" t="s">
        <v>6</v>
      </c>
      <c r="F9" s="8" t="s">
        <v>59</v>
      </c>
      <c r="G9" s="8" t="s">
        <v>60</v>
      </c>
      <c r="H9" s="8" t="s">
        <v>61</v>
      </c>
      <c r="I9" s="8" t="s">
        <v>62</v>
      </c>
      <c r="J9" s="8" t="s">
        <v>63</v>
      </c>
      <c r="K9" s="10" t="s">
        <v>7</v>
      </c>
      <c r="L9" s="12" t="s">
        <v>8</v>
      </c>
      <c r="M9" s="8" t="s">
        <v>9</v>
      </c>
      <c r="N9" s="8" t="s">
        <v>97</v>
      </c>
      <c r="O9" s="12" t="s">
        <v>10</v>
      </c>
      <c r="P9" s="10" t="s">
        <v>11</v>
      </c>
      <c r="Q9" s="49" t="s">
        <v>12</v>
      </c>
      <c r="R9" s="11" t="s">
        <v>13</v>
      </c>
      <c r="S9" s="8" t="s">
        <v>49</v>
      </c>
      <c r="T9" s="116" t="s">
        <v>91</v>
      </c>
      <c r="U9" s="13" t="s">
        <v>50</v>
      </c>
      <c r="V9" s="108" t="s">
        <v>6</v>
      </c>
      <c r="W9" s="110" t="s">
        <v>172</v>
      </c>
      <c r="X9" s="110" t="s">
        <v>173</v>
      </c>
    </row>
    <row r="10" spans="1:16384" s="72" customFormat="1" ht="24.75" customHeight="1" x14ac:dyDescent="0.2">
      <c r="A10" s="144">
        <v>1</v>
      </c>
      <c r="B10" s="122" t="s">
        <v>203</v>
      </c>
      <c r="C10" s="123">
        <v>42009</v>
      </c>
      <c r="D10" s="128">
        <v>2</v>
      </c>
      <c r="E10" s="128" t="s">
        <v>93</v>
      </c>
      <c r="F10" s="4" t="s">
        <v>825</v>
      </c>
      <c r="G10" s="4" t="s">
        <v>185</v>
      </c>
      <c r="H10" s="129">
        <v>42012</v>
      </c>
      <c r="I10" s="4" t="s">
        <v>187</v>
      </c>
      <c r="J10" s="4" t="s">
        <v>103</v>
      </c>
      <c r="K10" s="50" t="s">
        <v>445</v>
      </c>
      <c r="L10" s="129">
        <v>42012</v>
      </c>
      <c r="M10" s="50" t="s">
        <v>826</v>
      </c>
      <c r="N10" s="130" t="s">
        <v>185</v>
      </c>
      <c r="O10" s="129">
        <v>42013</v>
      </c>
      <c r="P10" s="124">
        <f t="shared" ref="P10:P15" si="0">O10-C10</f>
        <v>4</v>
      </c>
      <c r="Q10" s="50" t="s">
        <v>446</v>
      </c>
      <c r="R10" s="128" t="s">
        <v>17</v>
      </c>
      <c r="S10" s="50" t="s">
        <v>191</v>
      </c>
      <c r="T10" s="50" t="s">
        <v>101</v>
      </c>
      <c r="U10" s="129">
        <v>42014</v>
      </c>
      <c r="V10" s="131" t="s">
        <v>186</v>
      </c>
      <c r="W10" s="127">
        <f t="shared" ref="W10:W20" si="1">COUNTBLANK(C10:V10)</f>
        <v>0</v>
      </c>
      <c r="X10" s="127" t="str">
        <f t="shared" ref="X10:X20" si="2">IF(W10=0,"Correcto","Incorrecto")</f>
        <v>Correcto</v>
      </c>
      <c r="Y10" s="34"/>
      <c r="Z10" s="34"/>
      <c r="AA10" s="34"/>
    </row>
    <row r="11" spans="1:16384" s="72" customFormat="1" ht="24.75" customHeight="1" x14ac:dyDescent="0.2">
      <c r="A11" s="4">
        <v>2</v>
      </c>
      <c r="B11" s="122" t="s">
        <v>204</v>
      </c>
      <c r="C11" s="123">
        <v>42009</v>
      </c>
      <c r="D11" s="128">
        <v>2</v>
      </c>
      <c r="E11" s="128" t="s">
        <v>93</v>
      </c>
      <c r="F11" s="4" t="s">
        <v>825</v>
      </c>
      <c r="G11" s="4" t="s">
        <v>185</v>
      </c>
      <c r="H11" s="129">
        <v>42012</v>
      </c>
      <c r="I11" s="4" t="s">
        <v>187</v>
      </c>
      <c r="J11" s="4" t="s">
        <v>103</v>
      </c>
      <c r="K11" s="50" t="s">
        <v>447</v>
      </c>
      <c r="L11" s="129">
        <v>42012</v>
      </c>
      <c r="M11" s="50" t="s">
        <v>826</v>
      </c>
      <c r="N11" s="130" t="s">
        <v>185</v>
      </c>
      <c r="O11" s="129">
        <v>42013</v>
      </c>
      <c r="P11" s="124">
        <f t="shared" si="0"/>
        <v>4</v>
      </c>
      <c r="Q11" s="50" t="s">
        <v>448</v>
      </c>
      <c r="R11" s="128" t="s">
        <v>17</v>
      </c>
      <c r="S11" s="50" t="s">
        <v>191</v>
      </c>
      <c r="T11" s="50" t="s">
        <v>101</v>
      </c>
      <c r="U11" s="129">
        <v>42014</v>
      </c>
      <c r="V11" s="131" t="s">
        <v>186</v>
      </c>
      <c r="W11" s="127">
        <f t="shared" si="1"/>
        <v>0</v>
      </c>
      <c r="X11" s="127" t="str">
        <f t="shared" si="2"/>
        <v>Correcto</v>
      </c>
      <c r="Y11" s="109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  <c r="AMK11" s="73"/>
      <c r="AML11" s="73"/>
      <c r="AMM11" s="73"/>
      <c r="AMN11" s="73"/>
      <c r="AMO11" s="73"/>
      <c r="AMP11" s="73"/>
      <c r="AMQ11" s="73"/>
      <c r="AMR11" s="73"/>
      <c r="AMS11" s="73"/>
      <c r="AMT11" s="73"/>
      <c r="AMU11" s="73"/>
      <c r="AMV11" s="73"/>
      <c r="AMW11" s="73"/>
      <c r="AMX11" s="73"/>
      <c r="AMY11" s="73"/>
      <c r="AMZ11" s="73"/>
      <c r="ANA11" s="73"/>
      <c r="ANB11" s="73"/>
      <c r="ANC11" s="73"/>
      <c r="AND11" s="73"/>
      <c r="ANE11" s="73"/>
      <c r="ANF11" s="73"/>
      <c r="ANG11" s="73"/>
      <c r="ANH11" s="73"/>
      <c r="ANI11" s="73"/>
      <c r="ANJ11" s="73"/>
      <c r="ANK11" s="73"/>
      <c r="ANL11" s="73"/>
      <c r="ANM11" s="73"/>
      <c r="ANN11" s="73"/>
      <c r="ANO11" s="73"/>
      <c r="ANP11" s="73"/>
      <c r="ANQ11" s="73"/>
      <c r="ANR11" s="73"/>
      <c r="ANS11" s="73"/>
      <c r="ANT11" s="73"/>
      <c r="ANU11" s="73"/>
      <c r="ANV11" s="73"/>
      <c r="ANW11" s="73"/>
      <c r="ANX11" s="73"/>
      <c r="ANY11" s="73"/>
      <c r="ANZ11" s="73"/>
      <c r="AOA11" s="73"/>
      <c r="AOB11" s="73"/>
      <c r="AOC11" s="73"/>
      <c r="AOD11" s="73"/>
      <c r="AOE11" s="73"/>
      <c r="AOF11" s="73"/>
      <c r="AOG11" s="73"/>
      <c r="AOH11" s="73"/>
      <c r="AOI11" s="73"/>
      <c r="AOJ11" s="73"/>
      <c r="AOK11" s="73"/>
      <c r="AOL11" s="73"/>
      <c r="AOM11" s="73"/>
      <c r="AON11" s="73"/>
      <c r="AOO11" s="73"/>
      <c r="AOP11" s="73"/>
      <c r="AOQ11" s="73"/>
      <c r="AOR11" s="73"/>
      <c r="AOS11" s="73"/>
      <c r="AOT11" s="73"/>
      <c r="AOU11" s="73"/>
      <c r="AOV11" s="73"/>
      <c r="AOW11" s="73"/>
      <c r="AOX11" s="73"/>
      <c r="AOY11" s="73"/>
      <c r="AOZ11" s="73"/>
      <c r="APA11" s="73"/>
      <c r="APB11" s="73"/>
      <c r="APC11" s="73"/>
      <c r="APD11" s="73"/>
      <c r="APE11" s="73"/>
      <c r="APF11" s="73"/>
      <c r="APG11" s="73"/>
      <c r="APH11" s="73"/>
      <c r="API11" s="73"/>
      <c r="APJ11" s="73"/>
      <c r="APK11" s="73"/>
      <c r="APL11" s="73"/>
      <c r="APM11" s="73"/>
      <c r="APN11" s="73"/>
      <c r="APO11" s="73"/>
      <c r="APP11" s="73"/>
      <c r="APQ11" s="73"/>
      <c r="APR11" s="73"/>
      <c r="APS11" s="73"/>
      <c r="APT11" s="73"/>
      <c r="APU11" s="73"/>
      <c r="APV11" s="73"/>
      <c r="APW11" s="73"/>
      <c r="APX11" s="73"/>
      <c r="APY11" s="73"/>
      <c r="APZ11" s="73"/>
      <c r="AQA11" s="73"/>
      <c r="AQB11" s="73"/>
      <c r="AQC11" s="73"/>
      <c r="AQD11" s="73"/>
      <c r="AQE11" s="73"/>
      <c r="AQF11" s="73"/>
      <c r="AQG11" s="73"/>
      <c r="AQH11" s="73"/>
      <c r="AQI11" s="73"/>
      <c r="AQJ11" s="73"/>
      <c r="AQK11" s="73"/>
      <c r="AQL11" s="73"/>
      <c r="AQM11" s="73"/>
      <c r="AQN11" s="73"/>
      <c r="AQO11" s="73"/>
      <c r="AQP11" s="73"/>
      <c r="AQQ11" s="73"/>
      <c r="AQR11" s="73"/>
      <c r="AQS11" s="73"/>
      <c r="AQT11" s="73"/>
      <c r="AQU11" s="73"/>
      <c r="AQV11" s="73"/>
      <c r="AQW11" s="73"/>
      <c r="AQX11" s="73"/>
      <c r="AQY11" s="73"/>
      <c r="AQZ11" s="73"/>
      <c r="ARA11" s="73"/>
      <c r="ARB11" s="73"/>
      <c r="ARC11" s="73"/>
      <c r="ARD11" s="73"/>
      <c r="ARE11" s="73"/>
      <c r="ARF11" s="73"/>
      <c r="ARG11" s="73"/>
      <c r="ARH11" s="73"/>
      <c r="ARI11" s="73"/>
      <c r="ARJ11" s="73"/>
      <c r="ARK11" s="73"/>
      <c r="ARL11" s="73"/>
      <c r="ARM11" s="73"/>
      <c r="ARN11" s="73"/>
      <c r="ARO11" s="73"/>
      <c r="ARP11" s="73"/>
      <c r="ARQ11" s="73"/>
      <c r="ARR11" s="73"/>
      <c r="ARS11" s="73"/>
      <c r="ART11" s="73"/>
      <c r="ARU11" s="73"/>
      <c r="ARV11" s="73"/>
      <c r="ARW11" s="73"/>
      <c r="ARX11" s="73"/>
      <c r="ARY11" s="73"/>
      <c r="ARZ11" s="73"/>
      <c r="ASA11" s="73"/>
      <c r="ASB11" s="73"/>
      <c r="ASC11" s="73"/>
      <c r="ASD11" s="73"/>
      <c r="ASE11" s="73"/>
      <c r="ASF11" s="73"/>
      <c r="ASG11" s="73"/>
      <c r="ASH11" s="73"/>
      <c r="ASI11" s="73"/>
      <c r="ASJ11" s="73"/>
      <c r="ASK11" s="73"/>
      <c r="ASL11" s="73"/>
      <c r="ASM11" s="73"/>
      <c r="ASN11" s="73"/>
      <c r="ASO11" s="73"/>
      <c r="ASP11" s="73"/>
      <c r="ASQ11" s="73"/>
      <c r="ASR11" s="73"/>
      <c r="ASS11" s="73"/>
      <c r="AST11" s="73"/>
      <c r="ASU11" s="73"/>
      <c r="ASV11" s="73"/>
      <c r="ASW11" s="73"/>
      <c r="ASX11" s="73"/>
      <c r="ASY11" s="73"/>
      <c r="ASZ11" s="73"/>
      <c r="ATA11" s="73"/>
      <c r="ATB11" s="73"/>
      <c r="ATC11" s="73"/>
      <c r="ATD11" s="73"/>
      <c r="ATE11" s="73"/>
      <c r="ATF11" s="73"/>
      <c r="ATG11" s="73"/>
      <c r="ATH11" s="73"/>
      <c r="ATI11" s="73"/>
      <c r="ATJ11" s="73"/>
      <c r="ATK11" s="73"/>
      <c r="ATL11" s="73"/>
      <c r="ATM11" s="73"/>
      <c r="ATN11" s="73"/>
      <c r="ATO11" s="73"/>
      <c r="ATP11" s="73"/>
      <c r="ATQ11" s="73"/>
      <c r="ATR11" s="73"/>
      <c r="ATS11" s="73"/>
      <c r="ATT11" s="73"/>
      <c r="ATU11" s="73"/>
      <c r="ATV11" s="73"/>
      <c r="ATW11" s="73"/>
      <c r="ATX11" s="73"/>
      <c r="ATY11" s="73"/>
      <c r="ATZ11" s="73"/>
      <c r="AUA11" s="73"/>
      <c r="AUB11" s="73"/>
      <c r="AUC11" s="73"/>
      <c r="AUD11" s="73"/>
      <c r="AUE11" s="73"/>
      <c r="AUF11" s="73"/>
      <c r="AUG11" s="73"/>
      <c r="AUH11" s="73"/>
      <c r="AUI11" s="73"/>
      <c r="AUJ11" s="73"/>
      <c r="AUK11" s="73"/>
      <c r="AUL11" s="73"/>
      <c r="AUM11" s="73"/>
      <c r="AUN11" s="73"/>
      <c r="AUO11" s="73"/>
      <c r="AUP11" s="73"/>
      <c r="AUQ11" s="73"/>
      <c r="AUR11" s="73"/>
      <c r="AUS11" s="73"/>
      <c r="AUT11" s="73"/>
      <c r="AUU11" s="73"/>
      <c r="AUV11" s="73"/>
      <c r="AUW11" s="73"/>
      <c r="AUX11" s="73"/>
      <c r="AUY11" s="73"/>
      <c r="AUZ11" s="73"/>
      <c r="AVA11" s="73"/>
      <c r="AVB11" s="73"/>
      <c r="AVC11" s="73"/>
      <c r="AVD11" s="73"/>
      <c r="AVE11" s="73"/>
      <c r="AVF11" s="73"/>
      <c r="AVG11" s="73"/>
      <c r="AVH11" s="73"/>
      <c r="AVI11" s="73"/>
      <c r="AVJ11" s="73"/>
      <c r="AVK11" s="73"/>
      <c r="AVL11" s="73"/>
      <c r="AVM11" s="73"/>
      <c r="AVN11" s="73"/>
      <c r="AVO11" s="73"/>
      <c r="AVP11" s="73"/>
      <c r="AVQ11" s="73"/>
      <c r="AVR11" s="73"/>
      <c r="AVS11" s="73"/>
      <c r="AVT11" s="73"/>
      <c r="AVU11" s="73"/>
      <c r="AVV11" s="73"/>
      <c r="AVW11" s="73"/>
      <c r="AVX11" s="73"/>
      <c r="AVY11" s="73"/>
      <c r="AVZ11" s="73"/>
      <c r="AWA11" s="73"/>
      <c r="AWB11" s="73"/>
      <c r="AWC11" s="73"/>
      <c r="AWD11" s="73"/>
      <c r="AWE11" s="73"/>
      <c r="AWF11" s="73"/>
      <c r="AWG11" s="73"/>
      <c r="AWH11" s="73"/>
      <c r="AWI11" s="73"/>
      <c r="AWJ11" s="73"/>
      <c r="AWK11" s="73"/>
      <c r="AWL11" s="73"/>
      <c r="AWM11" s="73"/>
      <c r="AWN11" s="73"/>
      <c r="AWO11" s="73"/>
      <c r="AWP11" s="73"/>
      <c r="AWQ11" s="73"/>
      <c r="AWR11" s="73"/>
      <c r="AWS11" s="73"/>
      <c r="AWT11" s="73"/>
      <c r="AWU11" s="73"/>
      <c r="AWV11" s="73"/>
      <c r="AWW11" s="73"/>
      <c r="AWX11" s="73"/>
      <c r="AWY11" s="73"/>
      <c r="AWZ11" s="73"/>
      <c r="AXA11" s="73"/>
      <c r="AXB11" s="73"/>
      <c r="AXC11" s="73"/>
      <c r="AXD11" s="73"/>
      <c r="AXE11" s="73"/>
      <c r="AXF11" s="73"/>
      <c r="AXG11" s="73"/>
      <c r="AXH11" s="73"/>
      <c r="AXI11" s="73"/>
      <c r="AXJ11" s="73"/>
      <c r="AXK11" s="73"/>
      <c r="AXL11" s="73"/>
      <c r="AXM11" s="73"/>
      <c r="AXN11" s="73"/>
      <c r="AXO11" s="73"/>
      <c r="AXP11" s="73"/>
      <c r="AXQ11" s="73"/>
      <c r="AXR11" s="73"/>
      <c r="AXS11" s="73"/>
      <c r="AXT11" s="73"/>
      <c r="AXU11" s="73"/>
      <c r="AXV11" s="73"/>
      <c r="AXW11" s="73"/>
      <c r="AXX11" s="73"/>
      <c r="AXY11" s="73"/>
      <c r="AXZ11" s="73"/>
      <c r="AYA11" s="73"/>
      <c r="AYB11" s="73"/>
      <c r="AYC11" s="73"/>
      <c r="AYD11" s="73"/>
      <c r="AYE11" s="73"/>
      <c r="AYF11" s="73"/>
      <c r="AYG11" s="73"/>
      <c r="AYH11" s="73"/>
      <c r="AYI11" s="73"/>
      <c r="AYJ11" s="73"/>
      <c r="AYK11" s="73"/>
      <c r="AYL11" s="73"/>
      <c r="AYM11" s="73"/>
      <c r="AYN11" s="73"/>
      <c r="AYO11" s="73"/>
      <c r="AYP11" s="73"/>
      <c r="AYQ11" s="73"/>
      <c r="AYR11" s="73"/>
      <c r="AYS11" s="73"/>
      <c r="AYT11" s="73"/>
      <c r="AYU11" s="73"/>
      <c r="AYV11" s="73"/>
      <c r="AYW11" s="73"/>
      <c r="AYX11" s="73"/>
      <c r="AYY11" s="73"/>
      <c r="AYZ11" s="73"/>
      <c r="AZA11" s="73"/>
      <c r="AZB11" s="73"/>
      <c r="AZC11" s="73"/>
      <c r="AZD11" s="73"/>
      <c r="AZE11" s="73"/>
      <c r="AZF11" s="73"/>
      <c r="AZG11" s="73"/>
      <c r="AZH11" s="73"/>
      <c r="AZI11" s="73"/>
      <c r="AZJ11" s="73"/>
      <c r="AZK11" s="73"/>
      <c r="AZL11" s="73"/>
      <c r="AZM11" s="73"/>
      <c r="AZN11" s="73"/>
      <c r="AZO11" s="73"/>
      <c r="AZP11" s="73"/>
      <c r="AZQ11" s="73"/>
      <c r="AZR11" s="73"/>
      <c r="AZS11" s="73"/>
      <c r="AZT11" s="73"/>
      <c r="AZU11" s="73"/>
      <c r="AZV11" s="73"/>
      <c r="AZW11" s="73"/>
      <c r="AZX11" s="73"/>
      <c r="AZY11" s="73"/>
      <c r="AZZ11" s="73"/>
      <c r="BAA11" s="73"/>
      <c r="BAB11" s="73"/>
      <c r="BAC11" s="73"/>
      <c r="BAD11" s="73"/>
      <c r="BAE11" s="73"/>
      <c r="BAF11" s="73"/>
      <c r="BAG11" s="73"/>
      <c r="BAH11" s="73"/>
      <c r="BAI11" s="73"/>
      <c r="BAJ11" s="73"/>
      <c r="BAK11" s="73"/>
      <c r="BAL11" s="73"/>
      <c r="BAM11" s="73"/>
      <c r="BAN11" s="73"/>
      <c r="BAO11" s="73"/>
      <c r="BAP11" s="73"/>
      <c r="BAQ11" s="73"/>
      <c r="BAR11" s="73"/>
      <c r="BAS11" s="73"/>
      <c r="BAT11" s="73"/>
      <c r="BAU11" s="73"/>
      <c r="BAV11" s="73"/>
      <c r="BAW11" s="73"/>
      <c r="BAX11" s="73"/>
      <c r="BAY11" s="73"/>
      <c r="BAZ11" s="73"/>
      <c r="BBA11" s="73"/>
      <c r="BBB11" s="73"/>
      <c r="BBC11" s="73"/>
      <c r="BBD11" s="73"/>
      <c r="BBE11" s="73"/>
      <c r="BBF11" s="73"/>
      <c r="BBG11" s="73"/>
      <c r="BBH11" s="73"/>
      <c r="BBI11" s="73"/>
      <c r="BBJ11" s="73"/>
      <c r="BBK11" s="73"/>
      <c r="BBL11" s="73"/>
      <c r="BBM11" s="73"/>
      <c r="BBN11" s="73"/>
      <c r="BBO11" s="73"/>
      <c r="BBP11" s="73"/>
      <c r="BBQ11" s="73"/>
      <c r="BBR11" s="73"/>
      <c r="BBS11" s="73"/>
      <c r="BBT11" s="73"/>
      <c r="BBU11" s="73"/>
      <c r="BBV11" s="73"/>
      <c r="BBW11" s="73"/>
      <c r="BBX11" s="73"/>
      <c r="BBY11" s="73"/>
      <c r="BBZ11" s="73"/>
      <c r="BCA11" s="73"/>
      <c r="BCB11" s="73"/>
      <c r="BCC11" s="73"/>
      <c r="BCD11" s="73"/>
      <c r="BCE11" s="73"/>
      <c r="BCF11" s="73"/>
      <c r="BCG11" s="73"/>
      <c r="BCH11" s="73"/>
      <c r="BCI11" s="73"/>
      <c r="BCJ11" s="73"/>
      <c r="BCK11" s="73"/>
      <c r="BCL11" s="73"/>
      <c r="BCM11" s="73"/>
      <c r="BCN11" s="73"/>
      <c r="BCO11" s="73"/>
      <c r="BCP11" s="73"/>
      <c r="BCQ11" s="73"/>
      <c r="BCR11" s="73"/>
      <c r="BCS11" s="73"/>
      <c r="BCT11" s="73"/>
      <c r="BCU11" s="73"/>
      <c r="BCV11" s="73"/>
      <c r="BCW11" s="73"/>
      <c r="BCX11" s="73"/>
      <c r="BCY11" s="73"/>
      <c r="BCZ11" s="73"/>
      <c r="BDA11" s="73"/>
      <c r="BDB11" s="73"/>
      <c r="BDC11" s="73"/>
      <c r="BDD11" s="73"/>
      <c r="BDE11" s="73"/>
      <c r="BDF11" s="73"/>
      <c r="BDG11" s="73"/>
      <c r="BDH11" s="73"/>
      <c r="BDI11" s="73"/>
      <c r="BDJ11" s="73"/>
      <c r="BDK11" s="73"/>
      <c r="BDL11" s="73"/>
      <c r="BDM11" s="73"/>
      <c r="BDN11" s="73"/>
      <c r="BDO11" s="73"/>
      <c r="BDP11" s="73"/>
      <c r="BDQ11" s="73"/>
      <c r="BDR11" s="73"/>
      <c r="BDS11" s="73"/>
      <c r="BDT11" s="73"/>
      <c r="BDU11" s="73"/>
      <c r="BDV11" s="73"/>
      <c r="BDW11" s="73"/>
      <c r="BDX11" s="73"/>
      <c r="BDY11" s="73"/>
      <c r="BDZ11" s="73"/>
      <c r="BEA11" s="73"/>
      <c r="BEB11" s="73"/>
      <c r="BEC11" s="73"/>
      <c r="BED11" s="73"/>
      <c r="BEE11" s="73"/>
      <c r="BEF11" s="73"/>
      <c r="BEG11" s="73"/>
      <c r="BEH11" s="73"/>
      <c r="BEI11" s="73"/>
      <c r="BEJ11" s="73"/>
      <c r="BEK11" s="73"/>
      <c r="BEL11" s="73"/>
      <c r="BEM11" s="73"/>
      <c r="BEN11" s="73"/>
      <c r="BEO11" s="73"/>
      <c r="BEP11" s="73"/>
      <c r="BEQ11" s="73"/>
      <c r="BER11" s="73"/>
      <c r="BES11" s="73"/>
      <c r="BET11" s="73"/>
      <c r="BEU11" s="73"/>
      <c r="BEV11" s="73"/>
      <c r="BEW11" s="73"/>
      <c r="BEX11" s="73"/>
      <c r="BEY11" s="73"/>
      <c r="BEZ11" s="73"/>
      <c r="BFA11" s="73"/>
      <c r="BFB11" s="73"/>
      <c r="BFC11" s="73"/>
      <c r="BFD11" s="73"/>
      <c r="BFE11" s="73"/>
      <c r="BFF11" s="73"/>
      <c r="BFG11" s="73"/>
      <c r="BFH11" s="73"/>
      <c r="BFI11" s="73"/>
      <c r="BFJ11" s="73"/>
      <c r="BFK11" s="73"/>
      <c r="BFL11" s="73"/>
      <c r="BFM11" s="73"/>
      <c r="BFN11" s="73"/>
      <c r="BFO11" s="73"/>
      <c r="BFP11" s="73"/>
      <c r="BFQ11" s="73"/>
      <c r="BFR11" s="73"/>
      <c r="BFS11" s="73"/>
      <c r="BFT11" s="73"/>
      <c r="BFU11" s="73"/>
      <c r="BFV11" s="73"/>
      <c r="BFW11" s="73"/>
      <c r="BFX11" s="73"/>
      <c r="BFY11" s="73"/>
      <c r="BFZ11" s="73"/>
      <c r="BGA11" s="73"/>
      <c r="BGB11" s="73"/>
      <c r="BGC11" s="73"/>
      <c r="BGD11" s="73"/>
      <c r="BGE11" s="73"/>
      <c r="BGF11" s="73"/>
      <c r="BGG11" s="73"/>
      <c r="BGH11" s="73"/>
      <c r="BGI11" s="73"/>
      <c r="BGJ11" s="73"/>
      <c r="BGK11" s="73"/>
      <c r="BGL11" s="73"/>
      <c r="BGM11" s="73"/>
      <c r="BGN11" s="73"/>
      <c r="BGO11" s="73"/>
      <c r="BGP11" s="73"/>
      <c r="BGQ11" s="73"/>
      <c r="BGR11" s="73"/>
      <c r="BGS11" s="73"/>
      <c r="BGT11" s="73"/>
      <c r="BGU11" s="73"/>
      <c r="BGV11" s="73"/>
      <c r="BGW11" s="73"/>
      <c r="BGX11" s="73"/>
      <c r="BGY11" s="73"/>
      <c r="BGZ11" s="73"/>
      <c r="BHA11" s="73"/>
      <c r="BHB11" s="73"/>
      <c r="BHC11" s="73"/>
      <c r="BHD11" s="73"/>
      <c r="BHE11" s="73"/>
      <c r="BHF11" s="73"/>
      <c r="BHG11" s="73"/>
      <c r="BHH11" s="73"/>
      <c r="BHI11" s="73"/>
      <c r="BHJ11" s="73"/>
      <c r="BHK11" s="73"/>
      <c r="BHL11" s="73"/>
      <c r="BHM11" s="73"/>
      <c r="BHN11" s="73"/>
      <c r="BHO11" s="73"/>
      <c r="BHP11" s="73"/>
      <c r="BHQ11" s="73"/>
      <c r="BHR11" s="73"/>
      <c r="BHS11" s="73"/>
      <c r="BHT11" s="73"/>
      <c r="BHU11" s="73"/>
      <c r="BHV11" s="73"/>
      <c r="BHW11" s="73"/>
      <c r="BHX11" s="73"/>
      <c r="BHY11" s="73"/>
      <c r="BHZ11" s="73"/>
      <c r="BIA11" s="73"/>
      <c r="BIB11" s="73"/>
      <c r="BIC11" s="73"/>
      <c r="BID11" s="73"/>
      <c r="BIE11" s="73"/>
      <c r="BIF11" s="73"/>
      <c r="BIG11" s="73"/>
      <c r="BIH11" s="73"/>
      <c r="BII11" s="73"/>
      <c r="BIJ11" s="73"/>
      <c r="BIK11" s="73"/>
      <c r="BIL11" s="73"/>
      <c r="BIM11" s="73"/>
      <c r="BIN11" s="73"/>
      <c r="BIO11" s="73"/>
      <c r="BIP11" s="73"/>
      <c r="BIQ11" s="73"/>
      <c r="BIR11" s="73"/>
      <c r="BIS11" s="73"/>
      <c r="BIT11" s="73"/>
      <c r="BIU11" s="73"/>
      <c r="BIV11" s="73"/>
      <c r="BIW11" s="73"/>
      <c r="BIX11" s="73"/>
      <c r="BIY11" s="73"/>
      <c r="BIZ11" s="73"/>
      <c r="BJA11" s="73"/>
      <c r="BJB11" s="73"/>
      <c r="BJC11" s="73"/>
      <c r="BJD11" s="73"/>
      <c r="BJE11" s="73"/>
      <c r="BJF11" s="73"/>
      <c r="BJG11" s="73"/>
      <c r="BJH11" s="73"/>
      <c r="BJI11" s="73"/>
      <c r="BJJ11" s="73"/>
      <c r="BJK11" s="73"/>
      <c r="BJL11" s="73"/>
      <c r="BJM11" s="73"/>
      <c r="BJN11" s="73"/>
      <c r="BJO11" s="73"/>
      <c r="BJP11" s="73"/>
      <c r="BJQ11" s="73"/>
      <c r="BJR11" s="73"/>
      <c r="BJS11" s="73"/>
      <c r="BJT11" s="73"/>
      <c r="BJU11" s="73"/>
      <c r="BJV11" s="73"/>
      <c r="BJW11" s="73"/>
      <c r="BJX11" s="73"/>
      <c r="BJY11" s="73"/>
      <c r="BJZ11" s="73"/>
      <c r="BKA11" s="73"/>
      <c r="BKB11" s="73"/>
      <c r="BKC11" s="73"/>
      <c r="BKD11" s="73"/>
      <c r="BKE11" s="73"/>
      <c r="BKF11" s="73"/>
      <c r="BKG11" s="73"/>
      <c r="BKH11" s="73"/>
      <c r="BKI11" s="73"/>
      <c r="BKJ11" s="73"/>
      <c r="BKK11" s="73"/>
      <c r="BKL11" s="73"/>
      <c r="BKM11" s="73"/>
      <c r="BKN11" s="73"/>
      <c r="BKO11" s="73"/>
      <c r="BKP11" s="73"/>
      <c r="BKQ11" s="73"/>
      <c r="BKR11" s="73"/>
      <c r="BKS11" s="73"/>
      <c r="BKT11" s="73"/>
      <c r="BKU11" s="73"/>
      <c r="BKV11" s="73"/>
      <c r="BKW11" s="73"/>
      <c r="BKX11" s="73"/>
      <c r="BKY11" s="73"/>
      <c r="BKZ11" s="73"/>
      <c r="BLA11" s="73"/>
      <c r="BLB11" s="73"/>
      <c r="BLC11" s="73"/>
      <c r="BLD11" s="73"/>
      <c r="BLE11" s="73"/>
      <c r="BLF11" s="73"/>
      <c r="BLG11" s="73"/>
      <c r="BLH11" s="73"/>
      <c r="BLI11" s="73"/>
      <c r="BLJ11" s="73"/>
      <c r="BLK11" s="73"/>
      <c r="BLL11" s="73"/>
      <c r="BLM11" s="73"/>
      <c r="BLN11" s="73"/>
      <c r="BLO11" s="73"/>
      <c r="BLP11" s="73"/>
      <c r="BLQ11" s="73"/>
      <c r="BLR11" s="73"/>
      <c r="BLS11" s="73"/>
      <c r="BLT11" s="73"/>
      <c r="BLU11" s="73"/>
      <c r="BLV11" s="73"/>
      <c r="BLW11" s="73"/>
      <c r="BLX11" s="73"/>
      <c r="BLY11" s="73"/>
      <c r="BLZ11" s="73"/>
      <c r="BMA11" s="73"/>
      <c r="BMB11" s="73"/>
      <c r="BMC11" s="73"/>
      <c r="BMD11" s="73"/>
      <c r="BME11" s="73"/>
      <c r="BMF11" s="73"/>
      <c r="BMG11" s="73"/>
      <c r="BMH11" s="73"/>
      <c r="BMI11" s="73"/>
      <c r="BMJ11" s="73"/>
      <c r="BMK11" s="73"/>
      <c r="BML11" s="73"/>
      <c r="BMM11" s="73"/>
      <c r="BMN11" s="73"/>
      <c r="BMO11" s="73"/>
      <c r="BMP11" s="73"/>
      <c r="BMQ11" s="73"/>
      <c r="BMR11" s="73"/>
      <c r="BMS11" s="73"/>
      <c r="BMT11" s="73"/>
      <c r="BMU11" s="73"/>
      <c r="BMV11" s="73"/>
      <c r="BMW11" s="73"/>
      <c r="BMX11" s="73"/>
      <c r="BMY11" s="73"/>
      <c r="BMZ11" s="73"/>
      <c r="BNA11" s="73"/>
      <c r="BNB11" s="73"/>
      <c r="BNC11" s="73"/>
      <c r="BND11" s="73"/>
      <c r="BNE11" s="73"/>
      <c r="BNF11" s="73"/>
      <c r="BNG11" s="73"/>
      <c r="BNH11" s="73"/>
      <c r="BNI11" s="73"/>
      <c r="BNJ11" s="73"/>
      <c r="BNK11" s="73"/>
      <c r="BNL11" s="73"/>
      <c r="BNM11" s="73"/>
      <c r="BNN11" s="73"/>
      <c r="BNO11" s="73"/>
      <c r="BNP11" s="73"/>
      <c r="BNQ11" s="73"/>
      <c r="BNR11" s="73"/>
      <c r="BNS11" s="73"/>
      <c r="BNT11" s="73"/>
      <c r="BNU11" s="73"/>
      <c r="BNV11" s="73"/>
      <c r="BNW11" s="73"/>
      <c r="BNX11" s="73"/>
      <c r="BNY11" s="73"/>
      <c r="BNZ11" s="73"/>
      <c r="BOA11" s="73"/>
      <c r="BOB11" s="73"/>
      <c r="BOC11" s="73"/>
      <c r="BOD11" s="73"/>
      <c r="BOE11" s="73"/>
      <c r="BOF11" s="73"/>
      <c r="BOG11" s="73"/>
      <c r="BOH11" s="73"/>
      <c r="BOI11" s="73"/>
      <c r="BOJ11" s="73"/>
      <c r="BOK11" s="73"/>
      <c r="BOL11" s="73"/>
      <c r="BOM11" s="73"/>
      <c r="BON11" s="73"/>
      <c r="BOO11" s="73"/>
      <c r="BOP11" s="73"/>
      <c r="BOQ11" s="73"/>
      <c r="BOR11" s="73"/>
      <c r="BOS11" s="73"/>
      <c r="BOT11" s="73"/>
      <c r="BOU11" s="73"/>
      <c r="BOV11" s="73"/>
      <c r="BOW11" s="73"/>
      <c r="BOX11" s="73"/>
      <c r="BOY11" s="73"/>
      <c r="BOZ11" s="73"/>
      <c r="BPA11" s="73"/>
      <c r="BPB11" s="73"/>
      <c r="BPC11" s="73"/>
      <c r="BPD11" s="73"/>
      <c r="BPE11" s="73"/>
      <c r="BPF11" s="73"/>
      <c r="BPG11" s="73"/>
      <c r="BPH11" s="73"/>
      <c r="BPI11" s="73"/>
      <c r="BPJ11" s="73"/>
      <c r="BPK11" s="73"/>
      <c r="BPL11" s="73"/>
      <c r="BPM11" s="73"/>
      <c r="BPN11" s="73"/>
      <c r="BPO11" s="73"/>
      <c r="BPP11" s="73"/>
      <c r="BPQ11" s="73"/>
      <c r="BPR11" s="73"/>
      <c r="BPS11" s="73"/>
      <c r="BPT11" s="73"/>
      <c r="BPU11" s="73"/>
      <c r="BPV11" s="73"/>
      <c r="BPW11" s="73"/>
      <c r="BPX11" s="73"/>
      <c r="BPY11" s="73"/>
      <c r="BPZ11" s="73"/>
      <c r="BQA11" s="73"/>
      <c r="BQB11" s="73"/>
      <c r="BQC11" s="73"/>
      <c r="BQD11" s="73"/>
      <c r="BQE11" s="73"/>
      <c r="BQF11" s="73"/>
      <c r="BQG11" s="73"/>
      <c r="BQH11" s="73"/>
      <c r="BQI11" s="73"/>
      <c r="BQJ11" s="73"/>
      <c r="BQK11" s="73"/>
      <c r="BQL11" s="73"/>
      <c r="BQM11" s="73"/>
      <c r="BQN11" s="73"/>
      <c r="BQO11" s="73"/>
      <c r="BQP11" s="73"/>
      <c r="BQQ11" s="73"/>
      <c r="BQR11" s="73"/>
      <c r="BQS11" s="73"/>
      <c r="BQT11" s="73"/>
      <c r="BQU11" s="73"/>
      <c r="BQV11" s="73"/>
      <c r="BQW11" s="73"/>
      <c r="BQX11" s="73"/>
      <c r="BQY11" s="73"/>
      <c r="BQZ11" s="73"/>
      <c r="BRA11" s="73"/>
      <c r="BRB11" s="73"/>
      <c r="BRC11" s="73"/>
      <c r="BRD11" s="73"/>
      <c r="BRE11" s="73"/>
      <c r="BRF11" s="73"/>
      <c r="BRG11" s="73"/>
      <c r="BRH11" s="73"/>
      <c r="BRI11" s="73"/>
      <c r="BRJ11" s="73"/>
      <c r="BRK11" s="73"/>
      <c r="BRL11" s="73"/>
      <c r="BRM11" s="73"/>
      <c r="BRN11" s="73"/>
      <c r="BRO11" s="73"/>
      <c r="BRP11" s="73"/>
      <c r="BRQ11" s="73"/>
      <c r="BRR11" s="73"/>
      <c r="BRS11" s="73"/>
      <c r="BRT11" s="73"/>
      <c r="BRU11" s="73"/>
      <c r="BRV11" s="73"/>
      <c r="BRW11" s="73"/>
      <c r="BRX11" s="73"/>
      <c r="BRY11" s="73"/>
      <c r="BRZ11" s="73"/>
      <c r="BSA11" s="73"/>
      <c r="BSB11" s="73"/>
      <c r="BSC11" s="73"/>
      <c r="BSD11" s="73"/>
      <c r="BSE11" s="73"/>
      <c r="BSF11" s="73"/>
      <c r="BSG11" s="73"/>
      <c r="BSH11" s="73"/>
      <c r="BSI11" s="73"/>
      <c r="BSJ11" s="73"/>
      <c r="BSK11" s="73"/>
      <c r="BSL11" s="73"/>
      <c r="BSM11" s="73"/>
      <c r="BSN11" s="73"/>
      <c r="BSO11" s="73"/>
      <c r="BSP11" s="73"/>
      <c r="BSQ11" s="73"/>
      <c r="BSR11" s="73"/>
      <c r="BSS11" s="73"/>
      <c r="BST11" s="73"/>
      <c r="BSU11" s="73"/>
      <c r="BSV11" s="73"/>
      <c r="BSW11" s="73"/>
      <c r="BSX11" s="73"/>
      <c r="BSY11" s="73"/>
      <c r="BSZ11" s="73"/>
      <c r="BTA11" s="73"/>
      <c r="BTB11" s="73"/>
      <c r="BTC11" s="73"/>
      <c r="BTD11" s="73"/>
      <c r="BTE11" s="73"/>
      <c r="BTF11" s="73"/>
      <c r="BTG11" s="73"/>
      <c r="BTH11" s="73"/>
      <c r="BTI11" s="73"/>
      <c r="BTJ11" s="73"/>
      <c r="BTK11" s="73"/>
      <c r="BTL11" s="73"/>
      <c r="BTM11" s="73"/>
      <c r="BTN11" s="73"/>
      <c r="BTO11" s="73"/>
      <c r="BTP11" s="73"/>
      <c r="BTQ11" s="73"/>
      <c r="BTR11" s="73"/>
      <c r="BTS11" s="73"/>
      <c r="BTT11" s="73"/>
      <c r="BTU11" s="73"/>
      <c r="BTV11" s="73"/>
      <c r="BTW11" s="73"/>
      <c r="BTX11" s="73"/>
      <c r="BTY11" s="73"/>
      <c r="BTZ11" s="73"/>
      <c r="BUA11" s="73"/>
      <c r="BUB11" s="73"/>
      <c r="BUC11" s="73"/>
      <c r="BUD11" s="73"/>
      <c r="BUE11" s="73"/>
      <c r="BUF11" s="73"/>
      <c r="BUG11" s="73"/>
      <c r="BUH11" s="73"/>
      <c r="BUI11" s="73"/>
      <c r="BUJ11" s="73"/>
      <c r="BUK11" s="73"/>
      <c r="BUL11" s="73"/>
      <c r="BUM11" s="73"/>
      <c r="BUN11" s="73"/>
      <c r="BUO11" s="73"/>
      <c r="BUP11" s="73"/>
      <c r="BUQ11" s="73"/>
      <c r="BUR11" s="73"/>
      <c r="BUS11" s="73"/>
      <c r="BUT11" s="73"/>
      <c r="BUU11" s="73"/>
      <c r="BUV11" s="73"/>
      <c r="BUW11" s="73"/>
      <c r="BUX11" s="73"/>
      <c r="BUY11" s="73"/>
      <c r="BUZ11" s="73"/>
      <c r="BVA11" s="73"/>
      <c r="BVB11" s="73"/>
      <c r="BVC11" s="73"/>
      <c r="BVD11" s="73"/>
      <c r="BVE11" s="73"/>
      <c r="BVF11" s="73"/>
      <c r="BVG11" s="73"/>
      <c r="BVH11" s="73"/>
      <c r="BVI11" s="73"/>
      <c r="BVJ11" s="73"/>
      <c r="BVK11" s="73"/>
      <c r="BVL11" s="73"/>
      <c r="BVM11" s="73"/>
      <c r="BVN11" s="73"/>
      <c r="BVO11" s="73"/>
      <c r="BVP11" s="73"/>
      <c r="BVQ11" s="73"/>
      <c r="BVR11" s="73"/>
      <c r="BVS11" s="73"/>
      <c r="BVT11" s="73"/>
      <c r="BVU11" s="73"/>
      <c r="BVV11" s="73"/>
      <c r="BVW11" s="73"/>
      <c r="BVX11" s="73"/>
      <c r="BVY11" s="73"/>
      <c r="BVZ11" s="73"/>
      <c r="BWA11" s="73"/>
      <c r="BWB11" s="73"/>
      <c r="BWC11" s="73"/>
      <c r="BWD11" s="73"/>
      <c r="BWE11" s="73"/>
      <c r="BWF11" s="73"/>
      <c r="BWG11" s="73"/>
      <c r="BWH11" s="73"/>
      <c r="BWI11" s="73"/>
      <c r="BWJ11" s="73"/>
      <c r="BWK11" s="73"/>
      <c r="BWL11" s="73"/>
      <c r="BWM11" s="73"/>
      <c r="BWN11" s="73"/>
      <c r="BWO11" s="73"/>
      <c r="BWP11" s="73"/>
      <c r="BWQ11" s="73"/>
      <c r="BWR11" s="73"/>
      <c r="BWS11" s="73"/>
      <c r="BWT11" s="73"/>
      <c r="BWU11" s="73"/>
      <c r="BWV11" s="73"/>
      <c r="BWW11" s="73"/>
      <c r="BWX11" s="73"/>
      <c r="BWY11" s="73"/>
      <c r="BWZ11" s="73"/>
      <c r="BXA11" s="73"/>
      <c r="BXB11" s="73"/>
      <c r="BXC11" s="73"/>
      <c r="BXD11" s="73"/>
      <c r="BXE11" s="73"/>
      <c r="BXF11" s="73"/>
      <c r="BXG11" s="73"/>
      <c r="BXH11" s="73"/>
      <c r="BXI11" s="73"/>
      <c r="BXJ11" s="73"/>
      <c r="BXK11" s="73"/>
      <c r="BXL11" s="73"/>
      <c r="BXM11" s="73"/>
      <c r="BXN11" s="73"/>
      <c r="BXO11" s="73"/>
      <c r="BXP11" s="73"/>
      <c r="BXQ11" s="73"/>
      <c r="BXR11" s="73"/>
      <c r="BXS11" s="73"/>
      <c r="BXT11" s="73"/>
      <c r="BXU11" s="73"/>
      <c r="BXV11" s="73"/>
      <c r="BXW11" s="73"/>
      <c r="BXX11" s="73"/>
      <c r="BXY11" s="73"/>
      <c r="BXZ11" s="73"/>
      <c r="BYA11" s="73"/>
      <c r="BYB11" s="73"/>
      <c r="BYC11" s="73"/>
      <c r="BYD11" s="73"/>
      <c r="BYE11" s="73"/>
      <c r="BYF11" s="73"/>
      <c r="BYG11" s="73"/>
      <c r="BYH11" s="73"/>
      <c r="BYI11" s="73"/>
      <c r="BYJ11" s="73"/>
      <c r="BYK11" s="73"/>
      <c r="BYL11" s="73"/>
      <c r="BYM11" s="73"/>
      <c r="BYN11" s="73"/>
      <c r="BYO11" s="73"/>
      <c r="BYP11" s="73"/>
      <c r="BYQ11" s="73"/>
      <c r="BYR11" s="73"/>
      <c r="BYS11" s="73"/>
      <c r="BYT11" s="73"/>
      <c r="BYU11" s="73"/>
      <c r="BYV11" s="73"/>
      <c r="BYW11" s="73"/>
      <c r="BYX11" s="73"/>
      <c r="BYY11" s="73"/>
      <c r="BYZ11" s="73"/>
      <c r="BZA11" s="73"/>
      <c r="BZB11" s="73"/>
      <c r="BZC11" s="73"/>
      <c r="BZD11" s="73"/>
      <c r="BZE11" s="73"/>
      <c r="BZF11" s="73"/>
      <c r="BZG11" s="73"/>
      <c r="BZH11" s="73"/>
      <c r="BZI11" s="73"/>
      <c r="BZJ11" s="73"/>
      <c r="BZK11" s="73"/>
      <c r="BZL11" s="73"/>
      <c r="BZM11" s="73"/>
      <c r="BZN11" s="73"/>
      <c r="BZO11" s="73"/>
      <c r="BZP11" s="73"/>
      <c r="BZQ11" s="73"/>
      <c r="BZR11" s="73"/>
      <c r="BZS11" s="73"/>
      <c r="BZT11" s="73"/>
      <c r="BZU11" s="73"/>
      <c r="BZV11" s="73"/>
      <c r="BZW11" s="73"/>
      <c r="BZX11" s="73"/>
      <c r="BZY11" s="73"/>
      <c r="BZZ11" s="73"/>
      <c r="CAA11" s="73"/>
      <c r="CAB11" s="73"/>
      <c r="CAC11" s="73"/>
      <c r="CAD11" s="73"/>
      <c r="CAE11" s="73"/>
      <c r="CAF11" s="73"/>
      <c r="CAG11" s="73"/>
      <c r="CAH11" s="73"/>
      <c r="CAI11" s="73"/>
      <c r="CAJ11" s="73"/>
      <c r="CAK11" s="73"/>
      <c r="CAL11" s="73"/>
      <c r="CAM11" s="73"/>
      <c r="CAN11" s="73"/>
      <c r="CAO11" s="73"/>
      <c r="CAP11" s="73"/>
      <c r="CAQ11" s="73"/>
      <c r="CAR11" s="73"/>
      <c r="CAS11" s="73"/>
      <c r="CAT11" s="73"/>
      <c r="CAU11" s="73"/>
      <c r="CAV11" s="73"/>
      <c r="CAW11" s="73"/>
      <c r="CAX11" s="73"/>
      <c r="CAY11" s="73"/>
      <c r="CAZ11" s="73"/>
      <c r="CBA11" s="73"/>
      <c r="CBB11" s="73"/>
      <c r="CBC11" s="73"/>
      <c r="CBD11" s="73"/>
      <c r="CBE11" s="73"/>
      <c r="CBF11" s="73"/>
      <c r="CBG11" s="73"/>
      <c r="CBH11" s="73"/>
      <c r="CBI11" s="73"/>
      <c r="CBJ11" s="73"/>
      <c r="CBK11" s="73"/>
      <c r="CBL11" s="73"/>
      <c r="CBM11" s="73"/>
      <c r="CBN11" s="73"/>
      <c r="CBO11" s="73"/>
      <c r="CBP11" s="73"/>
      <c r="CBQ11" s="73"/>
      <c r="CBR11" s="73"/>
      <c r="CBS11" s="73"/>
      <c r="CBT11" s="73"/>
      <c r="CBU11" s="73"/>
      <c r="CBV11" s="73"/>
      <c r="CBW11" s="73"/>
      <c r="CBX11" s="73"/>
      <c r="CBY11" s="73"/>
      <c r="CBZ11" s="73"/>
      <c r="CCA11" s="73"/>
      <c r="CCB11" s="73"/>
      <c r="CCC11" s="73"/>
      <c r="CCD11" s="73"/>
      <c r="CCE11" s="73"/>
      <c r="CCF11" s="73"/>
      <c r="CCG11" s="73"/>
      <c r="CCH11" s="73"/>
      <c r="CCI11" s="73"/>
      <c r="CCJ11" s="73"/>
      <c r="CCK11" s="73"/>
      <c r="CCL11" s="73"/>
      <c r="CCM11" s="73"/>
      <c r="CCN11" s="73"/>
      <c r="CCO11" s="73"/>
      <c r="CCP11" s="73"/>
      <c r="CCQ11" s="73"/>
      <c r="CCR11" s="73"/>
      <c r="CCS11" s="73"/>
      <c r="CCT11" s="73"/>
      <c r="CCU11" s="73"/>
      <c r="CCV11" s="73"/>
      <c r="CCW11" s="73"/>
      <c r="CCX11" s="73"/>
      <c r="CCY11" s="73"/>
      <c r="CCZ11" s="73"/>
      <c r="CDA11" s="73"/>
      <c r="CDB11" s="73"/>
      <c r="CDC11" s="73"/>
      <c r="CDD11" s="73"/>
      <c r="CDE11" s="73"/>
      <c r="CDF11" s="73"/>
      <c r="CDG11" s="73"/>
      <c r="CDH11" s="73"/>
      <c r="CDI11" s="73"/>
      <c r="CDJ11" s="73"/>
      <c r="CDK11" s="73"/>
      <c r="CDL11" s="73"/>
      <c r="CDM11" s="73"/>
      <c r="CDN11" s="73"/>
      <c r="CDO11" s="73"/>
      <c r="CDP11" s="73"/>
      <c r="CDQ11" s="73"/>
      <c r="CDR11" s="73"/>
      <c r="CDS11" s="73"/>
      <c r="CDT11" s="73"/>
      <c r="CDU11" s="73"/>
      <c r="CDV11" s="73"/>
      <c r="CDW11" s="73"/>
      <c r="CDX11" s="73"/>
      <c r="CDY11" s="73"/>
      <c r="CDZ11" s="73"/>
      <c r="CEA11" s="73"/>
      <c r="CEB11" s="73"/>
      <c r="CEC11" s="73"/>
      <c r="CED11" s="73"/>
      <c r="CEE11" s="73"/>
      <c r="CEF11" s="73"/>
      <c r="CEG11" s="73"/>
      <c r="CEH11" s="73"/>
      <c r="CEI11" s="73"/>
      <c r="CEJ11" s="73"/>
      <c r="CEK11" s="73"/>
      <c r="CEL11" s="73"/>
      <c r="CEM11" s="73"/>
      <c r="CEN11" s="73"/>
      <c r="CEO11" s="73"/>
      <c r="CEP11" s="73"/>
      <c r="CEQ11" s="73"/>
      <c r="CER11" s="73"/>
      <c r="CES11" s="73"/>
      <c r="CET11" s="73"/>
      <c r="CEU11" s="73"/>
      <c r="CEV11" s="73"/>
      <c r="CEW11" s="73"/>
      <c r="CEX11" s="73"/>
      <c r="CEY11" s="73"/>
      <c r="CEZ11" s="73"/>
      <c r="CFA11" s="73"/>
      <c r="CFB11" s="73"/>
      <c r="CFC11" s="73"/>
      <c r="CFD11" s="73"/>
      <c r="CFE11" s="73"/>
      <c r="CFF11" s="73"/>
      <c r="CFG11" s="73"/>
      <c r="CFH11" s="73"/>
      <c r="CFI11" s="73"/>
      <c r="CFJ11" s="73"/>
      <c r="CFK11" s="73"/>
      <c r="CFL11" s="73"/>
      <c r="CFM11" s="73"/>
      <c r="CFN11" s="73"/>
      <c r="CFO11" s="73"/>
      <c r="CFP11" s="73"/>
      <c r="CFQ11" s="73"/>
      <c r="CFR11" s="73"/>
      <c r="CFS11" s="73"/>
      <c r="CFT11" s="73"/>
      <c r="CFU11" s="73"/>
      <c r="CFV11" s="73"/>
      <c r="CFW11" s="73"/>
      <c r="CFX11" s="73"/>
      <c r="CFY11" s="73"/>
      <c r="CFZ11" s="73"/>
      <c r="CGA11" s="73"/>
      <c r="CGB11" s="73"/>
      <c r="CGC11" s="73"/>
      <c r="CGD11" s="73"/>
      <c r="CGE11" s="73"/>
      <c r="CGF11" s="73"/>
      <c r="CGG11" s="73"/>
      <c r="CGH11" s="73"/>
      <c r="CGI11" s="73"/>
      <c r="CGJ11" s="73"/>
      <c r="CGK11" s="73"/>
      <c r="CGL11" s="73"/>
      <c r="CGM11" s="73"/>
      <c r="CGN11" s="73"/>
      <c r="CGO11" s="73"/>
      <c r="CGP11" s="73"/>
      <c r="CGQ11" s="73"/>
      <c r="CGR11" s="73"/>
      <c r="CGS11" s="73"/>
      <c r="CGT11" s="73"/>
      <c r="CGU11" s="73"/>
      <c r="CGV11" s="73"/>
      <c r="CGW11" s="73"/>
      <c r="CGX11" s="73"/>
      <c r="CGY11" s="73"/>
      <c r="CGZ11" s="73"/>
      <c r="CHA11" s="73"/>
      <c r="CHB11" s="73"/>
      <c r="CHC11" s="73"/>
      <c r="CHD11" s="73"/>
      <c r="CHE11" s="73"/>
      <c r="CHF11" s="73"/>
      <c r="CHG11" s="73"/>
      <c r="CHH11" s="73"/>
      <c r="CHI11" s="73"/>
      <c r="CHJ11" s="73"/>
      <c r="CHK11" s="73"/>
      <c r="CHL11" s="73"/>
      <c r="CHM11" s="73"/>
      <c r="CHN11" s="73"/>
      <c r="CHO11" s="73"/>
      <c r="CHP11" s="73"/>
      <c r="CHQ11" s="73"/>
      <c r="CHR11" s="73"/>
      <c r="CHS11" s="73"/>
      <c r="CHT11" s="73"/>
      <c r="CHU11" s="73"/>
      <c r="CHV11" s="73"/>
      <c r="CHW11" s="73"/>
      <c r="CHX11" s="73"/>
      <c r="CHY11" s="73"/>
      <c r="CHZ11" s="73"/>
      <c r="CIA11" s="73"/>
      <c r="CIB11" s="73"/>
      <c r="CIC11" s="73"/>
      <c r="CID11" s="73"/>
      <c r="CIE11" s="73"/>
      <c r="CIF11" s="73"/>
      <c r="CIG11" s="73"/>
      <c r="CIH11" s="73"/>
      <c r="CII11" s="73"/>
      <c r="CIJ11" s="73"/>
      <c r="CIK11" s="73"/>
      <c r="CIL11" s="73"/>
      <c r="CIM11" s="73"/>
      <c r="CIN11" s="73"/>
      <c r="CIO11" s="73"/>
      <c r="CIP11" s="73"/>
      <c r="CIQ11" s="73"/>
      <c r="CIR11" s="73"/>
      <c r="CIS11" s="73"/>
      <c r="CIT11" s="73"/>
      <c r="CIU11" s="73"/>
      <c r="CIV11" s="73"/>
      <c r="CIW11" s="73"/>
      <c r="CIX11" s="73"/>
      <c r="CIY11" s="73"/>
      <c r="CIZ11" s="73"/>
      <c r="CJA11" s="73"/>
      <c r="CJB11" s="73"/>
      <c r="CJC11" s="73"/>
      <c r="CJD11" s="73"/>
      <c r="CJE11" s="73"/>
      <c r="CJF11" s="73"/>
      <c r="CJG11" s="73"/>
      <c r="CJH11" s="73"/>
      <c r="CJI11" s="73"/>
      <c r="CJJ11" s="73"/>
      <c r="CJK11" s="73"/>
      <c r="CJL11" s="73"/>
      <c r="CJM11" s="73"/>
      <c r="CJN11" s="73"/>
      <c r="CJO11" s="73"/>
      <c r="CJP11" s="73"/>
      <c r="CJQ11" s="73"/>
      <c r="CJR11" s="73"/>
      <c r="CJS11" s="73"/>
      <c r="CJT11" s="73"/>
      <c r="CJU11" s="73"/>
      <c r="CJV11" s="73"/>
      <c r="CJW11" s="73"/>
      <c r="CJX11" s="73"/>
      <c r="CJY11" s="73"/>
      <c r="CJZ11" s="73"/>
      <c r="CKA11" s="73"/>
      <c r="CKB11" s="73"/>
      <c r="CKC11" s="73"/>
      <c r="CKD11" s="73"/>
      <c r="CKE11" s="73"/>
      <c r="CKF11" s="73"/>
      <c r="CKG11" s="73"/>
      <c r="CKH11" s="73"/>
      <c r="CKI11" s="73"/>
      <c r="CKJ11" s="73"/>
      <c r="CKK11" s="73"/>
      <c r="CKL11" s="73"/>
      <c r="CKM11" s="73"/>
      <c r="CKN11" s="73"/>
      <c r="CKO11" s="73"/>
      <c r="CKP11" s="73"/>
      <c r="CKQ11" s="73"/>
      <c r="CKR11" s="73"/>
      <c r="CKS11" s="73"/>
      <c r="CKT11" s="73"/>
      <c r="CKU11" s="73"/>
      <c r="CKV11" s="73"/>
      <c r="CKW11" s="73"/>
      <c r="CKX11" s="73"/>
      <c r="CKY11" s="73"/>
      <c r="CKZ11" s="73"/>
      <c r="CLA11" s="73"/>
      <c r="CLB11" s="73"/>
      <c r="CLC11" s="73"/>
      <c r="CLD11" s="73"/>
      <c r="CLE11" s="73"/>
      <c r="CLF11" s="73"/>
      <c r="CLG11" s="73"/>
      <c r="CLH11" s="73"/>
      <c r="CLI11" s="73"/>
      <c r="CLJ11" s="73"/>
      <c r="CLK11" s="73"/>
      <c r="CLL11" s="73"/>
      <c r="CLM11" s="73"/>
      <c r="CLN11" s="73"/>
      <c r="CLO11" s="73"/>
      <c r="CLP11" s="73"/>
      <c r="CLQ11" s="73"/>
      <c r="CLR11" s="73"/>
      <c r="CLS11" s="73"/>
      <c r="CLT11" s="73"/>
      <c r="CLU11" s="73"/>
      <c r="CLV11" s="73"/>
      <c r="CLW11" s="73"/>
      <c r="CLX11" s="73"/>
      <c r="CLY11" s="73"/>
      <c r="CLZ11" s="73"/>
      <c r="CMA11" s="73"/>
      <c r="CMB11" s="73"/>
      <c r="CMC11" s="73"/>
      <c r="CMD11" s="73"/>
      <c r="CME11" s="73"/>
      <c r="CMF11" s="73"/>
      <c r="CMG11" s="73"/>
      <c r="CMH11" s="73"/>
      <c r="CMI11" s="73"/>
      <c r="CMJ11" s="73"/>
      <c r="CMK11" s="73"/>
      <c r="CML11" s="73"/>
      <c r="CMM11" s="73"/>
      <c r="CMN11" s="73"/>
      <c r="CMO11" s="73"/>
      <c r="CMP11" s="73"/>
      <c r="CMQ11" s="73"/>
      <c r="CMR11" s="73"/>
      <c r="CMS11" s="73"/>
      <c r="CMT11" s="73"/>
      <c r="CMU11" s="73"/>
      <c r="CMV11" s="73"/>
      <c r="CMW11" s="73"/>
      <c r="CMX11" s="73"/>
      <c r="CMY11" s="73"/>
      <c r="CMZ11" s="73"/>
      <c r="CNA11" s="73"/>
      <c r="CNB11" s="73"/>
      <c r="CNC11" s="73"/>
      <c r="CND11" s="73"/>
      <c r="CNE11" s="73"/>
      <c r="CNF11" s="73"/>
      <c r="CNG11" s="73"/>
      <c r="CNH11" s="73"/>
      <c r="CNI11" s="73"/>
      <c r="CNJ11" s="73"/>
      <c r="CNK11" s="73"/>
      <c r="CNL11" s="73"/>
      <c r="CNM11" s="73"/>
      <c r="CNN11" s="73"/>
      <c r="CNO11" s="73"/>
      <c r="CNP11" s="73"/>
      <c r="CNQ11" s="73"/>
      <c r="CNR11" s="73"/>
      <c r="CNS11" s="73"/>
      <c r="CNT11" s="73"/>
      <c r="CNU11" s="73"/>
      <c r="CNV11" s="73"/>
      <c r="CNW11" s="73"/>
      <c r="CNX11" s="73"/>
      <c r="CNY11" s="73"/>
      <c r="CNZ11" s="73"/>
      <c r="COA11" s="73"/>
      <c r="COB11" s="73"/>
      <c r="COC11" s="73"/>
      <c r="COD11" s="73"/>
      <c r="COE11" s="73"/>
      <c r="COF11" s="73"/>
      <c r="COG11" s="73"/>
      <c r="COH11" s="73"/>
      <c r="COI11" s="73"/>
      <c r="COJ11" s="73"/>
      <c r="COK11" s="73"/>
      <c r="COL11" s="73"/>
      <c r="COM11" s="73"/>
      <c r="CON11" s="73"/>
      <c r="COO11" s="73"/>
      <c r="COP11" s="73"/>
      <c r="COQ11" s="73"/>
      <c r="COR11" s="73"/>
      <c r="COS11" s="73"/>
      <c r="COT11" s="73"/>
      <c r="COU11" s="73"/>
      <c r="COV11" s="73"/>
      <c r="COW11" s="73"/>
      <c r="COX11" s="73"/>
      <c r="COY11" s="73"/>
      <c r="COZ11" s="73"/>
      <c r="CPA11" s="73"/>
      <c r="CPB11" s="73"/>
      <c r="CPC11" s="73"/>
      <c r="CPD11" s="73"/>
      <c r="CPE11" s="73"/>
      <c r="CPF11" s="73"/>
      <c r="CPG11" s="73"/>
      <c r="CPH11" s="73"/>
      <c r="CPI11" s="73"/>
      <c r="CPJ11" s="73"/>
      <c r="CPK11" s="73"/>
      <c r="CPL11" s="73"/>
      <c r="CPM11" s="73"/>
      <c r="CPN11" s="73"/>
      <c r="CPO11" s="73"/>
      <c r="CPP11" s="73"/>
      <c r="CPQ11" s="73"/>
      <c r="CPR11" s="73"/>
      <c r="CPS11" s="73"/>
      <c r="CPT11" s="73"/>
      <c r="CPU11" s="73"/>
      <c r="CPV11" s="73"/>
      <c r="CPW11" s="73"/>
      <c r="CPX11" s="73"/>
      <c r="CPY11" s="73"/>
      <c r="CPZ11" s="73"/>
      <c r="CQA11" s="73"/>
      <c r="CQB11" s="73"/>
      <c r="CQC11" s="73"/>
      <c r="CQD11" s="73"/>
      <c r="CQE11" s="73"/>
      <c r="CQF11" s="73"/>
      <c r="CQG11" s="73"/>
      <c r="CQH11" s="73"/>
      <c r="CQI11" s="73"/>
      <c r="CQJ11" s="73"/>
      <c r="CQK11" s="73"/>
      <c r="CQL11" s="73"/>
      <c r="CQM11" s="73"/>
      <c r="CQN11" s="73"/>
      <c r="CQO11" s="73"/>
      <c r="CQP11" s="73"/>
      <c r="CQQ11" s="73"/>
      <c r="CQR11" s="73"/>
      <c r="CQS11" s="73"/>
      <c r="CQT11" s="73"/>
      <c r="CQU11" s="73"/>
      <c r="CQV11" s="73"/>
      <c r="CQW11" s="73"/>
      <c r="CQX11" s="73"/>
      <c r="CQY11" s="73"/>
      <c r="CQZ11" s="73"/>
      <c r="CRA11" s="73"/>
      <c r="CRB11" s="73"/>
      <c r="CRC11" s="73"/>
      <c r="CRD11" s="73"/>
      <c r="CRE11" s="73"/>
      <c r="CRF11" s="73"/>
      <c r="CRG11" s="73"/>
      <c r="CRH11" s="73"/>
      <c r="CRI11" s="73"/>
      <c r="CRJ11" s="73"/>
      <c r="CRK11" s="73"/>
      <c r="CRL11" s="73"/>
      <c r="CRM11" s="73"/>
      <c r="CRN11" s="73"/>
      <c r="CRO11" s="73"/>
      <c r="CRP11" s="73"/>
      <c r="CRQ11" s="73"/>
      <c r="CRR11" s="73"/>
      <c r="CRS11" s="73"/>
      <c r="CRT11" s="73"/>
      <c r="CRU11" s="73"/>
      <c r="CRV11" s="73"/>
      <c r="CRW11" s="73"/>
      <c r="CRX11" s="73"/>
      <c r="CRY11" s="73"/>
      <c r="CRZ11" s="73"/>
      <c r="CSA11" s="73"/>
      <c r="CSB11" s="73"/>
      <c r="CSC11" s="73"/>
      <c r="CSD11" s="73"/>
      <c r="CSE11" s="73"/>
      <c r="CSF11" s="73"/>
      <c r="CSG11" s="73"/>
      <c r="CSH11" s="73"/>
      <c r="CSI11" s="73"/>
      <c r="CSJ11" s="73"/>
      <c r="CSK11" s="73"/>
      <c r="CSL11" s="73"/>
      <c r="CSM11" s="73"/>
      <c r="CSN11" s="73"/>
      <c r="CSO11" s="73"/>
      <c r="CSP11" s="73"/>
      <c r="CSQ11" s="73"/>
      <c r="CSR11" s="73"/>
      <c r="CSS11" s="73"/>
      <c r="CST11" s="73"/>
      <c r="CSU11" s="73"/>
      <c r="CSV11" s="73"/>
      <c r="CSW11" s="73"/>
      <c r="CSX11" s="73"/>
      <c r="CSY11" s="73"/>
      <c r="CSZ11" s="73"/>
      <c r="CTA11" s="73"/>
      <c r="CTB11" s="73"/>
      <c r="CTC11" s="73"/>
      <c r="CTD11" s="73"/>
      <c r="CTE11" s="73"/>
      <c r="CTF11" s="73"/>
      <c r="CTG11" s="73"/>
      <c r="CTH11" s="73"/>
      <c r="CTI11" s="73"/>
      <c r="CTJ11" s="73"/>
      <c r="CTK11" s="73"/>
      <c r="CTL11" s="73"/>
      <c r="CTM11" s="73"/>
      <c r="CTN11" s="73"/>
      <c r="CTO11" s="73"/>
      <c r="CTP11" s="73"/>
      <c r="CTQ11" s="73"/>
      <c r="CTR11" s="73"/>
      <c r="CTS11" s="73"/>
      <c r="CTT11" s="73"/>
      <c r="CTU11" s="73"/>
      <c r="CTV11" s="73"/>
      <c r="CTW11" s="73"/>
      <c r="CTX11" s="73"/>
      <c r="CTY11" s="73"/>
      <c r="CTZ11" s="73"/>
      <c r="CUA11" s="73"/>
      <c r="CUB11" s="73"/>
      <c r="CUC11" s="73"/>
      <c r="CUD11" s="73"/>
      <c r="CUE11" s="73"/>
      <c r="CUF11" s="73"/>
      <c r="CUG11" s="73"/>
      <c r="CUH11" s="73"/>
      <c r="CUI11" s="73"/>
      <c r="CUJ11" s="73"/>
      <c r="CUK11" s="73"/>
      <c r="CUL11" s="73"/>
      <c r="CUM11" s="73"/>
      <c r="CUN11" s="73"/>
      <c r="CUO11" s="73"/>
      <c r="CUP11" s="73"/>
      <c r="CUQ11" s="73"/>
      <c r="CUR11" s="73"/>
      <c r="CUS11" s="73"/>
      <c r="CUT11" s="73"/>
      <c r="CUU11" s="73"/>
      <c r="CUV11" s="73"/>
      <c r="CUW11" s="73"/>
      <c r="CUX11" s="73"/>
      <c r="CUY11" s="73"/>
      <c r="CUZ11" s="73"/>
      <c r="CVA11" s="73"/>
      <c r="CVB11" s="73"/>
      <c r="CVC11" s="73"/>
      <c r="CVD11" s="73"/>
      <c r="CVE11" s="73"/>
      <c r="CVF11" s="73"/>
      <c r="CVG11" s="73"/>
      <c r="CVH11" s="73"/>
      <c r="CVI11" s="73"/>
      <c r="CVJ11" s="73"/>
      <c r="CVK11" s="73"/>
      <c r="CVL11" s="73"/>
      <c r="CVM11" s="73"/>
      <c r="CVN11" s="73"/>
      <c r="CVO11" s="73"/>
      <c r="CVP11" s="73"/>
      <c r="CVQ11" s="73"/>
      <c r="CVR11" s="73"/>
      <c r="CVS11" s="73"/>
      <c r="CVT11" s="73"/>
      <c r="CVU11" s="73"/>
      <c r="CVV11" s="73"/>
      <c r="CVW11" s="73"/>
      <c r="CVX11" s="73"/>
      <c r="CVY11" s="73"/>
      <c r="CVZ11" s="73"/>
      <c r="CWA11" s="73"/>
      <c r="CWB11" s="73"/>
      <c r="CWC11" s="73"/>
      <c r="CWD11" s="73"/>
      <c r="CWE11" s="73"/>
      <c r="CWF11" s="73"/>
      <c r="CWG11" s="73"/>
      <c r="CWH11" s="73"/>
      <c r="CWI11" s="73"/>
      <c r="CWJ11" s="73"/>
      <c r="CWK11" s="73"/>
      <c r="CWL11" s="73"/>
      <c r="CWM11" s="73"/>
      <c r="CWN11" s="73"/>
      <c r="CWO11" s="73"/>
      <c r="CWP11" s="73"/>
      <c r="CWQ11" s="73"/>
      <c r="CWR11" s="73"/>
      <c r="CWS11" s="73"/>
      <c r="CWT11" s="73"/>
      <c r="CWU11" s="73"/>
      <c r="CWV11" s="73"/>
      <c r="CWW11" s="73"/>
      <c r="CWX11" s="73"/>
      <c r="CWY11" s="73"/>
      <c r="CWZ11" s="73"/>
      <c r="CXA11" s="73"/>
      <c r="CXB11" s="73"/>
      <c r="CXC11" s="73"/>
      <c r="CXD11" s="73"/>
      <c r="CXE11" s="73"/>
      <c r="CXF11" s="73"/>
      <c r="CXG11" s="73"/>
      <c r="CXH11" s="73"/>
      <c r="CXI11" s="73"/>
      <c r="CXJ11" s="73"/>
      <c r="CXK11" s="73"/>
      <c r="CXL11" s="73"/>
      <c r="CXM11" s="73"/>
      <c r="CXN11" s="73"/>
      <c r="CXO11" s="73"/>
      <c r="CXP11" s="73"/>
      <c r="CXQ11" s="73"/>
      <c r="CXR11" s="73"/>
      <c r="CXS11" s="73"/>
      <c r="CXT11" s="73"/>
      <c r="CXU11" s="73"/>
      <c r="CXV11" s="73"/>
      <c r="CXW11" s="73"/>
      <c r="CXX11" s="73"/>
      <c r="CXY11" s="73"/>
      <c r="CXZ11" s="73"/>
      <c r="CYA11" s="73"/>
      <c r="CYB11" s="73"/>
      <c r="CYC11" s="73"/>
      <c r="CYD11" s="73"/>
      <c r="CYE11" s="73"/>
      <c r="CYF11" s="73"/>
      <c r="CYG11" s="73"/>
      <c r="CYH11" s="73"/>
      <c r="CYI11" s="73"/>
      <c r="CYJ11" s="73"/>
      <c r="CYK11" s="73"/>
      <c r="CYL11" s="73"/>
      <c r="CYM11" s="73"/>
      <c r="CYN11" s="73"/>
      <c r="CYO11" s="73"/>
      <c r="CYP11" s="73"/>
      <c r="CYQ11" s="73"/>
      <c r="CYR11" s="73"/>
      <c r="CYS11" s="73"/>
      <c r="CYT11" s="73"/>
      <c r="CYU11" s="73"/>
      <c r="CYV11" s="73"/>
      <c r="CYW11" s="73"/>
      <c r="CYX11" s="73"/>
      <c r="CYY11" s="73"/>
      <c r="CYZ11" s="73"/>
      <c r="CZA11" s="73"/>
      <c r="CZB11" s="73"/>
      <c r="CZC11" s="73"/>
      <c r="CZD11" s="73"/>
      <c r="CZE11" s="73"/>
      <c r="CZF11" s="73"/>
      <c r="CZG11" s="73"/>
      <c r="CZH11" s="73"/>
      <c r="CZI11" s="73"/>
      <c r="CZJ11" s="73"/>
      <c r="CZK11" s="73"/>
      <c r="CZL11" s="73"/>
      <c r="CZM11" s="73"/>
      <c r="CZN11" s="73"/>
      <c r="CZO11" s="73"/>
      <c r="CZP11" s="73"/>
      <c r="CZQ11" s="73"/>
      <c r="CZR11" s="73"/>
      <c r="CZS11" s="73"/>
      <c r="CZT11" s="73"/>
      <c r="CZU11" s="73"/>
      <c r="CZV11" s="73"/>
      <c r="CZW11" s="73"/>
      <c r="CZX11" s="73"/>
      <c r="CZY11" s="73"/>
      <c r="CZZ11" s="73"/>
      <c r="DAA11" s="73"/>
      <c r="DAB11" s="73"/>
      <c r="DAC11" s="73"/>
      <c r="DAD11" s="73"/>
      <c r="DAE11" s="73"/>
      <c r="DAF11" s="73"/>
      <c r="DAG11" s="73"/>
      <c r="DAH11" s="73"/>
      <c r="DAI11" s="73"/>
      <c r="DAJ11" s="73"/>
      <c r="DAK11" s="73"/>
      <c r="DAL11" s="73"/>
      <c r="DAM11" s="73"/>
      <c r="DAN11" s="73"/>
      <c r="DAO11" s="73"/>
      <c r="DAP11" s="73"/>
      <c r="DAQ11" s="73"/>
      <c r="DAR11" s="73"/>
      <c r="DAS11" s="73"/>
      <c r="DAT11" s="73"/>
      <c r="DAU11" s="73"/>
      <c r="DAV11" s="73"/>
      <c r="DAW11" s="73"/>
      <c r="DAX11" s="73"/>
      <c r="DAY11" s="73"/>
      <c r="DAZ11" s="73"/>
      <c r="DBA11" s="73"/>
      <c r="DBB11" s="73"/>
      <c r="DBC11" s="73"/>
      <c r="DBD11" s="73"/>
      <c r="DBE11" s="73"/>
      <c r="DBF11" s="73"/>
      <c r="DBG11" s="73"/>
      <c r="DBH11" s="73"/>
      <c r="DBI11" s="73"/>
      <c r="DBJ11" s="73"/>
      <c r="DBK11" s="73"/>
      <c r="DBL11" s="73"/>
      <c r="DBM11" s="73"/>
      <c r="DBN11" s="73"/>
      <c r="DBO11" s="73"/>
      <c r="DBP11" s="73"/>
      <c r="DBQ11" s="73"/>
      <c r="DBR11" s="73"/>
      <c r="DBS11" s="73"/>
      <c r="DBT11" s="73"/>
      <c r="DBU11" s="73"/>
      <c r="DBV11" s="73"/>
      <c r="DBW11" s="73"/>
      <c r="DBX11" s="73"/>
      <c r="DBY11" s="73"/>
      <c r="DBZ11" s="73"/>
      <c r="DCA11" s="73"/>
      <c r="DCB11" s="73"/>
      <c r="DCC11" s="73"/>
      <c r="DCD11" s="73"/>
      <c r="DCE11" s="73"/>
      <c r="DCF11" s="73"/>
      <c r="DCG11" s="73"/>
      <c r="DCH11" s="73"/>
      <c r="DCI11" s="73"/>
      <c r="DCJ11" s="73"/>
      <c r="DCK11" s="73"/>
      <c r="DCL11" s="73"/>
      <c r="DCM11" s="73"/>
      <c r="DCN11" s="73"/>
      <c r="DCO11" s="73"/>
      <c r="DCP11" s="73"/>
      <c r="DCQ11" s="73"/>
      <c r="DCR11" s="73"/>
      <c r="DCS11" s="73"/>
      <c r="DCT11" s="73"/>
      <c r="DCU11" s="73"/>
      <c r="DCV11" s="73"/>
      <c r="DCW11" s="73"/>
      <c r="DCX11" s="73"/>
      <c r="DCY11" s="73"/>
      <c r="DCZ11" s="73"/>
      <c r="DDA11" s="73"/>
      <c r="DDB11" s="73"/>
      <c r="DDC11" s="73"/>
      <c r="DDD11" s="73"/>
      <c r="DDE11" s="73"/>
      <c r="DDF11" s="73"/>
      <c r="DDG11" s="73"/>
      <c r="DDH11" s="73"/>
      <c r="DDI11" s="73"/>
      <c r="DDJ11" s="73"/>
      <c r="DDK11" s="73"/>
      <c r="DDL11" s="73"/>
      <c r="DDM11" s="73"/>
      <c r="DDN11" s="73"/>
      <c r="DDO11" s="73"/>
      <c r="DDP11" s="73"/>
      <c r="DDQ11" s="73"/>
      <c r="DDR11" s="73"/>
      <c r="DDS11" s="73"/>
      <c r="DDT11" s="73"/>
      <c r="DDU11" s="73"/>
      <c r="DDV11" s="73"/>
      <c r="DDW11" s="73"/>
      <c r="DDX11" s="73"/>
      <c r="DDY11" s="73"/>
      <c r="DDZ11" s="73"/>
      <c r="DEA11" s="73"/>
      <c r="DEB11" s="73"/>
      <c r="DEC11" s="73"/>
      <c r="DED11" s="73"/>
      <c r="DEE11" s="73"/>
      <c r="DEF11" s="73"/>
      <c r="DEG11" s="73"/>
      <c r="DEH11" s="73"/>
      <c r="DEI11" s="73"/>
      <c r="DEJ11" s="73"/>
      <c r="DEK11" s="73"/>
      <c r="DEL11" s="73"/>
      <c r="DEM11" s="73"/>
      <c r="DEN11" s="73"/>
      <c r="DEO11" s="73"/>
      <c r="DEP11" s="73"/>
      <c r="DEQ11" s="73"/>
      <c r="DER11" s="73"/>
      <c r="DES11" s="73"/>
      <c r="DET11" s="73"/>
      <c r="DEU11" s="73"/>
      <c r="DEV11" s="73"/>
      <c r="DEW11" s="73"/>
      <c r="DEX11" s="73"/>
      <c r="DEY11" s="73"/>
      <c r="DEZ11" s="73"/>
      <c r="DFA11" s="73"/>
      <c r="DFB11" s="73"/>
      <c r="DFC11" s="73"/>
      <c r="DFD11" s="73"/>
      <c r="DFE11" s="73"/>
      <c r="DFF11" s="73"/>
      <c r="DFG11" s="73"/>
      <c r="DFH11" s="73"/>
      <c r="DFI11" s="73"/>
      <c r="DFJ11" s="73"/>
      <c r="DFK11" s="73"/>
      <c r="DFL11" s="73"/>
      <c r="DFM11" s="73"/>
      <c r="DFN11" s="73"/>
      <c r="DFO11" s="73"/>
      <c r="DFP11" s="73"/>
      <c r="DFQ11" s="73"/>
      <c r="DFR11" s="73"/>
      <c r="DFS11" s="73"/>
      <c r="DFT11" s="73"/>
      <c r="DFU11" s="73"/>
      <c r="DFV11" s="73"/>
      <c r="DFW11" s="73"/>
      <c r="DFX11" s="73"/>
      <c r="DFY11" s="73"/>
      <c r="DFZ11" s="73"/>
      <c r="DGA11" s="73"/>
      <c r="DGB11" s="73"/>
      <c r="DGC11" s="73"/>
      <c r="DGD11" s="73"/>
      <c r="DGE11" s="73"/>
      <c r="DGF11" s="73"/>
      <c r="DGG11" s="73"/>
      <c r="DGH11" s="73"/>
      <c r="DGI11" s="73"/>
      <c r="DGJ11" s="73"/>
      <c r="DGK11" s="73"/>
      <c r="DGL11" s="73"/>
      <c r="DGM11" s="73"/>
      <c r="DGN11" s="73"/>
      <c r="DGO11" s="73"/>
      <c r="DGP11" s="73"/>
      <c r="DGQ11" s="73"/>
      <c r="DGR11" s="73"/>
      <c r="DGS11" s="73"/>
      <c r="DGT11" s="73"/>
      <c r="DGU11" s="73"/>
      <c r="DGV11" s="73"/>
      <c r="DGW11" s="73"/>
      <c r="DGX11" s="73"/>
      <c r="DGY11" s="73"/>
      <c r="DGZ11" s="73"/>
      <c r="DHA11" s="73"/>
      <c r="DHB11" s="73"/>
      <c r="DHC11" s="73"/>
      <c r="DHD11" s="73"/>
      <c r="DHE11" s="73"/>
      <c r="DHF11" s="73"/>
      <c r="DHG11" s="73"/>
      <c r="DHH11" s="73"/>
      <c r="DHI11" s="73"/>
      <c r="DHJ11" s="73"/>
      <c r="DHK11" s="73"/>
      <c r="DHL11" s="73"/>
      <c r="DHM11" s="73"/>
      <c r="DHN11" s="73"/>
      <c r="DHO11" s="73"/>
      <c r="DHP11" s="73"/>
      <c r="DHQ11" s="73"/>
      <c r="DHR11" s="73"/>
      <c r="DHS11" s="73"/>
      <c r="DHT11" s="73"/>
      <c r="DHU11" s="73"/>
      <c r="DHV11" s="73"/>
      <c r="DHW11" s="73"/>
      <c r="DHX11" s="73"/>
      <c r="DHY11" s="73"/>
      <c r="DHZ11" s="73"/>
      <c r="DIA11" s="73"/>
      <c r="DIB11" s="73"/>
      <c r="DIC11" s="73"/>
      <c r="DID11" s="73"/>
      <c r="DIE11" s="73"/>
      <c r="DIF11" s="73"/>
      <c r="DIG11" s="73"/>
      <c r="DIH11" s="73"/>
      <c r="DII11" s="73"/>
      <c r="DIJ11" s="73"/>
      <c r="DIK11" s="73"/>
      <c r="DIL11" s="73"/>
      <c r="DIM11" s="73"/>
      <c r="DIN11" s="73"/>
      <c r="DIO11" s="73"/>
      <c r="DIP11" s="73"/>
      <c r="DIQ11" s="73"/>
      <c r="DIR11" s="73"/>
      <c r="DIS11" s="73"/>
      <c r="DIT11" s="73"/>
      <c r="DIU11" s="73"/>
      <c r="DIV11" s="73"/>
      <c r="DIW11" s="73"/>
      <c r="DIX11" s="73"/>
      <c r="DIY11" s="73"/>
      <c r="DIZ11" s="73"/>
      <c r="DJA11" s="73"/>
      <c r="DJB11" s="73"/>
      <c r="DJC11" s="73"/>
      <c r="DJD11" s="73"/>
      <c r="DJE11" s="73"/>
      <c r="DJF11" s="73"/>
      <c r="DJG11" s="73"/>
      <c r="DJH11" s="73"/>
      <c r="DJI11" s="73"/>
      <c r="DJJ11" s="73"/>
      <c r="DJK11" s="73"/>
      <c r="DJL11" s="73"/>
      <c r="DJM11" s="73"/>
      <c r="DJN11" s="73"/>
      <c r="DJO11" s="73"/>
      <c r="DJP11" s="73"/>
      <c r="DJQ11" s="73"/>
      <c r="DJR11" s="73"/>
      <c r="DJS11" s="73"/>
      <c r="DJT11" s="73"/>
      <c r="DJU11" s="73"/>
      <c r="DJV11" s="73"/>
      <c r="DJW11" s="73"/>
      <c r="DJX11" s="73"/>
      <c r="DJY11" s="73"/>
      <c r="DJZ11" s="73"/>
      <c r="DKA11" s="73"/>
      <c r="DKB11" s="73"/>
      <c r="DKC11" s="73"/>
      <c r="DKD11" s="73"/>
      <c r="DKE11" s="73"/>
      <c r="DKF11" s="73"/>
      <c r="DKG11" s="73"/>
      <c r="DKH11" s="73"/>
      <c r="DKI11" s="73"/>
      <c r="DKJ11" s="73"/>
      <c r="DKK11" s="73"/>
      <c r="DKL11" s="73"/>
      <c r="DKM11" s="73"/>
      <c r="DKN11" s="73"/>
      <c r="DKO11" s="73"/>
      <c r="DKP11" s="73"/>
      <c r="DKQ11" s="73"/>
      <c r="DKR11" s="73"/>
      <c r="DKS11" s="73"/>
      <c r="DKT11" s="73"/>
      <c r="DKU11" s="73"/>
      <c r="DKV11" s="73"/>
      <c r="DKW11" s="73"/>
      <c r="DKX11" s="73"/>
      <c r="DKY11" s="73"/>
      <c r="DKZ11" s="73"/>
      <c r="DLA11" s="73"/>
      <c r="DLB11" s="73"/>
      <c r="DLC11" s="73"/>
      <c r="DLD11" s="73"/>
      <c r="DLE11" s="73"/>
      <c r="DLF11" s="73"/>
      <c r="DLG11" s="73"/>
      <c r="DLH11" s="73"/>
      <c r="DLI11" s="73"/>
      <c r="DLJ11" s="73"/>
      <c r="DLK11" s="73"/>
      <c r="DLL11" s="73"/>
      <c r="DLM11" s="73"/>
      <c r="DLN11" s="73"/>
      <c r="DLO11" s="73"/>
      <c r="DLP11" s="73"/>
      <c r="DLQ11" s="73"/>
      <c r="DLR11" s="73"/>
      <c r="DLS11" s="73"/>
      <c r="DLT11" s="73"/>
      <c r="DLU11" s="73"/>
      <c r="DLV11" s="73"/>
      <c r="DLW11" s="73"/>
      <c r="DLX11" s="73"/>
      <c r="DLY11" s="73"/>
      <c r="DLZ11" s="73"/>
      <c r="DMA11" s="73"/>
      <c r="DMB11" s="73"/>
      <c r="DMC11" s="73"/>
      <c r="DMD11" s="73"/>
      <c r="DME11" s="73"/>
      <c r="DMF11" s="73"/>
      <c r="DMG11" s="73"/>
      <c r="DMH11" s="73"/>
      <c r="DMI11" s="73"/>
      <c r="DMJ11" s="73"/>
      <c r="DMK11" s="73"/>
      <c r="DML11" s="73"/>
      <c r="DMM11" s="73"/>
      <c r="DMN11" s="73"/>
      <c r="DMO11" s="73"/>
      <c r="DMP11" s="73"/>
      <c r="DMQ11" s="73"/>
      <c r="DMR11" s="73"/>
      <c r="DMS11" s="73"/>
      <c r="DMT11" s="73"/>
      <c r="DMU11" s="73"/>
      <c r="DMV11" s="73"/>
      <c r="DMW11" s="73"/>
      <c r="DMX11" s="73"/>
      <c r="DMY11" s="73"/>
      <c r="DMZ11" s="73"/>
      <c r="DNA11" s="73"/>
      <c r="DNB11" s="73"/>
      <c r="DNC11" s="73"/>
      <c r="DND11" s="73"/>
      <c r="DNE11" s="73"/>
      <c r="DNF11" s="73"/>
      <c r="DNG11" s="73"/>
      <c r="DNH11" s="73"/>
      <c r="DNI11" s="73"/>
      <c r="DNJ11" s="73"/>
      <c r="DNK11" s="73"/>
      <c r="DNL11" s="73"/>
      <c r="DNM11" s="73"/>
      <c r="DNN11" s="73"/>
      <c r="DNO11" s="73"/>
      <c r="DNP11" s="73"/>
      <c r="DNQ11" s="73"/>
      <c r="DNR11" s="73"/>
      <c r="DNS11" s="73"/>
      <c r="DNT11" s="73"/>
      <c r="DNU11" s="73"/>
      <c r="DNV11" s="73"/>
      <c r="DNW11" s="73"/>
      <c r="DNX11" s="73"/>
      <c r="DNY11" s="73"/>
      <c r="DNZ11" s="73"/>
      <c r="DOA11" s="73"/>
      <c r="DOB11" s="73"/>
      <c r="DOC11" s="73"/>
      <c r="DOD11" s="73"/>
      <c r="DOE11" s="73"/>
      <c r="DOF11" s="73"/>
      <c r="DOG11" s="73"/>
      <c r="DOH11" s="73"/>
      <c r="DOI11" s="73"/>
      <c r="DOJ11" s="73"/>
      <c r="DOK11" s="73"/>
      <c r="DOL11" s="73"/>
      <c r="DOM11" s="73"/>
      <c r="DON11" s="73"/>
      <c r="DOO11" s="73"/>
      <c r="DOP11" s="73"/>
      <c r="DOQ11" s="73"/>
      <c r="DOR11" s="73"/>
      <c r="DOS11" s="73"/>
      <c r="DOT11" s="73"/>
      <c r="DOU11" s="73"/>
      <c r="DOV11" s="73"/>
      <c r="DOW11" s="73"/>
      <c r="DOX11" s="73"/>
      <c r="DOY11" s="73"/>
      <c r="DOZ11" s="73"/>
      <c r="DPA11" s="73"/>
      <c r="DPB11" s="73"/>
      <c r="DPC11" s="73"/>
      <c r="DPD11" s="73"/>
      <c r="DPE11" s="73"/>
      <c r="DPF11" s="73"/>
      <c r="DPG11" s="73"/>
      <c r="DPH11" s="73"/>
      <c r="DPI11" s="73"/>
      <c r="DPJ11" s="73"/>
      <c r="DPK11" s="73"/>
      <c r="DPL11" s="73"/>
      <c r="DPM11" s="73"/>
      <c r="DPN11" s="73"/>
      <c r="DPO11" s="73"/>
      <c r="DPP11" s="73"/>
      <c r="DPQ11" s="73"/>
      <c r="DPR11" s="73"/>
      <c r="DPS11" s="73"/>
      <c r="DPT11" s="73"/>
      <c r="DPU11" s="73"/>
      <c r="DPV11" s="73"/>
      <c r="DPW11" s="73"/>
      <c r="DPX11" s="73"/>
      <c r="DPY11" s="73"/>
      <c r="DPZ11" s="73"/>
      <c r="DQA11" s="73"/>
      <c r="DQB11" s="73"/>
      <c r="DQC11" s="73"/>
      <c r="DQD11" s="73"/>
      <c r="DQE11" s="73"/>
      <c r="DQF11" s="73"/>
      <c r="DQG11" s="73"/>
      <c r="DQH11" s="73"/>
      <c r="DQI11" s="73"/>
      <c r="DQJ11" s="73"/>
      <c r="DQK11" s="73"/>
      <c r="DQL11" s="73"/>
      <c r="DQM11" s="73"/>
      <c r="DQN11" s="73"/>
      <c r="DQO11" s="73"/>
      <c r="DQP11" s="73"/>
      <c r="DQQ11" s="73"/>
      <c r="DQR11" s="73"/>
      <c r="DQS11" s="73"/>
      <c r="DQT11" s="73"/>
      <c r="DQU11" s="73"/>
      <c r="DQV11" s="73"/>
      <c r="DQW11" s="73"/>
      <c r="DQX11" s="73"/>
      <c r="DQY11" s="73"/>
      <c r="DQZ11" s="73"/>
      <c r="DRA11" s="73"/>
      <c r="DRB11" s="73"/>
      <c r="DRC11" s="73"/>
      <c r="DRD11" s="73"/>
      <c r="DRE11" s="73"/>
      <c r="DRF11" s="73"/>
      <c r="DRG11" s="73"/>
      <c r="DRH11" s="73"/>
      <c r="DRI11" s="73"/>
      <c r="DRJ11" s="73"/>
      <c r="DRK11" s="73"/>
      <c r="DRL11" s="73"/>
      <c r="DRM11" s="73"/>
      <c r="DRN11" s="73"/>
      <c r="DRO11" s="73"/>
      <c r="DRP11" s="73"/>
      <c r="DRQ11" s="73"/>
      <c r="DRR11" s="73"/>
      <c r="DRS11" s="73"/>
      <c r="DRT11" s="73"/>
      <c r="DRU11" s="73"/>
      <c r="DRV11" s="73"/>
      <c r="DRW11" s="73"/>
      <c r="DRX11" s="73"/>
      <c r="DRY11" s="73"/>
      <c r="DRZ11" s="73"/>
      <c r="DSA11" s="73"/>
      <c r="DSB11" s="73"/>
      <c r="DSC11" s="73"/>
      <c r="DSD11" s="73"/>
      <c r="DSE11" s="73"/>
      <c r="DSF11" s="73"/>
      <c r="DSG11" s="73"/>
      <c r="DSH11" s="73"/>
      <c r="DSI11" s="73"/>
      <c r="DSJ11" s="73"/>
      <c r="DSK11" s="73"/>
      <c r="DSL11" s="73"/>
      <c r="DSM11" s="73"/>
      <c r="DSN11" s="73"/>
      <c r="DSO11" s="73"/>
      <c r="DSP11" s="73"/>
      <c r="DSQ11" s="73"/>
      <c r="DSR11" s="73"/>
      <c r="DSS11" s="73"/>
      <c r="DST11" s="73"/>
      <c r="DSU11" s="73"/>
      <c r="DSV11" s="73"/>
      <c r="DSW11" s="73"/>
      <c r="DSX11" s="73"/>
      <c r="DSY11" s="73"/>
      <c r="DSZ11" s="73"/>
      <c r="DTA11" s="73"/>
      <c r="DTB11" s="73"/>
      <c r="DTC11" s="73"/>
      <c r="DTD11" s="73"/>
      <c r="DTE11" s="73"/>
      <c r="DTF11" s="73"/>
      <c r="DTG11" s="73"/>
      <c r="DTH11" s="73"/>
      <c r="DTI11" s="73"/>
      <c r="DTJ11" s="73"/>
      <c r="DTK11" s="73"/>
      <c r="DTL11" s="73"/>
      <c r="DTM11" s="73"/>
      <c r="DTN11" s="73"/>
      <c r="DTO11" s="73"/>
      <c r="DTP11" s="73"/>
      <c r="DTQ11" s="73"/>
      <c r="DTR11" s="73"/>
      <c r="DTS11" s="73"/>
      <c r="DTT11" s="73"/>
      <c r="DTU11" s="73"/>
      <c r="DTV11" s="73"/>
      <c r="DTW11" s="73"/>
      <c r="DTX11" s="73"/>
      <c r="DTY11" s="73"/>
      <c r="DTZ11" s="73"/>
      <c r="DUA11" s="73"/>
      <c r="DUB11" s="73"/>
      <c r="DUC11" s="73"/>
      <c r="DUD11" s="73"/>
      <c r="DUE11" s="73"/>
      <c r="DUF11" s="73"/>
      <c r="DUG11" s="73"/>
      <c r="DUH11" s="73"/>
      <c r="DUI11" s="73"/>
      <c r="DUJ11" s="73"/>
      <c r="DUK11" s="73"/>
      <c r="DUL11" s="73"/>
      <c r="DUM11" s="73"/>
      <c r="DUN11" s="73"/>
      <c r="DUO11" s="73"/>
      <c r="DUP11" s="73"/>
      <c r="DUQ11" s="73"/>
      <c r="DUR11" s="73"/>
      <c r="DUS11" s="73"/>
      <c r="DUT11" s="73"/>
      <c r="DUU11" s="73"/>
      <c r="DUV11" s="73"/>
      <c r="DUW11" s="73"/>
      <c r="DUX11" s="73"/>
      <c r="DUY11" s="73"/>
      <c r="DUZ11" s="73"/>
      <c r="DVA11" s="73"/>
      <c r="DVB11" s="73"/>
      <c r="DVC11" s="73"/>
      <c r="DVD11" s="73"/>
      <c r="DVE11" s="73"/>
      <c r="DVF11" s="73"/>
      <c r="DVG11" s="73"/>
      <c r="DVH11" s="73"/>
      <c r="DVI11" s="73"/>
      <c r="DVJ11" s="73"/>
      <c r="DVK11" s="73"/>
      <c r="DVL11" s="73"/>
      <c r="DVM11" s="73"/>
      <c r="DVN11" s="73"/>
      <c r="DVO11" s="73"/>
      <c r="DVP11" s="73"/>
      <c r="DVQ11" s="73"/>
      <c r="DVR11" s="73"/>
      <c r="DVS11" s="73"/>
      <c r="DVT11" s="73"/>
      <c r="DVU11" s="73"/>
      <c r="DVV11" s="73"/>
      <c r="DVW11" s="73"/>
      <c r="DVX11" s="73"/>
      <c r="DVY11" s="73"/>
      <c r="DVZ11" s="73"/>
      <c r="DWA11" s="73"/>
      <c r="DWB11" s="73"/>
      <c r="DWC11" s="73"/>
      <c r="DWD11" s="73"/>
      <c r="DWE11" s="73"/>
      <c r="DWF11" s="73"/>
      <c r="DWG11" s="73"/>
      <c r="DWH11" s="73"/>
      <c r="DWI11" s="73"/>
      <c r="DWJ11" s="73"/>
      <c r="DWK11" s="73"/>
      <c r="DWL11" s="73"/>
      <c r="DWM11" s="73"/>
      <c r="DWN11" s="73"/>
      <c r="DWO11" s="73"/>
      <c r="DWP11" s="73"/>
      <c r="DWQ11" s="73"/>
      <c r="DWR11" s="73"/>
      <c r="DWS11" s="73"/>
      <c r="DWT11" s="73"/>
      <c r="DWU11" s="73"/>
      <c r="DWV11" s="73"/>
      <c r="DWW11" s="73"/>
      <c r="DWX11" s="73"/>
      <c r="DWY11" s="73"/>
      <c r="DWZ11" s="73"/>
      <c r="DXA11" s="73"/>
      <c r="DXB11" s="73"/>
      <c r="DXC11" s="73"/>
      <c r="DXD11" s="73"/>
      <c r="DXE11" s="73"/>
      <c r="DXF11" s="73"/>
      <c r="DXG11" s="73"/>
      <c r="DXH11" s="73"/>
      <c r="DXI11" s="73"/>
      <c r="DXJ11" s="73"/>
      <c r="DXK11" s="73"/>
      <c r="DXL11" s="73"/>
      <c r="DXM11" s="73"/>
      <c r="DXN11" s="73"/>
      <c r="DXO11" s="73"/>
      <c r="DXP11" s="73"/>
      <c r="DXQ11" s="73"/>
      <c r="DXR11" s="73"/>
      <c r="DXS11" s="73"/>
      <c r="DXT11" s="73"/>
      <c r="DXU11" s="73"/>
      <c r="DXV11" s="73"/>
      <c r="DXW11" s="73"/>
      <c r="DXX11" s="73"/>
      <c r="DXY11" s="73"/>
      <c r="DXZ11" s="73"/>
      <c r="DYA11" s="73"/>
      <c r="DYB11" s="73"/>
      <c r="DYC11" s="73"/>
      <c r="DYD11" s="73"/>
      <c r="DYE11" s="73"/>
      <c r="DYF11" s="73"/>
      <c r="DYG11" s="73"/>
      <c r="DYH11" s="73"/>
      <c r="DYI11" s="73"/>
      <c r="DYJ11" s="73"/>
      <c r="DYK11" s="73"/>
      <c r="DYL11" s="73"/>
      <c r="DYM11" s="73"/>
      <c r="DYN11" s="73"/>
      <c r="DYO11" s="73"/>
      <c r="DYP11" s="73"/>
      <c r="DYQ11" s="73"/>
      <c r="DYR11" s="73"/>
      <c r="DYS11" s="73"/>
      <c r="DYT11" s="73"/>
      <c r="DYU11" s="73"/>
      <c r="DYV11" s="73"/>
      <c r="DYW11" s="73"/>
      <c r="DYX11" s="73"/>
      <c r="DYY11" s="73"/>
      <c r="DYZ11" s="73"/>
      <c r="DZA11" s="73"/>
      <c r="DZB11" s="73"/>
      <c r="DZC11" s="73"/>
      <c r="DZD11" s="73"/>
      <c r="DZE11" s="73"/>
      <c r="DZF11" s="73"/>
      <c r="DZG11" s="73"/>
      <c r="DZH11" s="73"/>
      <c r="DZI11" s="73"/>
      <c r="DZJ11" s="73"/>
      <c r="DZK11" s="73"/>
      <c r="DZL11" s="73"/>
      <c r="DZM11" s="73"/>
      <c r="DZN11" s="73"/>
      <c r="DZO11" s="73"/>
      <c r="DZP11" s="73"/>
      <c r="DZQ11" s="73"/>
      <c r="DZR11" s="73"/>
      <c r="DZS11" s="73"/>
      <c r="DZT11" s="73"/>
      <c r="DZU11" s="73"/>
      <c r="DZV11" s="73"/>
      <c r="DZW11" s="73"/>
      <c r="DZX11" s="73"/>
      <c r="DZY11" s="73"/>
      <c r="DZZ11" s="73"/>
      <c r="EAA11" s="73"/>
      <c r="EAB11" s="73"/>
      <c r="EAC11" s="73"/>
      <c r="EAD11" s="73"/>
      <c r="EAE11" s="73"/>
      <c r="EAF11" s="73"/>
      <c r="EAG11" s="73"/>
      <c r="EAH11" s="73"/>
      <c r="EAI11" s="73"/>
      <c r="EAJ11" s="73"/>
      <c r="EAK11" s="73"/>
      <c r="EAL11" s="73"/>
      <c r="EAM11" s="73"/>
      <c r="EAN11" s="73"/>
      <c r="EAO11" s="73"/>
      <c r="EAP11" s="73"/>
      <c r="EAQ11" s="73"/>
      <c r="EAR11" s="73"/>
      <c r="EAS11" s="73"/>
      <c r="EAT11" s="73"/>
      <c r="EAU11" s="73"/>
      <c r="EAV11" s="73"/>
      <c r="EAW11" s="73"/>
      <c r="EAX11" s="73"/>
      <c r="EAY11" s="73"/>
      <c r="EAZ11" s="73"/>
      <c r="EBA11" s="73"/>
      <c r="EBB11" s="73"/>
      <c r="EBC11" s="73"/>
      <c r="EBD11" s="73"/>
      <c r="EBE11" s="73"/>
      <c r="EBF11" s="73"/>
      <c r="EBG11" s="73"/>
      <c r="EBH11" s="73"/>
      <c r="EBI11" s="73"/>
      <c r="EBJ11" s="73"/>
      <c r="EBK11" s="73"/>
      <c r="EBL11" s="73"/>
      <c r="EBM11" s="73"/>
      <c r="EBN11" s="73"/>
      <c r="EBO11" s="73"/>
      <c r="EBP11" s="73"/>
      <c r="EBQ11" s="73"/>
      <c r="EBR11" s="73"/>
      <c r="EBS11" s="73"/>
      <c r="EBT11" s="73"/>
      <c r="EBU11" s="73"/>
      <c r="EBV11" s="73"/>
      <c r="EBW11" s="73"/>
      <c r="EBX11" s="73"/>
      <c r="EBY11" s="73"/>
      <c r="EBZ11" s="73"/>
      <c r="ECA11" s="73"/>
      <c r="ECB11" s="73"/>
      <c r="ECC11" s="73"/>
      <c r="ECD11" s="73"/>
      <c r="ECE11" s="73"/>
      <c r="ECF11" s="73"/>
      <c r="ECG11" s="73"/>
      <c r="ECH11" s="73"/>
      <c r="ECI11" s="73"/>
      <c r="ECJ11" s="73"/>
      <c r="ECK11" s="73"/>
      <c r="ECL11" s="73"/>
      <c r="ECM11" s="73"/>
      <c r="ECN11" s="73"/>
      <c r="ECO11" s="73"/>
      <c r="ECP11" s="73"/>
      <c r="ECQ11" s="73"/>
      <c r="ECR11" s="73"/>
      <c r="ECS11" s="73"/>
      <c r="ECT11" s="73"/>
      <c r="ECU11" s="73"/>
      <c r="ECV11" s="73"/>
      <c r="ECW11" s="73"/>
      <c r="ECX11" s="73"/>
      <c r="ECY11" s="73"/>
      <c r="ECZ11" s="73"/>
      <c r="EDA11" s="73"/>
      <c r="EDB11" s="73"/>
      <c r="EDC11" s="73"/>
      <c r="EDD11" s="73"/>
      <c r="EDE11" s="73"/>
      <c r="EDF11" s="73"/>
      <c r="EDG11" s="73"/>
      <c r="EDH11" s="73"/>
      <c r="EDI11" s="73"/>
      <c r="EDJ11" s="73"/>
      <c r="EDK11" s="73"/>
      <c r="EDL11" s="73"/>
      <c r="EDM11" s="73"/>
      <c r="EDN11" s="73"/>
      <c r="EDO11" s="73"/>
      <c r="EDP11" s="73"/>
      <c r="EDQ11" s="73"/>
      <c r="EDR11" s="73"/>
      <c r="EDS11" s="73"/>
      <c r="EDT11" s="73"/>
      <c r="EDU11" s="73"/>
      <c r="EDV11" s="73"/>
      <c r="EDW11" s="73"/>
      <c r="EDX11" s="73"/>
      <c r="EDY11" s="73"/>
      <c r="EDZ11" s="73"/>
      <c r="EEA11" s="73"/>
      <c r="EEB11" s="73"/>
      <c r="EEC11" s="73"/>
      <c r="EED11" s="73"/>
      <c r="EEE11" s="73"/>
      <c r="EEF11" s="73"/>
      <c r="EEG11" s="73"/>
      <c r="EEH11" s="73"/>
      <c r="EEI11" s="73"/>
      <c r="EEJ11" s="73"/>
      <c r="EEK11" s="73"/>
      <c r="EEL11" s="73"/>
      <c r="EEM11" s="73"/>
      <c r="EEN11" s="73"/>
      <c r="EEO11" s="73"/>
      <c r="EEP11" s="73"/>
      <c r="EEQ11" s="73"/>
      <c r="EER11" s="73"/>
      <c r="EES11" s="73"/>
      <c r="EET11" s="73"/>
      <c r="EEU11" s="73"/>
      <c r="EEV11" s="73"/>
      <c r="EEW11" s="73"/>
      <c r="EEX11" s="73"/>
      <c r="EEY11" s="73"/>
      <c r="EEZ11" s="73"/>
      <c r="EFA11" s="73"/>
      <c r="EFB11" s="73"/>
      <c r="EFC11" s="73"/>
      <c r="EFD11" s="73"/>
      <c r="EFE11" s="73"/>
      <c r="EFF11" s="73"/>
      <c r="EFG11" s="73"/>
      <c r="EFH11" s="73"/>
      <c r="EFI11" s="73"/>
      <c r="EFJ11" s="73"/>
      <c r="EFK11" s="73"/>
      <c r="EFL11" s="73"/>
      <c r="EFM11" s="73"/>
      <c r="EFN11" s="73"/>
      <c r="EFO11" s="73"/>
      <c r="EFP11" s="73"/>
      <c r="EFQ11" s="73"/>
      <c r="EFR11" s="73"/>
      <c r="EFS11" s="73"/>
      <c r="EFT11" s="73"/>
      <c r="EFU11" s="73"/>
      <c r="EFV11" s="73"/>
      <c r="EFW11" s="73"/>
      <c r="EFX11" s="73"/>
      <c r="EFY11" s="73"/>
      <c r="EFZ11" s="73"/>
      <c r="EGA11" s="73"/>
      <c r="EGB11" s="73"/>
      <c r="EGC11" s="73"/>
      <c r="EGD11" s="73"/>
      <c r="EGE11" s="73"/>
      <c r="EGF11" s="73"/>
      <c r="EGG11" s="73"/>
      <c r="EGH11" s="73"/>
      <c r="EGI11" s="73"/>
      <c r="EGJ11" s="73"/>
      <c r="EGK11" s="73"/>
      <c r="EGL11" s="73"/>
      <c r="EGM11" s="73"/>
      <c r="EGN11" s="73"/>
      <c r="EGO11" s="73"/>
      <c r="EGP11" s="73"/>
      <c r="EGQ11" s="73"/>
      <c r="EGR11" s="73"/>
      <c r="EGS11" s="73"/>
      <c r="EGT11" s="73"/>
      <c r="EGU11" s="73"/>
      <c r="EGV11" s="73"/>
      <c r="EGW11" s="73"/>
      <c r="EGX11" s="73"/>
      <c r="EGY11" s="73"/>
      <c r="EGZ11" s="73"/>
      <c r="EHA11" s="73"/>
      <c r="EHB11" s="73"/>
      <c r="EHC11" s="73"/>
      <c r="EHD11" s="73"/>
      <c r="EHE11" s="73"/>
      <c r="EHF11" s="73"/>
      <c r="EHG11" s="73"/>
      <c r="EHH11" s="73"/>
      <c r="EHI11" s="73"/>
      <c r="EHJ11" s="73"/>
      <c r="EHK11" s="73"/>
      <c r="EHL11" s="73"/>
      <c r="EHM11" s="73"/>
      <c r="EHN11" s="73"/>
      <c r="EHO11" s="73"/>
      <c r="EHP11" s="73"/>
      <c r="EHQ11" s="73"/>
      <c r="EHR11" s="73"/>
      <c r="EHS11" s="73"/>
      <c r="EHT11" s="73"/>
      <c r="EHU11" s="73"/>
      <c r="EHV11" s="73"/>
      <c r="EHW11" s="73"/>
      <c r="EHX11" s="73"/>
      <c r="EHY11" s="73"/>
      <c r="EHZ11" s="73"/>
      <c r="EIA11" s="73"/>
      <c r="EIB11" s="73"/>
      <c r="EIC11" s="73"/>
      <c r="EID11" s="73"/>
      <c r="EIE11" s="73"/>
      <c r="EIF11" s="73"/>
      <c r="EIG11" s="73"/>
      <c r="EIH11" s="73"/>
      <c r="EII11" s="73"/>
      <c r="EIJ11" s="73"/>
      <c r="EIK11" s="73"/>
      <c r="EIL11" s="73"/>
      <c r="EIM11" s="73"/>
      <c r="EIN11" s="73"/>
      <c r="EIO11" s="73"/>
      <c r="EIP11" s="73"/>
      <c r="EIQ11" s="73"/>
      <c r="EIR11" s="73"/>
      <c r="EIS11" s="73"/>
      <c r="EIT11" s="73"/>
      <c r="EIU11" s="73"/>
      <c r="EIV11" s="73"/>
      <c r="EIW11" s="73"/>
      <c r="EIX11" s="73"/>
      <c r="EIY11" s="73"/>
      <c r="EIZ11" s="73"/>
      <c r="EJA11" s="73"/>
      <c r="EJB11" s="73"/>
      <c r="EJC11" s="73"/>
      <c r="EJD11" s="73"/>
      <c r="EJE11" s="73"/>
      <c r="EJF11" s="73"/>
      <c r="EJG11" s="73"/>
      <c r="EJH11" s="73"/>
      <c r="EJI11" s="73"/>
      <c r="EJJ11" s="73"/>
      <c r="EJK11" s="73"/>
      <c r="EJL11" s="73"/>
      <c r="EJM11" s="73"/>
      <c r="EJN11" s="73"/>
      <c r="EJO11" s="73"/>
      <c r="EJP11" s="73"/>
      <c r="EJQ11" s="73"/>
      <c r="EJR11" s="73"/>
      <c r="EJS11" s="73"/>
      <c r="EJT11" s="73"/>
      <c r="EJU11" s="73"/>
      <c r="EJV11" s="73"/>
      <c r="EJW11" s="73"/>
      <c r="EJX11" s="73"/>
      <c r="EJY11" s="73"/>
      <c r="EJZ11" s="73"/>
      <c r="EKA11" s="73"/>
      <c r="EKB11" s="73"/>
      <c r="EKC11" s="73"/>
      <c r="EKD11" s="73"/>
      <c r="EKE11" s="73"/>
      <c r="EKF11" s="73"/>
      <c r="EKG11" s="73"/>
      <c r="EKH11" s="73"/>
      <c r="EKI11" s="73"/>
      <c r="EKJ11" s="73"/>
      <c r="EKK11" s="73"/>
      <c r="EKL11" s="73"/>
      <c r="EKM11" s="73"/>
      <c r="EKN11" s="73"/>
      <c r="EKO11" s="73"/>
      <c r="EKP11" s="73"/>
      <c r="EKQ11" s="73"/>
      <c r="EKR11" s="73"/>
      <c r="EKS11" s="73"/>
      <c r="EKT11" s="73"/>
      <c r="EKU11" s="73"/>
      <c r="EKV11" s="73"/>
      <c r="EKW11" s="73"/>
      <c r="EKX11" s="73"/>
      <c r="EKY11" s="73"/>
      <c r="EKZ11" s="73"/>
      <c r="ELA11" s="73"/>
      <c r="ELB11" s="73"/>
      <c r="ELC11" s="73"/>
      <c r="ELD11" s="73"/>
      <c r="ELE11" s="73"/>
      <c r="ELF11" s="73"/>
      <c r="ELG11" s="73"/>
      <c r="ELH11" s="73"/>
      <c r="ELI11" s="73"/>
      <c r="ELJ11" s="73"/>
      <c r="ELK11" s="73"/>
      <c r="ELL11" s="73"/>
      <c r="ELM11" s="73"/>
      <c r="ELN11" s="73"/>
      <c r="ELO11" s="73"/>
      <c r="ELP11" s="73"/>
      <c r="ELQ11" s="73"/>
      <c r="ELR11" s="73"/>
      <c r="ELS11" s="73"/>
      <c r="ELT11" s="73"/>
      <c r="ELU11" s="73"/>
      <c r="ELV11" s="73"/>
      <c r="ELW11" s="73"/>
      <c r="ELX11" s="73"/>
      <c r="ELY11" s="73"/>
      <c r="ELZ11" s="73"/>
      <c r="EMA11" s="73"/>
      <c r="EMB11" s="73"/>
      <c r="EMC11" s="73"/>
      <c r="EMD11" s="73"/>
      <c r="EME11" s="73"/>
      <c r="EMF11" s="73"/>
      <c r="EMG11" s="73"/>
      <c r="EMH11" s="73"/>
      <c r="EMI11" s="73"/>
      <c r="EMJ11" s="73"/>
      <c r="EMK11" s="73"/>
      <c r="EML11" s="73"/>
      <c r="EMM11" s="73"/>
      <c r="EMN11" s="73"/>
      <c r="EMO11" s="73"/>
      <c r="EMP11" s="73"/>
      <c r="EMQ11" s="73"/>
      <c r="EMR11" s="73"/>
      <c r="EMS11" s="73"/>
      <c r="EMT11" s="73"/>
      <c r="EMU11" s="73"/>
      <c r="EMV11" s="73"/>
      <c r="EMW11" s="73"/>
      <c r="EMX11" s="73"/>
      <c r="EMY11" s="73"/>
      <c r="EMZ11" s="73"/>
      <c r="ENA11" s="73"/>
      <c r="ENB11" s="73"/>
      <c r="ENC11" s="73"/>
      <c r="END11" s="73"/>
      <c r="ENE11" s="73"/>
      <c r="ENF11" s="73"/>
      <c r="ENG11" s="73"/>
      <c r="ENH11" s="73"/>
      <c r="ENI11" s="73"/>
      <c r="ENJ11" s="73"/>
      <c r="ENK11" s="73"/>
      <c r="ENL11" s="73"/>
      <c r="ENM11" s="73"/>
      <c r="ENN11" s="73"/>
      <c r="ENO11" s="73"/>
      <c r="ENP11" s="73"/>
      <c r="ENQ11" s="73"/>
      <c r="ENR11" s="73"/>
      <c r="ENS11" s="73"/>
      <c r="ENT11" s="73"/>
      <c r="ENU11" s="73"/>
      <c r="ENV11" s="73"/>
      <c r="ENW11" s="73"/>
      <c r="ENX11" s="73"/>
      <c r="ENY11" s="73"/>
      <c r="ENZ11" s="73"/>
      <c r="EOA11" s="73"/>
      <c r="EOB11" s="73"/>
      <c r="EOC11" s="73"/>
      <c r="EOD11" s="73"/>
      <c r="EOE11" s="73"/>
      <c r="EOF11" s="73"/>
      <c r="EOG11" s="73"/>
      <c r="EOH11" s="73"/>
      <c r="EOI11" s="73"/>
      <c r="EOJ11" s="73"/>
      <c r="EOK11" s="73"/>
      <c r="EOL11" s="73"/>
      <c r="EOM11" s="73"/>
      <c r="EON11" s="73"/>
      <c r="EOO11" s="73"/>
      <c r="EOP11" s="73"/>
      <c r="EOQ11" s="73"/>
      <c r="EOR11" s="73"/>
      <c r="EOS11" s="73"/>
      <c r="EOT11" s="73"/>
      <c r="EOU11" s="73"/>
      <c r="EOV11" s="73"/>
      <c r="EOW11" s="73"/>
      <c r="EOX11" s="73"/>
      <c r="EOY11" s="73"/>
      <c r="EOZ11" s="73"/>
      <c r="EPA11" s="73"/>
      <c r="EPB11" s="73"/>
      <c r="EPC11" s="73"/>
      <c r="EPD11" s="73"/>
      <c r="EPE11" s="73"/>
      <c r="EPF11" s="73"/>
      <c r="EPG11" s="73"/>
      <c r="EPH11" s="73"/>
      <c r="EPI11" s="73"/>
      <c r="EPJ11" s="73"/>
      <c r="EPK11" s="73"/>
      <c r="EPL11" s="73"/>
      <c r="EPM11" s="73"/>
      <c r="EPN11" s="73"/>
      <c r="EPO11" s="73"/>
      <c r="EPP11" s="73"/>
      <c r="EPQ11" s="73"/>
      <c r="EPR11" s="73"/>
      <c r="EPS11" s="73"/>
      <c r="EPT11" s="73"/>
      <c r="EPU11" s="73"/>
      <c r="EPV11" s="73"/>
      <c r="EPW11" s="73"/>
      <c r="EPX11" s="73"/>
      <c r="EPY11" s="73"/>
      <c r="EPZ11" s="73"/>
      <c r="EQA11" s="73"/>
      <c r="EQB11" s="73"/>
      <c r="EQC11" s="73"/>
      <c r="EQD11" s="73"/>
      <c r="EQE11" s="73"/>
      <c r="EQF11" s="73"/>
      <c r="EQG11" s="73"/>
      <c r="EQH11" s="73"/>
      <c r="EQI11" s="73"/>
      <c r="EQJ11" s="73"/>
      <c r="EQK11" s="73"/>
      <c r="EQL11" s="73"/>
      <c r="EQM11" s="73"/>
      <c r="EQN11" s="73"/>
      <c r="EQO11" s="73"/>
      <c r="EQP11" s="73"/>
      <c r="EQQ11" s="73"/>
      <c r="EQR11" s="73"/>
      <c r="EQS11" s="73"/>
      <c r="EQT11" s="73"/>
      <c r="EQU11" s="73"/>
      <c r="EQV11" s="73"/>
      <c r="EQW11" s="73"/>
      <c r="EQX11" s="73"/>
      <c r="EQY11" s="73"/>
      <c r="EQZ11" s="73"/>
      <c r="ERA11" s="73"/>
      <c r="ERB11" s="73"/>
      <c r="ERC11" s="73"/>
      <c r="ERD11" s="73"/>
      <c r="ERE11" s="73"/>
      <c r="ERF11" s="73"/>
      <c r="ERG11" s="73"/>
      <c r="ERH11" s="73"/>
      <c r="ERI11" s="73"/>
      <c r="ERJ11" s="73"/>
      <c r="ERK11" s="73"/>
      <c r="ERL11" s="73"/>
      <c r="ERM11" s="73"/>
      <c r="ERN11" s="73"/>
      <c r="ERO11" s="73"/>
      <c r="ERP11" s="73"/>
      <c r="ERQ11" s="73"/>
      <c r="ERR11" s="73"/>
      <c r="ERS11" s="73"/>
      <c r="ERT11" s="73"/>
      <c r="ERU11" s="73"/>
      <c r="ERV11" s="73"/>
      <c r="ERW11" s="73"/>
      <c r="ERX11" s="73"/>
      <c r="ERY11" s="73"/>
      <c r="ERZ11" s="73"/>
      <c r="ESA11" s="73"/>
      <c r="ESB11" s="73"/>
      <c r="ESC11" s="73"/>
      <c r="ESD11" s="73"/>
      <c r="ESE11" s="73"/>
      <c r="ESF11" s="73"/>
      <c r="ESG11" s="73"/>
      <c r="ESH11" s="73"/>
      <c r="ESI11" s="73"/>
      <c r="ESJ11" s="73"/>
      <c r="ESK11" s="73"/>
      <c r="ESL11" s="73"/>
      <c r="ESM11" s="73"/>
      <c r="ESN11" s="73"/>
      <c r="ESO11" s="73"/>
      <c r="ESP11" s="73"/>
      <c r="ESQ11" s="73"/>
      <c r="ESR11" s="73"/>
      <c r="ESS11" s="73"/>
      <c r="EST11" s="73"/>
      <c r="ESU11" s="73"/>
      <c r="ESV11" s="73"/>
      <c r="ESW11" s="73"/>
      <c r="ESX11" s="73"/>
      <c r="ESY11" s="73"/>
      <c r="ESZ11" s="73"/>
      <c r="ETA11" s="73"/>
      <c r="ETB11" s="73"/>
      <c r="ETC11" s="73"/>
      <c r="ETD11" s="73"/>
      <c r="ETE11" s="73"/>
      <c r="ETF11" s="73"/>
      <c r="ETG11" s="73"/>
      <c r="ETH11" s="73"/>
      <c r="ETI11" s="73"/>
      <c r="ETJ11" s="73"/>
      <c r="ETK11" s="73"/>
      <c r="ETL11" s="73"/>
      <c r="ETM11" s="73"/>
      <c r="ETN11" s="73"/>
      <c r="ETO11" s="73"/>
      <c r="ETP11" s="73"/>
      <c r="ETQ11" s="73"/>
      <c r="ETR11" s="73"/>
      <c r="ETS11" s="73"/>
      <c r="ETT11" s="73"/>
      <c r="ETU11" s="73"/>
      <c r="ETV11" s="73"/>
      <c r="ETW11" s="73"/>
      <c r="ETX11" s="73"/>
      <c r="ETY11" s="73"/>
      <c r="ETZ11" s="73"/>
      <c r="EUA11" s="73"/>
      <c r="EUB11" s="73"/>
      <c r="EUC11" s="73"/>
      <c r="EUD11" s="73"/>
      <c r="EUE11" s="73"/>
      <c r="EUF11" s="73"/>
      <c r="EUG11" s="73"/>
      <c r="EUH11" s="73"/>
      <c r="EUI11" s="73"/>
      <c r="EUJ11" s="73"/>
      <c r="EUK11" s="73"/>
      <c r="EUL11" s="73"/>
      <c r="EUM11" s="73"/>
      <c r="EUN11" s="73"/>
      <c r="EUO11" s="73"/>
      <c r="EUP11" s="73"/>
      <c r="EUQ11" s="73"/>
      <c r="EUR11" s="73"/>
      <c r="EUS11" s="73"/>
      <c r="EUT11" s="73"/>
      <c r="EUU11" s="73"/>
      <c r="EUV11" s="73"/>
      <c r="EUW11" s="73"/>
      <c r="EUX11" s="73"/>
      <c r="EUY11" s="73"/>
      <c r="EUZ11" s="73"/>
      <c r="EVA11" s="73"/>
      <c r="EVB11" s="73"/>
      <c r="EVC11" s="73"/>
      <c r="EVD11" s="73"/>
      <c r="EVE11" s="73"/>
      <c r="EVF11" s="73"/>
      <c r="EVG11" s="73"/>
      <c r="EVH11" s="73"/>
      <c r="EVI11" s="73"/>
      <c r="EVJ11" s="73"/>
      <c r="EVK11" s="73"/>
      <c r="EVL11" s="73"/>
      <c r="EVM11" s="73"/>
      <c r="EVN11" s="73"/>
      <c r="EVO11" s="73"/>
      <c r="EVP11" s="73"/>
      <c r="EVQ11" s="73"/>
      <c r="EVR11" s="73"/>
      <c r="EVS11" s="73"/>
      <c r="EVT11" s="73"/>
      <c r="EVU11" s="73"/>
      <c r="EVV11" s="73"/>
      <c r="EVW11" s="73"/>
      <c r="EVX11" s="73"/>
      <c r="EVY11" s="73"/>
      <c r="EVZ11" s="73"/>
      <c r="EWA11" s="73"/>
      <c r="EWB11" s="73"/>
      <c r="EWC11" s="73"/>
      <c r="EWD11" s="73"/>
      <c r="EWE11" s="73"/>
      <c r="EWF11" s="73"/>
      <c r="EWG11" s="73"/>
      <c r="EWH11" s="73"/>
      <c r="EWI11" s="73"/>
      <c r="EWJ11" s="73"/>
      <c r="EWK11" s="73"/>
      <c r="EWL11" s="73"/>
      <c r="EWM11" s="73"/>
      <c r="EWN11" s="73"/>
      <c r="EWO11" s="73"/>
      <c r="EWP11" s="73"/>
      <c r="EWQ11" s="73"/>
      <c r="EWR11" s="73"/>
      <c r="EWS11" s="73"/>
      <c r="EWT11" s="73"/>
      <c r="EWU11" s="73"/>
      <c r="EWV11" s="73"/>
      <c r="EWW11" s="73"/>
      <c r="EWX11" s="73"/>
      <c r="EWY11" s="73"/>
      <c r="EWZ11" s="73"/>
      <c r="EXA11" s="73"/>
      <c r="EXB11" s="73"/>
      <c r="EXC11" s="73"/>
      <c r="EXD11" s="73"/>
      <c r="EXE11" s="73"/>
      <c r="EXF11" s="73"/>
      <c r="EXG11" s="73"/>
      <c r="EXH11" s="73"/>
      <c r="EXI11" s="73"/>
      <c r="EXJ11" s="73"/>
      <c r="EXK11" s="73"/>
      <c r="EXL11" s="73"/>
      <c r="EXM11" s="73"/>
      <c r="EXN11" s="73"/>
      <c r="EXO11" s="73"/>
      <c r="EXP11" s="73"/>
      <c r="EXQ11" s="73"/>
      <c r="EXR11" s="73"/>
      <c r="EXS11" s="73"/>
      <c r="EXT11" s="73"/>
      <c r="EXU11" s="73"/>
      <c r="EXV11" s="73"/>
      <c r="EXW11" s="73"/>
      <c r="EXX11" s="73"/>
      <c r="EXY11" s="73"/>
      <c r="EXZ11" s="73"/>
      <c r="EYA11" s="73"/>
      <c r="EYB11" s="73"/>
      <c r="EYC11" s="73"/>
      <c r="EYD11" s="73"/>
      <c r="EYE11" s="73"/>
      <c r="EYF11" s="73"/>
      <c r="EYG11" s="73"/>
      <c r="EYH11" s="73"/>
      <c r="EYI11" s="73"/>
      <c r="EYJ11" s="73"/>
      <c r="EYK11" s="73"/>
      <c r="EYL11" s="73"/>
      <c r="EYM11" s="73"/>
      <c r="EYN11" s="73"/>
      <c r="EYO11" s="73"/>
      <c r="EYP11" s="73"/>
      <c r="EYQ11" s="73"/>
      <c r="EYR11" s="73"/>
      <c r="EYS11" s="73"/>
      <c r="EYT11" s="73"/>
      <c r="EYU11" s="73"/>
      <c r="EYV11" s="73"/>
      <c r="EYW11" s="73"/>
      <c r="EYX11" s="73"/>
      <c r="EYY11" s="73"/>
      <c r="EYZ11" s="73"/>
      <c r="EZA11" s="73"/>
      <c r="EZB11" s="73"/>
      <c r="EZC11" s="73"/>
      <c r="EZD11" s="73"/>
      <c r="EZE11" s="73"/>
      <c r="EZF11" s="73"/>
      <c r="EZG11" s="73"/>
      <c r="EZH11" s="73"/>
      <c r="EZI11" s="73"/>
      <c r="EZJ11" s="73"/>
      <c r="EZK11" s="73"/>
      <c r="EZL11" s="73"/>
      <c r="EZM11" s="73"/>
      <c r="EZN11" s="73"/>
      <c r="EZO11" s="73"/>
      <c r="EZP11" s="73"/>
      <c r="EZQ11" s="73"/>
      <c r="EZR11" s="73"/>
      <c r="EZS11" s="73"/>
      <c r="EZT11" s="73"/>
      <c r="EZU11" s="73"/>
      <c r="EZV11" s="73"/>
      <c r="EZW11" s="73"/>
      <c r="EZX11" s="73"/>
      <c r="EZY11" s="73"/>
      <c r="EZZ11" s="73"/>
      <c r="FAA11" s="73"/>
      <c r="FAB11" s="73"/>
      <c r="FAC11" s="73"/>
      <c r="FAD11" s="73"/>
      <c r="FAE11" s="73"/>
      <c r="FAF11" s="73"/>
      <c r="FAG11" s="73"/>
      <c r="FAH11" s="73"/>
      <c r="FAI11" s="73"/>
      <c r="FAJ11" s="73"/>
      <c r="FAK11" s="73"/>
      <c r="FAL11" s="73"/>
      <c r="FAM11" s="73"/>
      <c r="FAN11" s="73"/>
      <c r="FAO11" s="73"/>
      <c r="FAP11" s="73"/>
      <c r="FAQ11" s="73"/>
      <c r="FAR11" s="73"/>
      <c r="FAS11" s="73"/>
      <c r="FAT11" s="73"/>
      <c r="FAU11" s="73"/>
      <c r="FAV11" s="73"/>
      <c r="FAW11" s="73"/>
      <c r="FAX11" s="73"/>
      <c r="FAY11" s="73"/>
      <c r="FAZ11" s="73"/>
      <c r="FBA11" s="73"/>
      <c r="FBB11" s="73"/>
      <c r="FBC11" s="73"/>
      <c r="FBD11" s="73"/>
      <c r="FBE11" s="73"/>
      <c r="FBF11" s="73"/>
      <c r="FBG11" s="73"/>
      <c r="FBH11" s="73"/>
      <c r="FBI11" s="73"/>
      <c r="FBJ11" s="73"/>
      <c r="FBK11" s="73"/>
      <c r="FBL11" s="73"/>
      <c r="FBM11" s="73"/>
      <c r="FBN11" s="73"/>
      <c r="FBO11" s="73"/>
      <c r="FBP11" s="73"/>
      <c r="FBQ11" s="73"/>
      <c r="FBR11" s="73"/>
      <c r="FBS11" s="73"/>
      <c r="FBT11" s="73"/>
      <c r="FBU11" s="73"/>
      <c r="FBV11" s="73"/>
      <c r="FBW11" s="73"/>
      <c r="FBX11" s="73"/>
      <c r="FBY11" s="73"/>
      <c r="FBZ11" s="73"/>
      <c r="FCA11" s="73"/>
      <c r="FCB11" s="73"/>
      <c r="FCC11" s="73"/>
      <c r="FCD11" s="73"/>
      <c r="FCE11" s="73"/>
      <c r="FCF11" s="73"/>
      <c r="FCG11" s="73"/>
      <c r="FCH11" s="73"/>
      <c r="FCI11" s="73"/>
      <c r="FCJ11" s="73"/>
      <c r="FCK11" s="73"/>
      <c r="FCL11" s="73"/>
      <c r="FCM11" s="73"/>
      <c r="FCN11" s="73"/>
      <c r="FCO11" s="73"/>
      <c r="FCP11" s="73"/>
      <c r="FCQ11" s="73"/>
      <c r="FCR11" s="73"/>
      <c r="FCS11" s="73"/>
      <c r="FCT11" s="73"/>
      <c r="FCU11" s="73"/>
      <c r="FCV11" s="73"/>
      <c r="FCW11" s="73"/>
      <c r="FCX11" s="73"/>
      <c r="FCY11" s="73"/>
      <c r="FCZ11" s="73"/>
      <c r="FDA11" s="73"/>
      <c r="FDB11" s="73"/>
      <c r="FDC11" s="73"/>
      <c r="FDD11" s="73"/>
      <c r="FDE11" s="73"/>
      <c r="FDF11" s="73"/>
      <c r="FDG11" s="73"/>
      <c r="FDH11" s="73"/>
      <c r="FDI11" s="73"/>
      <c r="FDJ11" s="73"/>
      <c r="FDK11" s="73"/>
      <c r="FDL11" s="73"/>
      <c r="FDM11" s="73"/>
      <c r="FDN11" s="73"/>
      <c r="FDO11" s="73"/>
      <c r="FDP11" s="73"/>
      <c r="FDQ11" s="73"/>
      <c r="FDR11" s="73"/>
      <c r="FDS11" s="73"/>
      <c r="FDT11" s="73"/>
      <c r="FDU11" s="73"/>
      <c r="FDV11" s="73"/>
      <c r="FDW11" s="73"/>
      <c r="FDX11" s="73"/>
      <c r="FDY11" s="73"/>
      <c r="FDZ11" s="73"/>
      <c r="FEA11" s="73"/>
      <c r="FEB11" s="73"/>
      <c r="FEC11" s="73"/>
      <c r="FED11" s="73"/>
      <c r="FEE11" s="73"/>
      <c r="FEF11" s="73"/>
      <c r="FEG11" s="73"/>
      <c r="FEH11" s="73"/>
      <c r="FEI11" s="73"/>
      <c r="FEJ11" s="73"/>
      <c r="FEK11" s="73"/>
      <c r="FEL11" s="73"/>
      <c r="FEM11" s="73"/>
      <c r="FEN11" s="73"/>
      <c r="FEO11" s="73"/>
      <c r="FEP11" s="73"/>
      <c r="FEQ11" s="73"/>
      <c r="FER11" s="73"/>
      <c r="FES11" s="73"/>
      <c r="FET11" s="73"/>
      <c r="FEU11" s="73"/>
      <c r="FEV11" s="73"/>
      <c r="FEW11" s="73"/>
      <c r="FEX11" s="73"/>
      <c r="FEY11" s="73"/>
      <c r="FEZ11" s="73"/>
      <c r="FFA11" s="73"/>
      <c r="FFB11" s="73"/>
      <c r="FFC11" s="73"/>
      <c r="FFD11" s="73"/>
      <c r="FFE11" s="73"/>
      <c r="FFF11" s="73"/>
      <c r="FFG11" s="73"/>
      <c r="FFH11" s="73"/>
      <c r="FFI11" s="73"/>
      <c r="FFJ11" s="73"/>
      <c r="FFK11" s="73"/>
      <c r="FFL11" s="73"/>
      <c r="FFM11" s="73"/>
      <c r="FFN11" s="73"/>
      <c r="FFO11" s="73"/>
      <c r="FFP11" s="73"/>
      <c r="FFQ11" s="73"/>
      <c r="FFR11" s="73"/>
      <c r="FFS11" s="73"/>
      <c r="FFT11" s="73"/>
      <c r="FFU11" s="73"/>
      <c r="FFV11" s="73"/>
      <c r="FFW11" s="73"/>
      <c r="FFX11" s="73"/>
      <c r="FFY11" s="73"/>
      <c r="FFZ11" s="73"/>
      <c r="FGA11" s="73"/>
      <c r="FGB11" s="73"/>
      <c r="FGC11" s="73"/>
      <c r="FGD11" s="73"/>
      <c r="FGE11" s="73"/>
      <c r="FGF11" s="73"/>
      <c r="FGG11" s="73"/>
      <c r="FGH11" s="73"/>
      <c r="FGI11" s="73"/>
      <c r="FGJ11" s="73"/>
      <c r="FGK11" s="73"/>
      <c r="FGL11" s="73"/>
      <c r="FGM11" s="73"/>
      <c r="FGN11" s="73"/>
      <c r="FGO11" s="73"/>
      <c r="FGP11" s="73"/>
      <c r="FGQ11" s="73"/>
      <c r="FGR11" s="73"/>
      <c r="FGS11" s="73"/>
      <c r="FGT11" s="73"/>
      <c r="FGU11" s="73"/>
      <c r="FGV11" s="73"/>
      <c r="FGW11" s="73"/>
      <c r="FGX11" s="73"/>
      <c r="FGY11" s="73"/>
      <c r="FGZ11" s="73"/>
      <c r="FHA11" s="73"/>
      <c r="FHB11" s="73"/>
      <c r="FHC11" s="73"/>
      <c r="FHD11" s="73"/>
      <c r="FHE11" s="73"/>
      <c r="FHF11" s="73"/>
      <c r="FHG11" s="73"/>
      <c r="FHH11" s="73"/>
      <c r="FHI11" s="73"/>
      <c r="FHJ11" s="73"/>
      <c r="FHK11" s="73"/>
      <c r="FHL11" s="73"/>
      <c r="FHM11" s="73"/>
      <c r="FHN11" s="73"/>
      <c r="FHO11" s="73"/>
      <c r="FHP11" s="73"/>
      <c r="FHQ11" s="73"/>
      <c r="FHR11" s="73"/>
      <c r="FHS11" s="73"/>
      <c r="FHT11" s="73"/>
      <c r="FHU11" s="73"/>
      <c r="FHV11" s="73"/>
      <c r="FHW11" s="73"/>
      <c r="FHX11" s="73"/>
      <c r="FHY11" s="73"/>
      <c r="FHZ11" s="73"/>
      <c r="FIA11" s="73"/>
      <c r="FIB11" s="73"/>
      <c r="FIC11" s="73"/>
      <c r="FID11" s="73"/>
      <c r="FIE11" s="73"/>
      <c r="FIF11" s="73"/>
      <c r="FIG11" s="73"/>
      <c r="FIH11" s="73"/>
      <c r="FII11" s="73"/>
      <c r="FIJ11" s="73"/>
      <c r="FIK11" s="73"/>
      <c r="FIL11" s="73"/>
      <c r="FIM11" s="73"/>
      <c r="FIN11" s="73"/>
      <c r="FIO11" s="73"/>
      <c r="FIP11" s="73"/>
      <c r="FIQ11" s="73"/>
      <c r="FIR11" s="73"/>
      <c r="FIS11" s="73"/>
      <c r="FIT11" s="73"/>
      <c r="FIU11" s="73"/>
      <c r="FIV11" s="73"/>
      <c r="FIW11" s="73"/>
      <c r="FIX11" s="73"/>
      <c r="FIY11" s="73"/>
      <c r="FIZ11" s="73"/>
      <c r="FJA11" s="73"/>
      <c r="FJB11" s="73"/>
      <c r="FJC11" s="73"/>
      <c r="FJD11" s="73"/>
      <c r="FJE11" s="73"/>
      <c r="FJF11" s="73"/>
      <c r="FJG11" s="73"/>
      <c r="FJH11" s="73"/>
      <c r="FJI11" s="73"/>
      <c r="FJJ11" s="73"/>
      <c r="FJK11" s="73"/>
      <c r="FJL11" s="73"/>
      <c r="FJM11" s="73"/>
      <c r="FJN11" s="73"/>
      <c r="FJO11" s="73"/>
      <c r="FJP11" s="73"/>
      <c r="FJQ11" s="73"/>
      <c r="FJR11" s="73"/>
      <c r="FJS11" s="73"/>
      <c r="FJT11" s="73"/>
      <c r="FJU11" s="73"/>
      <c r="FJV11" s="73"/>
      <c r="FJW11" s="73"/>
      <c r="FJX11" s="73"/>
      <c r="FJY11" s="73"/>
      <c r="FJZ11" s="73"/>
      <c r="FKA11" s="73"/>
      <c r="FKB11" s="73"/>
      <c r="FKC11" s="73"/>
      <c r="FKD11" s="73"/>
      <c r="FKE11" s="73"/>
      <c r="FKF11" s="73"/>
      <c r="FKG11" s="73"/>
      <c r="FKH11" s="73"/>
      <c r="FKI11" s="73"/>
      <c r="FKJ11" s="73"/>
      <c r="FKK11" s="73"/>
      <c r="FKL11" s="73"/>
      <c r="FKM11" s="73"/>
      <c r="FKN11" s="73"/>
      <c r="FKO11" s="73"/>
      <c r="FKP11" s="73"/>
      <c r="FKQ11" s="73"/>
      <c r="FKR11" s="73"/>
      <c r="FKS11" s="73"/>
      <c r="FKT11" s="73"/>
      <c r="FKU11" s="73"/>
      <c r="FKV11" s="73"/>
      <c r="FKW11" s="73"/>
      <c r="FKX11" s="73"/>
      <c r="FKY11" s="73"/>
      <c r="FKZ11" s="73"/>
      <c r="FLA11" s="73"/>
      <c r="FLB11" s="73"/>
      <c r="FLC11" s="73"/>
      <c r="FLD11" s="73"/>
      <c r="FLE11" s="73"/>
      <c r="FLF11" s="73"/>
      <c r="FLG11" s="73"/>
      <c r="FLH11" s="73"/>
      <c r="FLI11" s="73"/>
      <c r="FLJ11" s="73"/>
      <c r="FLK11" s="73"/>
      <c r="FLL11" s="73"/>
      <c r="FLM11" s="73"/>
      <c r="FLN11" s="73"/>
      <c r="FLO11" s="73"/>
      <c r="FLP11" s="73"/>
      <c r="FLQ11" s="73"/>
      <c r="FLR11" s="73"/>
      <c r="FLS11" s="73"/>
      <c r="FLT11" s="73"/>
      <c r="FLU11" s="73"/>
      <c r="FLV11" s="73"/>
      <c r="FLW11" s="73"/>
      <c r="FLX11" s="73"/>
      <c r="FLY11" s="73"/>
      <c r="FLZ11" s="73"/>
      <c r="FMA11" s="73"/>
      <c r="FMB11" s="73"/>
      <c r="FMC11" s="73"/>
      <c r="FMD11" s="73"/>
      <c r="FME11" s="73"/>
      <c r="FMF11" s="73"/>
      <c r="FMG11" s="73"/>
      <c r="FMH11" s="73"/>
      <c r="FMI11" s="73"/>
      <c r="FMJ11" s="73"/>
      <c r="FMK11" s="73"/>
      <c r="FML11" s="73"/>
      <c r="FMM11" s="73"/>
      <c r="FMN11" s="73"/>
      <c r="FMO11" s="73"/>
      <c r="FMP11" s="73"/>
      <c r="FMQ11" s="73"/>
      <c r="FMR11" s="73"/>
      <c r="FMS11" s="73"/>
      <c r="FMT11" s="73"/>
      <c r="FMU11" s="73"/>
      <c r="FMV11" s="73"/>
      <c r="FMW11" s="73"/>
      <c r="FMX11" s="73"/>
      <c r="FMY11" s="73"/>
      <c r="FMZ11" s="73"/>
      <c r="FNA11" s="73"/>
      <c r="FNB11" s="73"/>
      <c r="FNC11" s="73"/>
      <c r="FND11" s="73"/>
      <c r="FNE11" s="73"/>
      <c r="FNF11" s="73"/>
      <c r="FNG11" s="73"/>
      <c r="FNH11" s="73"/>
      <c r="FNI11" s="73"/>
      <c r="FNJ11" s="73"/>
      <c r="FNK11" s="73"/>
      <c r="FNL11" s="73"/>
      <c r="FNM11" s="73"/>
      <c r="FNN11" s="73"/>
      <c r="FNO11" s="73"/>
      <c r="FNP11" s="73"/>
      <c r="FNQ11" s="73"/>
      <c r="FNR11" s="73"/>
      <c r="FNS11" s="73"/>
      <c r="FNT11" s="73"/>
      <c r="FNU11" s="73"/>
      <c r="FNV11" s="73"/>
      <c r="FNW11" s="73"/>
      <c r="FNX11" s="73"/>
      <c r="FNY11" s="73"/>
      <c r="FNZ11" s="73"/>
      <c r="FOA11" s="73"/>
      <c r="FOB11" s="73"/>
      <c r="FOC11" s="73"/>
      <c r="FOD11" s="73"/>
      <c r="FOE11" s="73"/>
      <c r="FOF11" s="73"/>
      <c r="FOG11" s="73"/>
      <c r="FOH11" s="73"/>
      <c r="FOI11" s="73"/>
      <c r="FOJ11" s="73"/>
      <c r="FOK11" s="73"/>
      <c r="FOL11" s="73"/>
      <c r="FOM11" s="73"/>
      <c r="FON11" s="73"/>
      <c r="FOO11" s="73"/>
      <c r="FOP11" s="73"/>
      <c r="FOQ11" s="73"/>
      <c r="FOR11" s="73"/>
      <c r="FOS11" s="73"/>
      <c r="FOT11" s="73"/>
      <c r="FOU11" s="73"/>
      <c r="FOV11" s="73"/>
      <c r="FOW11" s="73"/>
      <c r="FOX11" s="73"/>
      <c r="FOY11" s="73"/>
      <c r="FOZ11" s="73"/>
      <c r="FPA11" s="73"/>
      <c r="FPB11" s="73"/>
      <c r="FPC11" s="73"/>
      <c r="FPD11" s="73"/>
      <c r="FPE11" s="73"/>
      <c r="FPF11" s="73"/>
      <c r="FPG11" s="73"/>
      <c r="FPH11" s="73"/>
      <c r="FPI11" s="73"/>
      <c r="FPJ11" s="73"/>
      <c r="FPK11" s="73"/>
      <c r="FPL11" s="73"/>
      <c r="FPM11" s="73"/>
      <c r="FPN11" s="73"/>
      <c r="FPO11" s="73"/>
      <c r="FPP11" s="73"/>
      <c r="FPQ11" s="73"/>
      <c r="FPR11" s="73"/>
      <c r="FPS11" s="73"/>
      <c r="FPT11" s="73"/>
      <c r="FPU11" s="73"/>
      <c r="FPV11" s="73"/>
      <c r="FPW11" s="73"/>
      <c r="FPX11" s="73"/>
      <c r="FPY11" s="73"/>
      <c r="FPZ11" s="73"/>
      <c r="FQA11" s="73"/>
      <c r="FQB11" s="73"/>
      <c r="FQC11" s="73"/>
      <c r="FQD11" s="73"/>
      <c r="FQE11" s="73"/>
      <c r="FQF11" s="73"/>
      <c r="FQG11" s="73"/>
      <c r="FQH11" s="73"/>
      <c r="FQI11" s="73"/>
      <c r="FQJ11" s="73"/>
      <c r="FQK11" s="73"/>
      <c r="FQL11" s="73"/>
      <c r="FQM11" s="73"/>
      <c r="FQN11" s="73"/>
      <c r="FQO11" s="73"/>
      <c r="FQP11" s="73"/>
      <c r="FQQ11" s="73"/>
      <c r="FQR11" s="73"/>
      <c r="FQS11" s="73"/>
      <c r="FQT11" s="73"/>
      <c r="FQU11" s="73"/>
      <c r="FQV11" s="73"/>
      <c r="FQW11" s="73"/>
      <c r="FQX11" s="73"/>
      <c r="FQY11" s="73"/>
      <c r="FQZ11" s="73"/>
      <c r="FRA11" s="73"/>
      <c r="FRB11" s="73"/>
      <c r="FRC11" s="73"/>
      <c r="FRD11" s="73"/>
      <c r="FRE11" s="73"/>
      <c r="FRF11" s="73"/>
      <c r="FRG11" s="73"/>
      <c r="FRH11" s="73"/>
      <c r="FRI11" s="73"/>
      <c r="FRJ11" s="73"/>
      <c r="FRK11" s="73"/>
      <c r="FRL11" s="73"/>
      <c r="FRM11" s="73"/>
      <c r="FRN11" s="73"/>
      <c r="FRO11" s="73"/>
      <c r="FRP11" s="73"/>
      <c r="FRQ11" s="73"/>
      <c r="FRR11" s="73"/>
      <c r="FRS11" s="73"/>
      <c r="FRT11" s="73"/>
      <c r="FRU11" s="73"/>
      <c r="FRV11" s="73"/>
      <c r="FRW11" s="73"/>
      <c r="FRX11" s="73"/>
      <c r="FRY11" s="73"/>
      <c r="FRZ11" s="73"/>
      <c r="FSA11" s="73"/>
      <c r="FSB11" s="73"/>
      <c r="FSC11" s="73"/>
      <c r="FSD11" s="73"/>
      <c r="FSE11" s="73"/>
      <c r="FSF11" s="73"/>
      <c r="FSG11" s="73"/>
      <c r="FSH11" s="73"/>
      <c r="FSI11" s="73"/>
      <c r="FSJ11" s="73"/>
      <c r="FSK11" s="73"/>
      <c r="FSL11" s="73"/>
      <c r="FSM11" s="73"/>
      <c r="FSN11" s="73"/>
      <c r="FSO11" s="73"/>
      <c r="FSP11" s="73"/>
      <c r="FSQ11" s="73"/>
      <c r="FSR11" s="73"/>
      <c r="FSS11" s="73"/>
      <c r="FST11" s="73"/>
      <c r="FSU11" s="73"/>
      <c r="FSV11" s="73"/>
      <c r="FSW11" s="73"/>
      <c r="FSX11" s="73"/>
      <c r="FSY11" s="73"/>
      <c r="FSZ11" s="73"/>
      <c r="FTA11" s="73"/>
      <c r="FTB11" s="73"/>
      <c r="FTC11" s="73"/>
      <c r="FTD11" s="73"/>
      <c r="FTE11" s="73"/>
      <c r="FTF11" s="73"/>
      <c r="FTG11" s="73"/>
      <c r="FTH11" s="73"/>
      <c r="FTI11" s="73"/>
      <c r="FTJ11" s="73"/>
      <c r="FTK11" s="73"/>
      <c r="FTL11" s="73"/>
      <c r="FTM11" s="73"/>
      <c r="FTN11" s="73"/>
      <c r="FTO11" s="73"/>
      <c r="FTP11" s="73"/>
      <c r="FTQ11" s="73"/>
      <c r="FTR11" s="73"/>
      <c r="FTS11" s="73"/>
      <c r="FTT11" s="73"/>
      <c r="FTU11" s="73"/>
      <c r="FTV11" s="73"/>
      <c r="FTW11" s="73"/>
      <c r="FTX11" s="73"/>
      <c r="FTY11" s="73"/>
      <c r="FTZ11" s="73"/>
      <c r="FUA11" s="73"/>
      <c r="FUB11" s="73"/>
      <c r="FUC11" s="73"/>
      <c r="FUD11" s="73"/>
      <c r="FUE11" s="73"/>
      <c r="FUF11" s="73"/>
      <c r="FUG11" s="73"/>
      <c r="FUH11" s="73"/>
      <c r="FUI11" s="73"/>
      <c r="FUJ11" s="73"/>
      <c r="FUK11" s="73"/>
      <c r="FUL11" s="73"/>
      <c r="FUM11" s="73"/>
      <c r="FUN11" s="73"/>
      <c r="FUO11" s="73"/>
      <c r="FUP11" s="73"/>
      <c r="FUQ11" s="73"/>
      <c r="FUR11" s="73"/>
      <c r="FUS11" s="73"/>
      <c r="FUT11" s="73"/>
      <c r="FUU11" s="73"/>
      <c r="FUV11" s="73"/>
      <c r="FUW11" s="73"/>
      <c r="FUX11" s="73"/>
      <c r="FUY11" s="73"/>
      <c r="FUZ11" s="73"/>
      <c r="FVA11" s="73"/>
      <c r="FVB11" s="73"/>
      <c r="FVC11" s="73"/>
      <c r="FVD11" s="73"/>
      <c r="FVE11" s="73"/>
      <c r="FVF11" s="73"/>
      <c r="FVG11" s="73"/>
      <c r="FVH11" s="73"/>
      <c r="FVI11" s="73"/>
      <c r="FVJ11" s="73"/>
      <c r="FVK11" s="73"/>
      <c r="FVL11" s="73"/>
      <c r="FVM11" s="73"/>
      <c r="FVN11" s="73"/>
      <c r="FVO11" s="73"/>
      <c r="FVP11" s="73"/>
      <c r="FVQ11" s="73"/>
      <c r="FVR11" s="73"/>
      <c r="FVS11" s="73"/>
      <c r="FVT11" s="73"/>
      <c r="FVU11" s="73"/>
      <c r="FVV11" s="73"/>
      <c r="FVW11" s="73"/>
      <c r="FVX11" s="73"/>
      <c r="FVY11" s="73"/>
      <c r="FVZ11" s="73"/>
      <c r="FWA11" s="73"/>
      <c r="FWB11" s="73"/>
      <c r="FWC11" s="73"/>
      <c r="FWD11" s="73"/>
      <c r="FWE11" s="73"/>
      <c r="FWF11" s="73"/>
      <c r="FWG11" s="73"/>
      <c r="FWH11" s="73"/>
      <c r="FWI11" s="73"/>
      <c r="FWJ11" s="73"/>
      <c r="FWK11" s="73"/>
      <c r="FWL11" s="73"/>
      <c r="FWM11" s="73"/>
      <c r="FWN11" s="73"/>
      <c r="FWO11" s="73"/>
      <c r="FWP11" s="73"/>
      <c r="FWQ11" s="73"/>
      <c r="FWR11" s="73"/>
      <c r="FWS11" s="73"/>
      <c r="FWT11" s="73"/>
      <c r="FWU11" s="73"/>
      <c r="FWV11" s="73"/>
      <c r="FWW11" s="73"/>
      <c r="FWX11" s="73"/>
      <c r="FWY11" s="73"/>
      <c r="FWZ11" s="73"/>
      <c r="FXA11" s="73"/>
      <c r="FXB11" s="73"/>
      <c r="FXC11" s="73"/>
      <c r="FXD11" s="73"/>
      <c r="FXE11" s="73"/>
      <c r="FXF11" s="73"/>
      <c r="FXG11" s="73"/>
      <c r="FXH11" s="73"/>
      <c r="FXI11" s="73"/>
      <c r="FXJ11" s="73"/>
      <c r="FXK11" s="73"/>
      <c r="FXL11" s="73"/>
      <c r="FXM11" s="73"/>
      <c r="FXN11" s="73"/>
      <c r="FXO11" s="73"/>
      <c r="FXP11" s="73"/>
      <c r="FXQ11" s="73"/>
      <c r="FXR11" s="73"/>
      <c r="FXS11" s="73"/>
      <c r="FXT11" s="73"/>
      <c r="FXU11" s="73"/>
      <c r="FXV11" s="73"/>
      <c r="FXW11" s="73"/>
      <c r="FXX11" s="73"/>
      <c r="FXY11" s="73"/>
      <c r="FXZ11" s="73"/>
      <c r="FYA11" s="73"/>
      <c r="FYB11" s="73"/>
      <c r="FYC11" s="73"/>
      <c r="FYD11" s="73"/>
      <c r="FYE11" s="73"/>
      <c r="FYF11" s="73"/>
      <c r="FYG11" s="73"/>
      <c r="FYH11" s="73"/>
      <c r="FYI11" s="73"/>
      <c r="FYJ11" s="73"/>
      <c r="FYK11" s="73"/>
      <c r="FYL11" s="73"/>
      <c r="FYM11" s="73"/>
      <c r="FYN11" s="73"/>
      <c r="FYO11" s="73"/>
      <c r="FYP11" s="73"/>
      <c r="FYQ11" s="73"/>
      <c r="FYR11" s="73"/>
      <c r="FYS11" s="73"/>
      <c r="FYT11" s="73"/>
      <c r="FYU11" s="73"/>
      <c r="FYV11" s="73"/>
      <c r="FYW11" s="73"/>
      <c r="FYX11" s="73"/>
      <c r="FYY11" s="73"/>
      <c r="FYZ11" s="73"/>
      <c r="FZA11" s="73"/>
      <c r="FZB11" s="73"/>
      <c r="FZC11" s="73"/>
      <c r="FZD11" s="73"/>
      <c r="FZE11" s="73"/>
      <c r="FZF11" s="73"/>
      <c r="FZG11" s="73"/>
      <c r="FZH11" s="73"/>
      <c r="FZI11" s="73"/>
      <c r="FZJ11" s="73"/>
      <c r="FZK11" s="73"/>
      <c r="FZL11" s="73"/>
      <c r="FZM11" s="73"/>
      <c r="FZN11" s="73"/>
      <c r="FZO11" s="73"/>
      <c r="FZP11" s="73"/>
      <c r="FZQ11" s="73"/>
      <c r="FZR11" s="73"/>
      <c r="FZS11" s="73"/>
      <c r="FZT11" s="73"/>
      <c r="FZU11" s="73"/>
      <c r="FZV11" s="73"/>
      <c r="FZW11" s="73"/>
      <c r="FZX11" s="73"/>
      <c r="FZY11" s="73"/>
      <c r="FZZ11" s="73"/>
      <c r="GAA11" s="73"/>
      <c r="GAB11" s="73"/>
      <c r="GAC11" s="73"/>
      <c r="GAD11" s="73"/>
      <c r="GAE11" s="73"/>
      <c r="GAF11" s="73"/>
      <c r="GAG11" s="73"/>
      <c r="GAH11" s="73"/>
      <c r="GAI11" s="73"/>
      <c r="GAJ11" s="73"/>
      <c r="GAK11" s="73"/>
      <c r="GAL11" s="73"/>
      <c r="GAM11" s="73"/>
      <c r="GAN11" s="73"/>
      <c r="GAO11" s="73"/>
      <c r="GAP11" s="73"/>
      <c r="GAQ11" s="73"/>
      <c r="GAR11" s="73"/>
      <c r="GAS11" s="73"/>
      <c r="GAT11" s="73"/>
      <c r="GAU11" s="73"/>
      <c r="GAV11" s="73"/>
      <c r="GAW11" s="73"/>
      <c r="GAX11" s="73"/>
      <c r="GAY11" s="73"/>
      <c r="GAZ11" s="73"/>
      <c r="GBA11" s="73"/>
      <c r="GBB11" s="73"/>
      <c r="GBC11" s="73"/>
      <c r="GBD11" s="73"/>
      <c r="GBE11" s="73"/>
      <c r="GBF11" s="73"/>
      <c r="GBG11" s="73"/>
      <c r="GBH11" s="73"/>
      <c r="GBI11" s="73"/>
      <c r="GBJ11" s="73"/>
      <c r="GBK11" s="73"/>
      <c r="GBL11" s="73"/>
      <c r="GBM11" s="73"/>
      <c r="GBN11" s="73"/>
      <c r="GBO11" s="73"/>
      <c r="GBP11" s="73"/>
      <c r="GBQ11" s="73"/>
      <c r="GBR11" s="73"/>
      <c r="GBS11" s="73"/>
      <c r="GBT11" s="73"/>
      <c r="GBU11" s="73"/>
      <c r="GBV11" s="73"/>
      <c r="GBW11" s="73"/>
      <c r="GBX11" s="73"/>
      <c r="GBY11" s="73"/>
      <c r="GBZ11" s="73"/>
      <c r="GCA11" s="73"/>
      <c r="GCB11" s="73"/>
      <c r="GCC11" s="73"/>
      <c r="GCD11" s="73"/>
      <c r="GCE11" s="73"/>
      <c r="GCF11" s="73"/>
      <c r="GCG11" s="73"/>
      <c r="GCH11" s="73"/>
      <c r="GCI11" s="73"/>
      <c r="GCJ11" s="73"/>
      <c r="GCK11" s="73"/>
      <c r="GCL11" s="73"/>
      <c r="GCM11" s="73"/>
      <c r="GCN11" s="73"/>
      <c r="GCO11" s="73"/>
      <c r="GCP11" s="73"/>
      <c r="GCQ11" s="73"/>
      <c r="GCR11" s="73"/>
      <c r="GCS11" s="73"/>
      <c r="GCT11" s="73"/>
      <c r="GCU11" s="73"/>
      <c r="GCV11" s="73"/>
      <c r="GCW11" s="73"/>
      <c r="GCX11" s="73"/>
      <c r="GCY11" s="73"/>
      <c r="GCZ11" s="73"/>
      <c r="GDA11" s="73"/>
      <c r="GDB11" s="73"/>
      <c r="GDC11" s="73"/>
      <c r="GDD11" s="73"/>
      <c r="GDE11" s="73"/>
      <c r="GDF11" s="73"/>
      <c r="GDG11" s="73"/>
      <c r="GDH11" s="73"/>
      <c r="GDI11" s="73"/>
      <c r="GDJ11" s="73"/>
      <c r="GDK11" s="73"/>
      <c r="GDL11" s="73"/>
      <c r="GDM11" s="73"/>
      <c r="GDN11" s="73"/>
      <c r="GDO11" s="73"/>
      <c r="GDP11" s="73"/>
      <c r="GDQ11" s="73"/>
      <c r="GDR11" s="73"/>
      <c r="GDS11" s="73"/>
      <c r="GDT11" s="73"/>
      <c r="GDU11" s="73"/>
      <c r="GDV11" s="73"/>
      <c r="GDW11" s="73"/>
      <c r="GDX11" s="73"/>
      <c r="GDY11" s="73"/>
      <c r="GDZ11" s="73"/>
      <c r="GEA11" s="73"/>
      <c r="GEB11" s="73"/>
      <c r="GEC11" s="73"/>
      <c r="GED11" s="73"/>
      <c r="GEE11" s="73"/>
      <c r="GEF11" s="73"/>
      <c r="GEG11" s="73"/>
      <c r="GEH11" s="73"/>
      <c r="GEI11" s="73"/>
      <c r="GEJ11" s="73"/>
      <c r="GEK11" s="73"/>
      <c r="GEL11" s="73"/>
      <c r="GEM11" s="73"/>
      <c r="GEN11" s="73"/>
      <c r="GEO11" s="73"/>
      <c r="GEP11" s="73"/>
      <c r="GEQ11" s="73"/>
      <c r="GER11" s="73"/>
      <c r="GES11" s="73"/>
      <c r="GET11" s="73"/>
      <c r="GEU11" s="73"/>
      <c r="GEV11" s="73"/>
      <c r="GEW11" s="73"/>
      <c r="GEX11" s="73"/>
      <c r="GEY11" s="73"/>
      <c r="GEZ11" s="73"/>
      <c r="GFA11" s="73"/>
      <c r="GFB11" s="73"/>
      <c r="GFC11" s="73"/>
      <c r="GFD11" s="73"/>
      <c r="GFE11" s="73"/>
      <c r="GFF11" s="73"/>
      <c r="GFG11" s="73"/>
      <c r="GFH11" s="73"/>
      <c r="GFI11" s="73"/>
      <c r="GFJ11" s="73"/>
      <c r="GFK11" s="73"/>
      <c r="GFL11" s="73"/>
      <c r="GFM11" s="73"/>
      <c r="GFN11" s="73"/>
      <c r="GFO11" s="73"/>
      <c r="GFP11" s="73"/>
      <c r="GFQ11" s="73"/>
      <c r="GFR11" s="73"/>
      <c r="GFS11" s="73"/>
      <c r="GFT11" s="73"/>
      <c r="GFU11" s="73"/>
      <c r="GFV11" s="73"/>
      <c r="GFW11" s="73"/>
      <c r="GFX11" s="73"/>
      <c r="GFY11" s="73"/>
      <c r="GFZ11" s="73"/>
      <c r="GGA11" s="73"/>
      <c r="GGB11" s="73"/>
      <c r="GGC11" s="73"/>
      <c r="GGD11" s="73"/>
      <c r="GGE11" s="73"/>
      <c r="GGF11" s="73"/>
      <c r="GGG11" s="73"/>
      <c r="GGH11" s="73"/>
      <c r="GGI11" s="73"/>
      <c r="GGJ11" s="73"/>
      <c r="GGK11" s="73"/>
      <c r="GGL11" s="73"/>
      <c r="GGM11" s="73"/>
      <c r="GGN11" s="73"/>
      <c r="GGO11" s="73"/>
      <c r="GGP11" s="73"/>
      <c r="GGQ11" s="73"/>
      <c r="GGR11" s="73"/>
      <c r="GGS11" s="73"/>
      <c r="GGT11" s="73"/>
      <c r="GGU11" s="73"/>
      <c r="GGV11" s="73"/>
      <c r="GGW11" s="73"/>
      <c r="GGX11" s="73"/>
      <c r="GGY11" s="73"/>
      <c r="GGZ11" s="73"/>
      <c r="GHA11" s="73"/>
      <c r="GHB11" s="73"/>
      <c r="GHC11" s="73"/>
      <c r="GHD11" s="73"/>
      <c r="GHE11" s="73"/>
      <c r="GHF11" s="73"/>
      <c r="GHG11" s="73"/>
      <c r="GHH11" s="73"/>
      <c r="GHI11" s="73"/>
      <c r="GHJ11" s="73"/>
      <c r="GHK11" s="73"/>
      <c r="GHL11" s="73"/>
      <c r="GHM11" s="73"/>
      <c r="GHN11" s="73"/>
      <c r="GHO11" s="73"/>
      <c r="GHP11" s="73"/>
      <c r="GHQ11" s="73"/>
      <c r="GHR11" s="73"/>
      <c r="GHS11" s="73"/>
      <c r="GHT11" s="73"/>
      <c r="GHU11" s="73"/>
      <c r="GHV11" s="73"/>
      <c r="GHW11" s="73"/>
      <c r="GHX11" s="73"/>
      <c r="GHY11" s="73"/>
      <c r="GHZ11" s="73"/>
      <c r="GIA11" s="73"/>
      <c r="GIB11" s="73"/>
      <c r="GIC11" s="73"/>
      <c r="GID11" s="73"/>
      <c r="GIE11" s="73"/>
      <c r="GIF11" s="73"/>
      <c r="GIG11" s="73"/>
      <c r="GIH11" s="73"/>
      <c r="GII11" s="73"/>
      <c r="GIJ11" s="73"/>
      <c r="GIK11" s="73"/>
      <c r="GIL11" s="73"/>
      <c r="GIM11" s="73"/>
      <c r="GIN11" s="73"/>
      <c r="GIO11" s="73"/>
      <c r="GIP11" s="73"/>
      <c r="GIQ11" s="73"/>
      <c r="GIR11" s="73"/>
      <c r="GIS11" s="73"/>
      <c r="GIT11" s="73"/>
      <c r="GIU11" s="73"/>
      <c r="GIV11" s="73"/>
      <c r="GIW11" s="73"/>
      <c r="GIX11" s="73"/>
      <c r="GIY11" s="73"/>
      <c r="GIZ11" s="73"/>
      <c r="GJA11" s="73"/>
      <c r="GJB11" s="73"/>
      <c r="GJC11" s="73"/>
      <c r="GJD11" s="73"/>
      <c r="GJE11" s="73"/>
      <c r="GJF11" s="73"/>
      <c r="GJG11" s="73"/>
      <c r="GJH11" s="73"/>
      <c r="GJI11" s="73"/>
      <c r="GJJ11" s="73"/>
      <c r="GJK11" s="73"/>
      <c r="GJL11" s="73"/>
      <c r="GJM11" s="73"/>
      <c r="GJN11" s="73"/>
      <c r="GJO11" s="73"/>
      <c r="GJP11" s="73"/>
      <c r="GJQ11" s="73"/>
      <c r="GJR11" s="73"/>
      <c r="GJS11" s="73"/>
      <c r="GJT11" s="73"/>
      <c r="GJU11" s="73"/>
      <c r="GJV11" s="73"/>
      <c r="GJW11" s="73"/>
      <c r="GJX11" s="73"/>
      <c r="GJY11" s="73"/>
      <c r="GJZ11" s="73"/>
      <c r="GKA11" s="73"/>
      <c r="GKB11" s="73"/>
      <c r="GKC11" s="73"/>
      <c r="GKD11" s="73"/>
      <c r="GKE11" s="73"/>
      <c r="GKF11" s="73"/>
      <c r="GKG11" s="73"/>
      <c r="GKH11" s="73"/>
      <c r="GKI11" s="73"/>
      <c r="GKJ11" s="73"/>
      <c r="GKK11" s="73"/>
      <c r="GKL11" s="73"/>
      <c r="GKM11" s="73"/>
      <c r="GKN11" s="73"/>
      <c r="GKO11" s="73"/>
      <c r="GKP11" s="73"/>
      <c r="GKQ11" s="73"/>
      <c r="GKR11" s="73"/>
      <c r="GKS11" s="73"/>
      <c r="GKT11" s="73"/>
      <c r="GKU11" s="73"/>
      <c r="GKV11" s="73"/>
      <c r="GKW11" s="73"/>
      <c r="GKX11" s="73"/>
      <c r="GKY11" s="73"/>
      <c r="GKZ11" s="73"/>
      <c r="GLA11" s="73"/>
      <c r="GLB11" s="73"/>
      <c r="GLC11" s="73"/>
      <c r="GLD11" s="73"/>
      <c r="GLE11" s="73"/>
      <c r="GLF11" s="73"/>
      <c r="GLG11" s="73"/>
      <c r="GLH11" s="73"/>
      <c r="GLI11" s="73"/>
      <c r="GLJ11" s="73"/>
      <c r="GLK11" s="73"/>
      <c r="GLL11" s="73"/>
      <c r="GLM11" s="73"/>
      <c r="GLN11" s="73"/>
      <c r="GLO11" s="73"/>
      <c r="GLP11" s="73"/>
      <c r="GLQ11" s="73"/>
      <c r="GLR11" s="73"/>
      <c r="GLS11" s="73"/>
      <c r="GLT11" s="73"/>
      <c r="GLU11" s="73"/>
      <c r="GLV11" s="73"/>
      <c r="GLW11" s="73"/>
      <c r="GLX11" s="73"/>
      <c r="GLY11" s="73"/>
      <c r="GLZ11" s="73"/>
      <c r="GMA11" s="73"/>
      <c r="GMB11" s="73"/>
      <c r="GMC11" s="73"/>
      <c r="GMD11" s="73"/>
      <c r="GME11" s="73"/>
      <c r="GMF11" s="73"/>
      <c r="GMG11" s="73"/>
      <c r="GMH11" s="73"/>
      <c r="GMI11" s="73"/>
      <c r="GMJ11" s="73"/>
      <c r="GMK11" s="73"/>
      <c r="GML11" s="73"/>
      <c r="GMM11" s="73"/>
      <c r="GMN11" s="73"/>
      <c r="GMO11" s="73"/>
      <c r="GMP11" s="73"/>
      <c r="GMQ11" s="73"/>
      <c r="GMR11" s="73"/>
      <c r="GMS11" s="73"/>
      <c r="GMT11" s="73"/>
      <c r="GMU11" s="73"/>
      <c r="GMV11" s="73"/>
      <c r="GMW11" s="73"/>
      <c r="GMX11" s="73"/>
      <c r="GMY11" s="73"/>
      <c r="GMZ11" s="73"/>
      <c r="GNA11" s="73"/>
      <c r="GNB11" s="73"/>
      <c r="GNC11" s="73"/>
      <c r="GND11" s="73"/>
      <c r="GNE11" s="73"/>
      <c r="GNF11" s="73"/>
      <c r="GNG11" s="73"/>
      <c r="GNH11" s="73"/>
      <c r="GNI11" s="73"/>
      <c r="GNJ11" s="73"/>
      <c r="GNK11" s="73"/>
      <c r="GNL11" s="73"/>
      <c r="GNM11" s="73"/>
      <c r="GNN11" s="73"/>
      <c r="GNO11" s="73"/>
      <c r="GNP11" s="73"/>
      <c r="GNQ11" s="73"/>
      <c r="GNR11" s="73"/>
      <c r="GNS11" s="73"/>
      <c r="GNT11" s="73"/>
      <c r="GNU11" s="73"/>
      <c r="GNV11" s="73"/>
      <c r="GNW11" s="73"/>
      <c r="GNX11" s="73"/>
      <c r="GNY11" s="73"/>
      <c r="GNZ11" s="73"/>
      <c r="GOA11" s="73"/>
      <c r="GOB11" s="73"/>
      <c r="GOC11" s="73"/>
      <c r="GOD11" s="73"/>
      <c r="GOE11" s="73"/>
      <c r="GOF11" s="73"/>
      <c r="GOG11" s="73"/>
      <c r="GOH11" s="73"/>
      <c r="GOI11" s="73"/>
      <c r="GOJ11" s="73"/>
      <c r="GOK11" s="73"/>
      <c r="GOL11" s="73"/>
      <c r="GOM11" s="73"/>
      <c r="GON11" s="73"/>
      <c r="GOO11" s="73"/>
      <c r="GOP11" s="73"/>
      <c r="GOQ11" s="73"/>
      <c r="GOR11" s="73"/>
      <c r="GOS11" s="73"/>
      <c r="GOT11" s="73"/>
      <c r="GOU11" s="73"/>
      <c r="GOV11" s="73"/>
      <c r="GOW11" s="73"/>
      <c r="GOX11" s="73"/>
      <c r="GOY11" s="73"/>
      <c r="GOZ11" s="73"/>
      <c r="GPA11" s="73"/>
      <c r="GPB11" s="73"/>
      <c r="GPC11" s="73"/>
      <c r="GPD11" s="73"/>
      <c r="GPE11" s="73"/>
      <c r="GPF11" s="73"/>
      <c r="GPG11" s="73"/>
      <c r="GPH11" s="73"/>
      <c r="GPI11" s="73"/>
      <c r="GPJ11" s="73"/>
      <c r="GPK11" s="73"/>
      <c r="GPL11" s="73"/>
      <c r="GPM11" s="73"/>
      <c r="GPN11" s="73"/>
      <c r="GPO11" s="73"/>
      <c r="GPP11" s="73"/>
      <c r="GPQ11" s="73"/>
      <c r="GPR11" s="73"/>
      <c r="GPS11" s="73"/>
      <c r="GPT11" s="73"/>
      <c r="GPU11" s="73"/>
      <c r="GPV11" s="73"/>
      <c r="GPW11" s="73"/>
      <c r="GPX11" s="73"/>
      <c r="GPY11" s="73"/>
      <c r="GPZ11" s="73"/>
      <c r="GQA11" s="73"/>
      <c r="GQB11" s="73"/>
      <c r="GQC11" s="73"/>
      <c r="GQD11" s="73"/>
      <c r="GQE11" s="73"/>
      <c r="GQF11" s="73"/>
      <c r="GQG11" s="73"/>
      <c r="GQH11" s="73"/>
      <c r="GQI11" s="73"/>
      <c r="GQJ11" s="73"/>
      <c r="GQK11" s="73"/>
      <c r="GQL11" s="73"/>
      <c r="GQM11" s="73"/>
      <c r="GQN11" s="73"/>
      <c r="GQO11" s="73"/>
      <c r="GQP11" s="73"/>
      <c r="GQQ11" s="73"/>
      <c r="GQR11" s="73"/>
      <c r="GQS11" s="73"/>
      <c r="GQT11" s="73"/>
      <c r="GQU11" s="73"/>
      <c r="GQV11" s="73"/>
      <c r="GQW11" s="73"/>
      <c r="GQX11" s="73"/>
      <c r="GQY11" s="73"/>
      <c r="GQZ11" s="73"/>
      <c r="GRA11" s="73"/>
      <c r="GRB11" s="73"/>
      <c r="GRC11" s="73"/>
      <c r="GRD11" s="73"/>
      <c r="GRE11" s="73"/>
      <c r="GRF11" s="73"/>
      <c r="GRG11" s="73"/>
      <c r="GRH11" s="73"/>
      <c r="GRI11" s="73"/>
      <c r="GRJ11" s="73"/>
      <c r="GRK11" s="73"/>
      <c r="GRL11" s="73"/>
      <c r="GRM11" s="73"/>
      <c r="GRN11" s="73"/>
      <c r="GRO11" s="73"/>
      <c r="GRP11" s="73"/>
      <c r="GRQ11" s="73"/>
      <c r="GRR11" s="73"/>
      <c r="GRS11" s="73"/>
      <c r="GRT11" s="73"/>
      <c r="GRU11" s="73"/>
      <c r="GRV11" s="73"/>
      <c r="GRW11" s="73"/>
      <c r="GRX11" s="73"/>
      <c r="GRY11" s="73"/>
      <c r="GRZ11" s="73"/>
      <c r="GSA11" s="73"/>
      <c r="GSB11" s="73"/>
      <c r="GSC11" s="73"/>
      <c r="GSD11" s="73"/>
      <c r="GSE11" s="73"/>
      <c r="GSF11" s="73"/>
      <c r="GSG11" s="73"/>
      <c r="GSH11" s="73"/>
      <c r="GSI11" s="73"/>
      <c r="GSJ11" s="73"/>
      <c r="GSK11" s="73"/>
      <c r="GSL11" s="73"/>
      <c r="GSM11" s="73"/>
      <c r="GSN11" s="73"/>
      <c r="GSO11" s="73"/>
      <c r="GSP11" s="73"/>
      <c r="GSQ11" s="73"/>
      <c r="GSR11" s="73"/>
      <c r="GSS11" s="73"/>
      <c r="GST11" s="73"/>
      <c r="GSU11" s="73"/>
      <c r="GSV11" s="73"/>
      <c r="GSW11" s="73"/>
      <c r="GSX11" s="73"/>
      <c r="GSY11" s="73"/>
      <c r="GSZ11" s="73"/>
      <c r="GTA11" s="73"/>
      <c r="GTB11" s="73"/>
      <c r="GTC11" s="73"/>
      <c r="GTD11" s="73"/>
      <c r="GTE11" s="73"/>
      <c r="GTF11" s="73"/>
      <c r="GTG11" s="73"/>
      <c r="GTH11" s="73"/>
      <c r="GTI11" s="73"/>
      <c r="GTJ11" s="73"/>
      <c r="GTK11" s="73"/>
      <c r="GTL11" s="73"/>
      <c r="GTM11" s="73"/>
      <c r="GTN11" s="73"/>
      <c r="GTO11" s="73"/>
      <c r="GTP11" s="73"/>
      <c r="GTQ11" s="73"/>
      <c r="GTR11" s="73"/>
      <c r="GTS11" s="73"/>
      <c r="GTT11" s="73"/>
      <c r="GTU11" s="73"/>
      <c r="GTV11" s="73"/>
      <c r="GTW11" s="73"/>
      <c r="GTX11" s="73"/>
      <c r="GTY11" s="73"/>
      <c r="GTZ11" s="73"/>
      <c r="GUA11" s="73"/>
      <c r="GUB11" s="73"/>
      <c r="GUC11" s="73"/>
      <c r="GUD11" s="73"/>
      <c r="GUE11" s="73"/>
      <c r="GUF11" s="73"/>
      <c r="GUG11" s="73"/>
      <c r="GUH11" s="73"/>
      <c r="GUI11" s="73"/>
      <c r="GUJ11" s="73"/>
      <c r="GUK11" s="73"/>
      <c r="GUL11" s="73"/>
      <c r="GUM11" s="73"/>
      <c r="GUN11" s="73"/>
      <c r="GUO11" s="73"/>
      <c r="GUP11" s="73"/>
      <c r="GUQ11" s="73"/>
      <c r="GUR11" s="73"/>
      <c r="GUS11" s="73"/>
      <c r="GUT11" s="73"/>
      <c r="GUU11" s="73"/>
      <c r="GUV11" s="73"/>
      <c r="GUW11" s="73"/>
      <c r="GUX11" s="73"/>
      <c r="GUY11" s="73"/>
      <c r="GUZ11" s="73"/>
      <c r="GVA11" s="73"/>
      <c r="GVB11" s="73"/>
      <c r="GVC11" s="73"/>
      <c r="GVD11" s="73"/>
      <c r="GVE11" s="73"/>
      <c r="GVF11" s="73"/>
      <c r="GVG11" s="73"/>
      <c r="GVH11" s="73"/>
      <c r="GVI11" s="73"/>
      <c r="GVJ11" s="73"/>
      <c r="GVK11" s="73"/>
      <c r="GVL11" s="73"/>
      <c r="GVM11" s="73"/>
      <c r="GVN11" s="73"/>
      <c r="GVO11" s="73"/>
      <c r="GVP11" s="73"/>
      <c r="GVQ11" s="73"/>
      <c r="GVR11" s="73"/>
      <c r="GVS11" s="73"/>
      <c r="GVT11" s="73"/>
      <c r="GVU11" s="73"/>
      <c r="GVV11" s="73"/>
      <c r="GVW11" s="73"/>
      <c r="GVX11" s="73"/>
      <c r="GVY11" s="73"/>
      <c r="GVZ11" s="73"/>
      <c r="GWA11" s="73"/>
      <c r="GWB11" s="73"/>
      <c r="GWC11" s="73"/>
      <c r="GWD11" s="73"/>
      <c r="GWE11" s="73"/>
      <c r="GWF11" s="73"/>
      <c r="GWG11" s="73"/>
      <c r="GWH11" s="73"/>
      <c r="GWI11" s="73"/>
      <c r="GWJ11" s="73"/>
      <c r="GWK11" s="73"/>
      <c r="GWL11" s="73"/>
      <c r="GWM11" s="73"/>
      <c r="GWN11" s="73"/>
      <c r="GWO11" s="73"/>
      <c r="GWP11" s="73"/>
      <c r="GWQ11" s="73"/>
      <c r="GWR11" s="73"/>
      <c r="GWS11" s="73"/>
      <c r="GWT11" s="73"/>
      <c r="GWU11" s="73"/>
      <c r="GWV11" s="73"/>
      <c r="GWW11" s="73"/>
      <c r="GWX11" s="73"/>
      <c r="GWY11" s="73"/>
      <c r="GWZ11" s="73"/>
      <c r="GXA11" s="73"/>
      <c r="GXB11" s="73"/>
      <c r="GXC11" s="73"/>
      <c r="GXD11" s="73"/>
      <c r="GXE11" s="73"/>
      <c r="GXF11" s="73"/>
      <c r="GXG11" s="73"/>
      <c r="GXH11" s="73"/>
      <c r="GXI11" s="73"/>
      <c r="GXJ11" s="73"/>
      <c r="GXK11" s="73"/>
      <c r="GXL11" s="73"/>
      <c r="GXM11" s="73"/>
      <c r="GXN11" s="73"/>
      <c r="GXO11" s="73"/>
      <c r="GXP11" s="73"/>
      <c r="GXQ11" s="73"/>
      <c r="GXR11" s="73"/>
      <c r="GXS11" s="73"/>
      <c r="GXT11" s="73"/>
      <c r="GXU11" s="73"/>
      <c r="GXV11" s="73"/>
      <c r="GXW11" s="73"/>
      <c r="GXX11" s="73"/>
      <c r="GXY11" s="73"/>
      <c r="GXZ11" s="73"/>
      <c r="GYA11" s="73"/>
      <c r="GYB11" s="73"/>
      <c r="GYC11" s="73"/>
      <c r="GYD11" s="73"/>
      <c r="GYE11" s="73"/>
      <c r="GYF11" s="73"/>
      <c r="GYG11" s="73"/>
      <c r="GYH11" s="73"/>
      <c r="GYI11" s="73"/>
      <c r="GYJ11" s="73"/>
      <c r="GYK11" s="73"/>
      <c r="GYL11" s="73"/>
      <c r="GYM11" s="73"/>
      <c r="GYN11" s="73"/>
      <c r="GYO11" s="73"/>
      <c r="GYP11" s="73"/>
      <c r="GYQ11" s="73"/>
      <c r="GYR11" s="73"/>
      <c r="GYS11" s="73"/>
      <c r="GYT11" s="73"/>
      <c r="GYU11" s="73"/>
      <c r="GYV11" s="73"/>
      <c r="GYW11" s="73"/>
      <c r="GYX11" s="73"/>
      <c r="GYY11" s="73"/>
      <c r="GYZ11" s="73"/>
      <c r="GZA11" s="73"/>
      <c r="GZB11" s="73"/>
      <c r="GZC11" s="73"/>
      <c r="GZD11" s="73"/>
      <c r="GZE11" s="73"/>
      <c r="GZF11" s="73"/>
      <c r="GZG11" s="73"/>
      <c r="GZH11" s="73"/>
      <c r="GZI11" s="73"/>
      <c r="GZJ11" s="73"/>
      <c r="GZK11" s="73"/>
      <c r="GZL11" s="73"/>
      <c r="GZM11" s="73"/>
      <c r="GZN11" s="73"/>
      <c r="GZO11" s="73"/>
      <c r="GZP11" s="73"/>
      <c r="GZQ11" s="73"/>
      <c r="GZR11" s="73"/>
      <c r="GZS11" s="73"/>
      <c r="GZT11" s="73"/>
      <c r="GZU11" s="73"/>
      <c r="GZV11" s="73"/>
      <c r="GZW11" s="73"/>
      <c r="GZX11" s="73"/>
      <c r="GZY11" s="73"/>
      <c r="GZZ11" s="73"/>
      <c r="HAA11" s="73"/>
      <c r="HAB11" s="73"/>
      <c r="HAC11" s="73"/>
      <c r="HAD11" s="73"/>
      <c r="HAE11" s="73"/>
      <c r="HAF11" s="73"/>
      <c r="HAG11" s="73"/>
      <c r="HAH11" s="73"/>
      <c r="HAI11" s="73"/>
      <c r="HAJ11" s="73"/>
      <c r="HAK11" s="73"/>
      <c r="HAL11" s="73"/>
      <c r="HAM11" s="73"/>
      <c r="HAN11" s="73"/>
      <c r="HAO11" s="73"/>
      <c r="HAP11" s="73"/>
      <c r="HAQ11" s="73"/>
      <c r="HAR11" s="73"/>
      <c r="HAS11" s="73"/>
      <c r="HAT11" s="73"/>
      <c r="HAU11" s="73"/>
      <c r="HAV11" s="73"/>
      <c r="HAW11" s="73"/>
      <c r="HAX11" s="73"/>
      <c r="HAY11" s="73"/>
      <c r="HAZ11" s="73"/>
      <c r="HBA11" s="73"/>
      <c r="HBB11" s="73"/>
      <c r="HBC11" s="73"/>
      <c r="HBD11" s="73"/>
      <c r="HBE11" s="73"/>
      <c r="HBF11" s="73"/>
      <c r="HBG11" s="73"/>
      <c r="HBH11" s="73"/>
      <c r="HBI11" s="73"/>
      <c r="HBJ11" s="73"/>
      <c r="HBK11" s="73"/>
      <c r="HBL11" s="73"/>
      <c r="HBM11" s="73"/>
      <c r="HBN11" s="73"/>
      <c r="HBO11" s="73"/>
      <c r="HBP11" s="73"/>
      <c r="HBQ11" s="73"/>
      <c r="HBR11" s="73"/>
      <c r="HBS11" s="73"/>
      <c r="HBT11" s="73"/>
      <c r="HBU11" s="73"/>
      <c r="HBV11" s="73"/>
      <c r="HBW11" s="73"/>
      <c r="HBX11" s="73"/>
      <c r="HBY11" s="73"/>
      <c r="HBZ11" s="73"/>
      <c r="HCA11" s="73"/>
      <c r="HCB11" s="73"/>
      <c r="HCC11" s="73"/>
      <c r="HCD11" s="73"/>
      <c r="HCE11" s="73"/>
      <c r="HCF11" s="73"/>
      <c r="HCG11" s="73"/>
      <c r="HCH11" s="73"/>
      <c r="HCI11" s="73"/>
      <c r="HCJ11" s="73"/>
      <c r="HCK11" s="73"/>
      <c r="HCL11" s="73"/>
      <c r="HCM11" s="73"/>
      <c r="HCN11" s="73"/>
      <c r="HCO11" s="73"/>
      <c r="HCP11" s="73"/>
      <c r="HCQ11" s="73"/>
      <c r="HCR11" s="73"/>
      <c r="HCS11" s="73"/>
      <c r="HCT11" s="73"/>
      <c r="HCU11" s="73"/>
      <c r="HCV11" s="73"/>
      <c r="HCW11" s="73"/>
      <c r="HCX11" s="73"/>
      <c r="HCY11" s="73"/>
      <c r="HCZ11" s="73"/>
      <c r="HDA11" s="73"/>
      <c r="HDB11" s="73"/>
      <c r="HDC11" s="73"/>
      <c r="HDD11" s="73"/>
      <c r="HDE11" s="73"/>
      <c r="HDF11" s="73"/>
      <c r="HDG11" s="73"/>
      <c r="HDH11" s="73"/>
      <c r="HDI11" s="73"/>
      <c r="HDJ11" s="73"/>
      <c r="HDK11" s="73"/>
      <c r="HDL11" s="73"/>
      <c r="HDM11" s="73"/>
      <c r="HDN11" s="73"/>
      <c r="HDO11" s="73"/>
      <c r="HDP11" s="73"/>
      <c r="HDQ11" s="73"/>
      <c r="HDR11" s="73"/>
      <c r="HDS11" s="73"/>
      <c r="HDT11" s="73"/>
      <c r="HDU11" s="73"/>
      <c r="HDV11" s="73"/>
      <c r="HDW11" s="73"/>
      <c r="HDX11" s="73"/>
      <c r="HDY11" s="73"/>
      <c r="HDZ11" s="73"/>
      <c r="HEA11" s="73"/>
      <c r="HEB11" s="73"/>
      <c r="HEC11" s="73"/>
      <c r="HED11" s="73"/>
      <c r="HEE11" s="73"/>
      <c r="HEF11" s="73"/>
      <c r="HEG11" s="73"/>
      <c r="HEH11" s="73"/>
      <c r="HEI11" s="73"/>
      <c r="HEJ11" s="73"/>
      <c r="HEK11" s="73"/>
      <c r="HEL11" s="73"/>
      <c r="HEM11" s="73"/>
      <c r="HEN11" s="73"/>
      <c r="HEO11" s="73"/>
      <c r="HEP11" s="73"/>
      <c r="HEQ11" s="73"/>
      <c r="HER11" s="73"/>
      <c r="HES11" s="73"/>
      <c r="HET11" s="73"/>
      <c r="HEU11" s="73"/>
      <c r="HEV11" s="73"/>
      <c r="HEW11" s="73"/>
      <c r="HEX11" s="73"/>
      <c r="HEY11" s="73"/>
      <c r="HEZ11" s="73"/>
      <c r="HFA11" s="73"/>
      <c r="HFB11" s="73"/>
      <c r="HFC11" s="73"/>
      <c r="HFD11" s="73"/>
      <c r="HFE11" s="73"/>
      <c r="HFF11" s="73"/>
      <c r="HFG11" s="73"/>
      <c r="HFH11" s="73"/>
      <c r="HFI11" s="73"/>
      <c r="HFJ11" s="73"/>
      <c r="HFK11" s="73"/>
      <c r="HFL11" s="73"/>
      <c r="HFM11" s="73"/>
      <c r="HFN11" s="73"/>
      <c r="HFO11" s="73"/>
      <c r="HFP11" s="73"/>
      <c r="HFQ11" s="73"/>
      <c r="HFR11" s="73"/>
      <c r="HFS11" s="73"/>
      <c r="HFT11" s="73"/>
      <c r="HFU11" s="73"/>
      <c r="HFV11" s="73"/>
      <c r="HFW11" s="73"/>
      <c r="HFX11" s="73"/>
      <c r="HFY11" s="73"/>
      <c r="HFZ11" s="73"/>
      <c r="HGA11" s="73"/>
      <c r="HGB11" s="73"/>
      <c r="HGC11" s="73"/>
      <c r="HGD11" s="73"/>
      <c r="HGE11" s="73"/>
      <c r="HGF11" s="73"/>
      <c r="HGG11" s="73"/>
      <c r="HGH11" s="73"/>
      <c r="HGI11" s="73"/>
      <c r="HGJ11" s="73"/>
      <c r="HGK11" s="73"/>
      <c r="HGL11" s="73"/>
      <c r="HGM11" s="73"/>
      <c r="HGN11" s="73"/>
      <c r="HGO11" s="73"/>
      <c r="HGP11" s="73"/>
      <c r="HGQ11" s="73"/>
      <c r="HGR11" s="73"/>
      <c r="HGS11" s="73"/>
      <c r="HGT11" s="73"/>
      <c r="HGU11" s="73"/>
      <c r="HGV11" s="73"/>
      <c r="HGW11" s="73"/>
      <c r="HGX11" s="73"/>
      <c r="HGY11" s="73"/>
      <c r="HGZ11" s="73"/>
      <c r="HHA11" s="73"/>
      <c r="HHB11" s="73"/>
      <c r="HHC11" s="73"/>
      <c r="HHD11" s="73"/>
      <c r="HHE11" s="73"/>
      <c r="HHF11" s="73"/>
      <c r="HHG11" s="73"/>
      <c r="HHH11" s="73"/>
      <c r="HHI11" s="73"/>
      <c r="HHJ11" s="73"/>
      <c r="HHK11" s="73"/>
      <c r="HHL11" s="73"/>
      <c r="HHM11" s="73"/>
      <c r="HHN11" s="73"/>
      <c r="HHO11" s="73"/>
      <c r="HHP11" s="73"/>
      <c r="HHQ11" s="73"/>
      <c r="HHR11" s="73"/>
      <c r="HHS11" s="73"/>
      <c r="HHT11" s="73"/>
      <c r="HHU11" s="73"/>
      <c r="HHV11" s="73"/>
      <c r="HHW11" s="73"/>
      <c r="HHX11" s="73"/>
      <c r="HHY11" s="73"/>
      <c r="HHZ11" s="73"/>
      <c r="HIA11" s="73"/>
      <c r="HIB11" s="73"/>
      <c r="HIC11" s="73"/>
      <c r="HID11" s="73"/>
      <c r="HIE11" s="73"/>
      <c r="HIF11" s="73"/>
      <c r="HIG11" s="73"/>
      <c r="HIH11" s="73"/>
      <c r="HII11" s="73"/>
      <c r="HIJ11" s="73"/>
      <c r="HIK11" s="73"/>
      <c r="HIL11" s="73"/>
      <c r="HIM11" s="73"/>
      <c r="HIN11" s="73"/>
      <c r="HIO11" s="73"/>
      <c r="HIP11" s="73"/>
      <c r="HIQ11" s="73"/>
      <c r="HIR11" s="73"/>
      <c r="HIS11" s="73"/>
      <c r="HIT11" s="73"/>
      <c r="HIU11" s="73"/>
      <c r="HIV11" s="73"/>
      <c r="HIW11" s="73"/>
      <c r="HIX11" s="73"/>
      <c r="HIY11" s="73"/>
      <c r="HIZ11" s="73"/>
      <c r="HJA11" s="73"/>
      <c r="HJB11" s="73"/>
      <c r="HJC11" s="73"/>
      <c r="HJD11" s="73"/>
      <c r="HJE11" s="73"/>
      <c r="HJF11" s="73"/>
      <c r="HJG11" s="73"/>
      <c r="HJH11" s="73"/>
      <c r="HJI11" s="73"/>
      <c r="HJJ11" s="73"/>
      <c r="HJK11" s="73"/>
      <c r="HJL11" s="73"/>
      <c r="HJM11" s="73"/>
      <c r="HJN11" s="73"/>
      <c r="HJO11" s="73"/>
      <c r="HJP11" s="73"/>
      <c r="HJQ11" s="73"/>
      <c r="HJR11" s="73"/>
      <c r="HJS11" s="73"/>
      <c r="HJT11" s="73"/>
      <c r="HJU11" s="73"/>
      <c r="HJV11" s="73"/>
      <c r="HJW11" s="73"/>
      <c r="HJX11" s="73"/>
      <c r="HJY11" s="73"/>
      <c r="HJZ11" s="73"/>
      <c r="HKA11" s="73"/>
      <c r="HKB11" s="73"/>
      <c r="HKC11" s="73"/>
      <c r="HKD11" s="73"/>
      <c r="HKE11" s="73"/>
      <c r="HKF11" s="73"/>
      <c r="HKG11" s="73"/>
      <c r="HKH11" s="73"/>
      <c r="HKI11" s="73"/>
      <c r="HKJ11" s="73"/>
      <c r="HKK11" s="73"/>
      <c r="HKL11" s="73"/>
      <c r="HKM11" s="73"/>
      <c r="HKN11" s="73"/>
      <c r="HKO11" s="73"/>
      <c r="HKP11" s="73"/>
      <c r="HKQ11" s="73"/>
      <c r="HKR11" s="73"/>
      <c r="HKS11" s="73"/>
      <c r="HKT11" s="73"/>
      <c r="HKU11" s="73"/>
      <c r="HKV11" s="73"/>
      <c r="HKW11" s="73"/>
      <c r="HKX11" s="73"/>
      <c r="HKY11" s="73"/>
      <c r="HKZ11" s="73"/>
      <c r="HLA11" s="73"/>
      <c r="HLB11" s="73"/>
      <c r="HLC11" s="73"/>
      <c r="HLD11" s="73"/>
      <c r="HLE11" s="73"/>
      <c r="HLF11" s="73"/>
      <c r="HLG11" s="73"/>
      <c r="HLH11" s="73"/>
      <c r="HLI11" s="73"/>
      <c r="HLJ11" s="73"/>
      <c r="HLK11" s="73"/>
      <c r="HLL11" s="73"/>
      <c r="HLM11" s="73"/>
      <c r="HLN11" s="73"/>
      <c r="HLO11" s="73"/>
      <c r="HLP11" s="73"/>
      <c r="HLQ11" s="73"/>
      <c r="HLR11" s="73"/>
      <c r="HLS11" s="73"/>
      <c r="HLT11" s="73"/>
      <c r="HLU11" s="73"/>
      <c r="HLV11" s="73"/>
      <c r="HLW11" s="73"/>
      <c r="HLX11" s="73"/>
      <c r="HLY11" s="73"/>
      <c r="HLZ11" s="73"/>
      <c r="HMA11" s="73"/>
      <c r="HMB11" s="73"/>
      <c r="HMC11" s="73"/>
      <c r="HMD11" s="73"/>
      <c r="HME11" s="73"/>
      <c r="HMF11" s="73"/>
      <c r="HMG11" s="73"/>
      <c r="HMH11" s="73"/>
      <c r="HMI11" s="73"/>
      <c r="HMJ11" s="73"/>
      <c r="HMK11" s="73"/>
      <c r="HML11" s="73"/>
      <c r="HMM11" s="73"/>
      <c r="HMN11" s="73"/>
      <c r="HMO11" s="73"/>
      <c r="HMP11" s="73"/>
      <c r="HMQ11" s="73"/>
      <c r="HMR11" s="73"/>
      <c r="HMS11" s="73"/>
      <c r="HMT11" s="73"/>
      <c r="HMU11" s="73"/>
      <c r="HMV11" s="73"/>
      <c r="HMW11" s="73"/>
      <c r="HMX11" s="73"/>
      <c r="HMY11" s="73"/>
      <c r="HMZ11" s="73"/>
      <c r="HNA11" s="73"/>
      <c r="HNB11" s="73"/>
      <c r="HNC11" s="73"/>
      <c r="HND11" s="73"/>
      <c r="HNE11" s="73"/>
      <c r="HNF11" s="73"/>
      <c r="HNG11" s="73"/>
      <c r="HNH11" s="73"/>
      <c r="HNI11" s="73"/>
      <c r="HNJ11" s="73"/>
      <c r="HNK11" s="73"/>
      <c r="HNL11" s="73"/>
      <c r="HNM11" s="73"/>
      <c r="HNN11" s="73"/>
      <c r="HNO11" s="73"/>
      <c r="HNP11" s="73"/>
      <c r="HNQ11" s="73"/>
      <c r="HNR11" s="73"/>
      <c r="HNS11" s="73"/>
      <c r="HNT11" s="73"/>
      <c r="HNU11" s="73"/>
      <c r="HNV11" s="73"/>
      <c r="HNW11" s="73"/>
      <c r="HNX11" s="73"/>
      <c r="HNY11" s="73"/>
      <c r="HNZ11" s="73"/>
      <c r="HOA11" s="73"/>
      <c r="HOB11" s="73"/>
      <c r="HOC11" s="73"/>
      <c r="HOD11" s="73"/>
      <c r="HOE11" s="73"/>
      <c r="HOF11" s="73"/>
      <c r="HOG11" s="73"/>
      <c r="HOH11" s="73"/>
      <c r="HOI11" s="73"/>
      <c r="HOJ11" s="73"/>
      <c r="HOK11" s="73"/>
      <c r="HOL11" s="73"/>
      <c r="HOM11" s="73"/>
      <c r="HON11" s="73"/>
      <c r="HOO11" s="73"/>
      <c r="HOP11" s="73"/>
      <c r="HOQ11" s="73"/>
      <c r="HOR11" s="73"/>
      <c r="HOS11" s="73"/>
      <c r="HOT11" s="73"/>
      <c r="HOU11" s="73"/>
      <c r="HOV11" s="73"/>
      <c r="HOW11" s="73"/>
      <c r="HOX11" s="73"/>
      <c r="HOY11" s="73"/>
      <c r="HOZ11" s="73"/>
      <c r="HPA11" s="73"/>
      <c r="HPB11" s="73"/>
      <c r="HPC11" s="73"/>
      <c r="HPD11" s="73"/>
      <c r="HPE11" s="73"/>
      <c r="HPF11" s="73"/>
      <c r="HPG11" s="73"/>
      <c r="HPH11" s="73"/>
      <c r="HPI11" s="73"/>
      <c r="HPJ11" s="73"/>
      <c r="HPK11" s="73"/>
      <c r="HPL11" s="73"/>
      <c r="HPM11" s="73"/>
      <c r="HPN11" s="73"/>
      <c r="HPO11" s="73"/>
      <c r="HPP11" s="73"/>
      <c r="HPQ11" s="73"/>
      <c r="HPR11" s="73"/>
      <c r="HPS11" s="73"/>
      <c r="HPT11" s="73"/>
      <c r="HPU11" s="73"/>
      <c r="HPV11" s="73"/>
      <c r="HPW11" s="73"/>
      <c r="HPX11" s="73"/>
      <c r="HPY11" s="73"/>
      <c r="HPZ11" s="73"/>
      <c r="HQA11" s="73"/>
      <c r="HQB11" s="73"/>
      <c r="HQC11" s="73"/>
      <c r="HQD11" s="73"/>
      <c r="HQE11" s="73"/>
      <c r="HQF11" s="73"/>
      <c r="HQG11" s="73"/>
      <c r="HQH11" s="73"/>
      <c r="HQI11" s="73"/>
      <c r="HQJ11" s="73"/>
      <c r="HQK11" s="73"/>
      <c r="HQL11" s="73"/>
      <c r="HQM11" s="73"/>
      <c r="HQN11" s="73"/>
      <c r="HQO11" s="73"/>
      <c r="HQP11" s="73"/>
      <c r="HQQ11" s="73"/>
      <c r="HQR11" s="73"/>
      <c r="HQS11" s="73"/>
      <c r="HQT11" s="73"/>
      <c r="HQU11" s="73"/>
      <c r="HQV11" s="73"/>
      <c r="HQW11" s="73"/>
      <c r="HQX11" s="73"/>
      <c r="HQY11" s="73"/>
      <c r="HQZ11" s="73"/>
      <c r="HRA11" s="73"/>
      <c r="HRB11" s="73"/>
      <c r="HRC11" s="73"/>
      <c r="HRD11" s="73"/>
      <c r="HRE11" s="73"/>
      <c r="HRF11" s="73"/>
      <c r="HRG11" s="73"/>
      <c r="HRH11" s="73"/>
      <c r="HRI11" s="73"/>
      <c r="HRJ11" s="73"/>
      <c r="HRK11" s="73"/>
      <c r="HRL11" s="73"/>
      <c r="HRM11" s="73"/>
      <c r="HRN11" s="73"/>
      <c r="HRO11" s="73"/>
      <c r="HRP11" s="73"/>
      <c r="HRQ11" s="73"/>
      <c r="HRR11" s="73"/>
      <c r="HRS11" s="73"/>
      <c r="HRT11" s="73"/>
      <c r="HRU11" s="73"/>
      <c r="HRV11" s="73"/>
      <c r="HRW11" s="73"/>
      <c r="HRX11" s="73"/>
      <c r="HRY11" s="73"/>
      <c r="HRZ11" s="73"/>
      <c r="HSA11" s="73"/>
      <c r="HSB11" s="73"/>
      <c r="HSC11" s="73"/>
      <c r="HSD11" s="73"/>
      <c r="HSE11" s="73"/>
      <c r="HSF11" s="73"/>
      <c r="HSG11" s="73"/>
      <c r="HSH11" s="73"/>
      <c r="HSI11" s="73"/>
      <c r="HSJ11" s="73"/>
      <c r="HSK11" s="73"/>
      <c r="HSL11" s="73"/>
      <c r="HSM11" s="73"/>
      <c r="HSN11" s="73"/>
      <c r="HSO11" s="73"/>
      <c r="HSP11" s="73"/>
      <c r="HSQ11" s="73"/>
      <c r="HSR11" s="73"/>
      <c r="HSS11" s="73"/>
      <c r="HST11" s="73"/>
      <c r="HSU11" s="73"/>
      <c r="HSV11" s="73"/>
      <c r="HSW11" s="73"/>
      <c r="HSX11" s="73"/>
      <c r="HSY11" s="73"/>
      <c r="HSZ11" s="73"/>
      <c r="HTA11" s="73"/>
      <c r="HTB11" s="73"/>
      <c r="HTC11" s="73"/>
      <c r="HTD11" s="73"/>
      <c r="HTE11" s="73"/>
      <c r="HTF11" s="73"/>
      <c r="HTG11" s="73"/>
      <c r="HTH11" s="73"/>
      <c r="HTI11" s="73"/>
      <c r="HTJ11" s="73"/>
      <c r="HTK11" s="73"/>
      <c r="HTL11" s="73"/>
      <c r="HTM11" s="73"/>
      <c r="HTN11" s="73"/>
      <c r="HTO11" s="73"/>
      <c r="HTP11" s="73"/>
      <c r="HTQ11" s="73"/>
      <c r="HTR11" s="73"/>
      <c r="HTS11" s="73"/>
      <c r="HTT11" s="73"/>
      <c r="HTU11" s="73"/>
      <c r="HTV11" s="73"/>
      <c r="HTW11" s="73"/>
      <c r="HTX11" s="73"/>
      <c r="HTY11" s="73"/>
      <c r="HTZ11" s="73"/>
      <c r="HUA11" s="73"/>
      <c r="HUB11" s="73"/>
      <c r="HUC11" s="73"/>
      <c r="HUD11" s="73"/>
      <c r="HUE11" s="73"/>
      <c r="HUF11" s="73"/>
      <c r="HUG11" s="73"/>
      <c r="HUH11" s="73"/>
      <c r="HUI11" s="73"/>
      <c r="HUJ11" s="73"/>
      <c r="HUK11" s="73"/>
      <c r="HUL11" s="73"/>
      <c r="HUM11" s="73"/>
      <c r="HUN11" s="73"/>
      <c r="HUO11" s="73"/>
      <c r="HUP11" s="73"/>
      <c r="HUQ11" s="73"/>
      <c r="HUR11" s="73"/>
      <c r="HUS11" s="73"/>
      <c r="HUT11" s="73"/>
      <c r="HUU11" s="73"/>
      <c r="HUV11" s="73"/>
      <c r="HUW11" s="73"/>
      <c r="HUX11" s="73"/>
      <c r="HUY11" s="73"/>
      <c r="HUZ11" s="73"/>
      <c r="HVA11" s="73"/>
      <c r="HVB11" s="73"/>
      <c r="HVC11" s="73"/>
      <c r="HVD11" s="73"/>
      <c r="HVE11" s="73"/>
      <c r="HVF11" s="73"/>
      <c r="HVG11" s="73"/>
      <c r="HVH11" s="73"/>
      <c r="HVI11" s="73"/>
      <c r="HVJ11" s="73"/>
      <c r="HVK11" s="73"/>
      <c r="HVL11" s="73"/>
      <c r="HVM11" s="73"/>
      <c r="HVN11" s="73"/>
      <c r="HVO11" s="73"/>
      <c r="HVP11" s="73"/>
      <c r="HVQ11" s="73"/>
      <c r="HVR11" s="73"/>
      <c r="HVS11" s="73"/>
      <c r="HVT11" s="73"/>
      <c r="HVU11" s="73"/>
      <c r="HVV11" s="73"/>
      <c r="HVW11" s="73"/>
      <c r="HVX11" s="73"/>
      <c r="HVY11" s="73"/>
      <c r="HVZ11" s="73"/>
      <c r="HWA11" s="73"/>
      <c r="HWB11" s="73"/>
      <c r="HWC11" s="73"/>
      <c r="HWD11" s="73"/>
      <c r="HWE11" s="73"/>
      <c r="HWF11" s="73"/>
      <c r="HWG11" s="73"/>
      <c r="HWH11" s="73"/>
      <c r="HWI11" s="73"/>
      <c r="HWJ11" s="73"/>
      <c r="HWK11" s="73"/>
      <c r="HWL11" s="73"/>
      <c r="HWM11" s="73"/>
      <c r="HWN11" s="73"/>
      <c r="HWO11" s="73"/>
      <c r="HWP11" s="73"/>
      <c r="HWQ11" s="73"/>
      <c r="HWR11" s="73"/>
      <c r="HWS11" s="73"/>
      <c r="HWT11" s="73"/>
      <c r="HWU11" s="73"/>
      <c r="HWV11" s="73"/>
      <c r="HWW11" s="73"/>
      <c r="HWX11" s="73"/>
      <c r="HWY11" s="73"/>
      <c r="HWZ11" s="73"/>
      <c r="HXA11" s="73"/>
      <c r="HXB11" s="73"/>
      <c r="HXC11" s="73"/>
      <c r="HXD11" s="73"/>
      <c r="HXE11" s="73"/>
      <c r="HXF11" s="73"/>
      <c r="HXG11" s="73"/>
      <c r="HXH11" s="73"/>
      <c r="HXI11" s="73"/>
      <c r="HXJ11" s="73"/>
      <c r="HXK11" s="73"/>
      <c r="HXL11" s="73"/>
      <c r="HXM11" s="73"/>
      <c r="HXN11" s="73"/>
      <c r="HXO11" s="73"/>
      <c r="HXP11" s="73"/>
      <c r="HXQ11" s="73"/>
      <c r="HXR11" s="73"/>
      <c r="HXS11" s="73"/>
      <c r="HXT11" s="73"/>
      <c r="HXU11" s="73"/>
      <c r="HXV11" s="73"/>
      <c r="HXW11" s="73"/>
      <c r="HXX11" s="73"/>
      <c r="HXY11" s="73"/>
      <c r="HXZ11" s="73"/>
      <c r="HYA11" s="73"/>
      <c r="HYB11" s="73"/>
      <c r="HYC11" s="73"/>
      <c r="HYD11" s="73"/>
      <c r="HYE11" s="73"/>
      <c r="HYF11" s="73"/>
      <c r="HYG11" s="73"/>
      <c r="HYH11" s="73"/>
      <c r="HYI11" s="73"/>
      <c r="HYJ11" s="73"/>
      <c r="HYK11" s="73"/>
      <c r="HYL11" s="73"/>
      <c r="HYM11" s="73"/>
      <c r="HYN11" s="73"/>
      <c r="HYO11" s="73"/>
      <c r="HYP11" s="73"/>
      <c r="HYQ11" s="73"/>
      <c r="HYR11" s="73"/>
      <c r="HYS11" s="73"/>
      <c r="HYT11" s="73"/>
      <c r="HYU11" s="73"/>
      <c r="HYV11" s="73"/>
      <c r="HYW11" s="73"/>
      <c r="HYX11" s="73"/>
      <c r="HYY11" s="73"/>
      <c r="HYZ11" s="73"/>
      <c r="HZA11" s="73"/>
      <c r="HZB11" s="73"/>
      <c r="HZC11" s="73"/>
      <c r="HZD11" s="73"/>
      <c r="HZE11" s="73"/>
      <c r="HZF11" s="73"/>
      <c r="HZG11" s="73"/>
      <c r="HZH11" s="73"/>
      <c r="HZI11" s="73"/>
      <c r="HZJ11" s="73"/>
      <c r="HZK11" s="73"/>
      <c r="HZL11" s="73"/>
      <c r="HZM11" s="73"/>
      <c r="HZN11" s="73"/>
      <c r="HZO11" s="73"/>
      <c r="HZP11" s="73"/>
      <c r="HZQ11" s="73"/>
      <c r="HZR11" s="73"/>
      <c r="HZS11" s="73"/>
      <c r="HZT11" s="73"/>
      <c r="HZU11" s="73"/>
      <c r="HZV11" s="73"/>
      <c r="HZW11" s="73"/>
      <c r="HZX11" s="73"/>
      <c r="HZY11" s="73"/>
      <c r="HZZ11" s="73"/>
      <c r="IAA11" s="73"/>
      <c r="IAB11" s="73"/>
      <c r="IAC11" s="73"/>
      <c r="IAD11" s="73"/>
      <c r="IAE11" s="73"/>
      <c r="IAF11" s="73"/>
      <c r="IAG11" s="73"/>
      <c r="IAH11" s="73"/>
      <c r="IAI11" s="73"/>
      <c r="IAJ11" s="73"/>
      <c r="IAK11" s="73"/>
      <c r="IAL11" s="73"/>
      <c r="IAM11" s="73"/>
      <c r="IAN11" s="73"/>
      <c r="IAO11" s="73"/>
      <c r="IAP11" s="73"/>
      <c r="IAQ11" s="73"/>
      <c r="IAR11" s="73"/>
      <c r="IAS11" s="73"/>
      <c r="IAT11" s="73"/>
      <c r="IAU11" s="73"/>
      <c r="IAV11" s="73"/>
      <c r="IAW11" s="73"/>
      <c r="IAX11" s="73"/>
      <c r="IAY11" s="73"/>
      <c r="IAZ11" s="73"/>
      <c r="IBA11" s="73"/>
      <c r="IBB11" s="73"/>
      <c r="IBC11" s="73"/>
      <c r="IBD11" s="73"/>
      <c r="IBE11" s="73"/>
      <c r="IBF11" s="73"/>
      <c r="IBG11" s="73"/>
      <c r="IBH11" s="73"/>
      <c r="IBI11" s="73"/>
      <c r="IBJ11" s="73"/>
      <c r="IBK11" s="73"/>
      <c r="IBL11" s="73"/>
      <c r="IBM11" s="73"/>
      <c r="IBN11" s="73"/>
      <c r="IBO11" s="73"/>
      <c r="IBP11" s="73"/>
      <c r="IBQ11" s="73"/>
      <c r="IBR11" s="73"/>
      <c r="IBS11" s="73"/>
      <c r="IBT11" s="73"/>
      <c r="IBU11" s="73"/>
      <c r="IBV11" s="73"/>
      <c r="IBW11" s="73"/>
      <c r="IBX11" s="73"/>
      <c r="IBY11" s="73"/>
      <c r="IBZ11" s="73"/>
      <c r="ICA11" s="73"/>
      <c r="ICB11" s="73"/>
      <c r="ICC11" s="73"/>
      <c r="ICD11" s="73"/>
      <c r="ICE11" s="73"/>
      <c r="ICF11" s="73"/>
      <c r="ICG11" s="73"/>
      <c r="ICH11" s="73"/>
      <c r="ICI11" s="73"/>
      <c r="ICJ11" s="73"/>
      <c r="ICK11" s="73"/>
      <c r="ICL11" s="73"/>
      <c r="ICM11" s="73"/>
      <c r="ICN11" s="73"/>
      <c r="ICO11" s="73"/>
      <c r="ICP11" s="73"/>
      <c r="ICQ11" s="73"/>
      <c r="ICR11" s="73"/>
      <c r="ICS11" s="73"/>
      <c r="ICT11" s="73"/>
      <c r="ICU11" s="73"/>
      <c r="ICV11" s="73"/>
      <c r="ICW11" s="73"/>
      <c r="ICX11" s="73"/>
      <c r="ICY11" s="73"/>
      <c r="ICZ11" s="73"/>
      <c r="IDA11" s="73"/>
      <c r="IDB11" s="73"/>
      <c r="IDC11" s="73"/>
      <c r="IDD11" s="73"/>
      <c r="IDE11" s="73"/>
      <c r="IDF11" s="73"/>
      <c r="IDG11" s="73"/>
      <c r="IDH11" s="73"/>
      <c r="IDI11" s="73"/>
      <c r="IDJ11" s="73"/>
      <c r="IDK11" s="73"/>
      <c r="IDL11" s="73"/>
      <c r="IDM11" s="73"/>
      <c r="IDN11" s="73"/>
      <c r="IDO11" s="73"/>
      <c r="IDP11" s="73"/>
      <c r="IDQ11" s="73"/>
      <c r="IDR11" s="73"/>
      <c r="IDS11" s="73"/>
      <c r="IDT11" s="73"/>
      <c r="IDU11" s="73"/>
      <c r="IDV11" s="73"/>
      <c r="IDW11" s="73"/>
      <c r="IDX11" s="73"/>
      <c r="IDY11" s="73"/>
      <c r="IDZ11" s="73"/>
      <c r="IEA11" s="73"/>
      <c r="IEB11" s="73"/>
      <c r="IEC11" s="73"/>
      <c r="IED11" s="73"/>
      <c r="IEE11" s="73"/>
      <c r="IEF11" s="73"/>
      <c r="IEG11" s="73"/>
      <c r="IEH11" s="73"/>
      <c r="IEI11" s="73"/>
      <c r="IEJ11" s="73"/>
      <c r="IEK11" s="73"/>
      <c r="IEL11" s="73"/>
      <c r="IEM11" s="73"/>
      <c r="IEN11" s="73"/>
      <c r="IEO11" s="73"/>
      <c r="IEP11" s="73"/>
      <c r="IEQ11" s="73"/>
      <c r="IER11" s="73"/>
      <c r="IES11" s="73"/>
      <c r="IET11" s="73"/>
      <c r="IEU11" s="73"/>
      <c r="IEV11" s="73"/>
      <c r="IEW11" s="73"/>
      <c r="IEX11" s="73"/>
      <c r="IEY11" s="73"/>
      <c r="IEZ11" s="73"/>
      <c r="IFA11" s="73"/>
      <c r="IFB11" s="73"/>
      <c r="IFC11" s="73"/>
      <c r="IFD11" s="73"/>
      <c r="IFE11" s="73"/>
      <c r="IFF11" s="73"/>
      <c r="IFG11" s="73"/>
      <c r="IFH11" s="73"/>
      <c r="IFI11" s="73"/>
      <c r="IFJ11" s="73"/>
      <c r="IFK11" s="73"/>
      <c r="IFL11" s="73"/>
      <c r="IFM11" s="73"/>
      <c r="IFN11" s="73"/>
      <c r="IFO11" s="73"/>
      <c r="IFP11" s="73"/>
      <c r="IFQ11" s="73"/>
      <c r="IFR11" s="73"/>
      <c r="IFS11" s="73"/>
      <c r="IFT11" s="73"/>
      <c r="IFU11" s="73"/>
      <c r="IFV11" s="73"/>
      <c r="IFW11" s="73"/>
      <c r="IFX11" s="73"/>
      <c r="IFY11" s="73"/>
      <c r="IFZ11" s="73"/>
      <c r="IGA11" s="73"/>
      <c r="IGB11" s="73"/>
      <c r="IGC11" s="73"/>
      <c r="IGD11" s="73"/>
      <c r="IGE11" s="73"/>
      <c r="IGF11" s="73"/>
      <c r="IGG11" s="73"/>
      <c r="IGH11" s="73"/>
      <c r="IGI11" s="73"/>
      <c r="IGJ11" s="73"/>
      <c r="IGK11" s="73"/>
      <c r="IGL11" s="73"/>
      <c r="IGM11" s="73"/>
      <c r="IGN11" s="73"/>
      <c r="IGO11" s="73"/>
      <c r="IGP11" s="73"/>
      <c r="IGQ11" s="73"/>
      <c r="IGR11" s="73"/>
      <c r="IGS11" s="73"/>
      <c r="IGT11" s="73"/>
      <c r="IGU11" s="73"/>
      <c r="IGV11" s="73"/>
      <c r="IGW11" s="73"/>
      <c r="IGX11" s="73"/>
      <c r="IGY11" s="73"/>
      <c r="IGZ11" s="73"/>
      <c r="IHA11" s="73"/>
      <c r="IHB11" s="73"/>
      <c r="IHC11" s="73"/>
      <c r="IHD11" s="73"/>
      <c r="IHE11" s="73"/>
      <c r="IHF11" s="73"/>
      <c r="IHG11" s="73"/>
      <c r="IHH11" s="73"/>
      <c r="IHI11" s="73"/>
      <c r="IHJ11" s="73"/>
      <c r="IHK11" s="73"/>
      <c r="IHL11" s="73"/>
      <c r="IHM11" s="73"/>
      <c r="IHN11" s="73"/>
      <c r="IHO11" s="73"/>
      <c r="IHP11" s="73"/>
      <c r="IHQ11" s="73"/>
      <c r="IHR11" s="73"/>
      <c r="IHS11" s="73"/>
      <c r="IHT11" s="73"/>
      <c r="IHU11" s="73"/>
      <c r="IHV11" s="73"/>
      <c r="IHW11" s="73"/>
      <c r="IHX11" s="73"/>
      <c r="IHY11" s="73"/>
      <c r="IHZ11" s="73"/>
      <c r="IIA11" s="73"/>
      <c r="IIB11" s="73"/>
      <c r="IIC11" s="73"/>
      <c r="IID11" s="73"/>
      <c r="IIE11" s="73"/>
      <c r="IIF11" s="73"/>
      <c r="IIG11" s="73"/>
      <c r="IIH11" s="73"/>
      <c r="III11" s="73"/>
      <c r="IIJ11" s="73"/>
      <c r="IIK11" s="73"/>
      <c r="IIL11" s="73"/>
      <c r="IIM11" s="73"/>
      <c r="IIN11" s="73"/>
      <c r="IIO11" s="73"/>
      <c r="IIP11" s="73"/>
      <c r="IIQ11" s="73"/>
      <c r="IIR11" s="73"/>
      <c r="IIS11" s="73"/>
      <c r="IIT11" s="73"/>
      <c r="IIU11" s="73"/>
      <c r="IIV11" s="73"/>
      <c r="IIW11" s="73"/>
      <c r="IIX11" s="73"/>
      <c r="IIY11" s="73"/>
      <c r="IIZ11" s="73"/>
      <c r="IJA11" s="73"/>
      <c r="IJB11" s="73"/>
      <c r="IJC11" s="73"/>
      <c r="IJD11" s="73"/>
      <c r="IJE11" s="73"/>
      <c r="IJF11" s="73"/>
      <c r="IJG11" s="73"/>
      <c r="IJH11" s="73"/>
      <c r="IJI11" s="73"/>
      <c r="IJJ11" s="73"/>
      <c r="IJK11" s="73"/>
      <c r="IJL11" s="73"/>
      <c r="IJM11" s="73"/>
      <c r="IJN11" s="73"/>
      <c r="IJO11" s="73"/>
      <c r="IJP11" s="73"/>
      <c r="IJQ11" s="73"/>
      <c r="IJR11" s="73"/>
      <c r="IJS11" s="73"/>
      <c r="IJT11" s="73"/>
      <c r="IJU11" s="73"/>
      <c r="IJV11" s="73"/>
      <c r="IJW11" s="73"/>
      <c r="IJX11" s="73"/>
      <c r="IJY11" s="73"/>
      <c r="IJZ11" s="73"/>
      <c r="IKA11" s="73"/>
      <c r="IKB11" s="73"/>
      <c r="IKC11" s="73"/>
      <c r="IKD11" s="73"/>
      <c r="IKE11" s="73"/>
      <c r="IKF11" s="73"/>
      <c r="IKG11" s="73"/>
      <c r="IKH11" s="73"/>
      <c r="IKI11" s="73"/>
      <c r="IKJ11" s="73"/>
      <c r="IKK11" s="73"/>
      <c r="IKL11" s="73"/>
      <c r="IKM11" s="73"/>
      <c r="IKN11" s="73"/>
      <c r="IKO11" s="73"/>
      <c r="IKP11" s="73"/>
      <c r="IKQ11" s="73"/>
      <c r="IKR11" s="73"/>
      <c r="IKS11" s="73"/>
      <c r="IKT11" s="73"/>
      <c r="IKU11" s="73"/>
      <c r="IKV11" s="73"/>
      <c r="IKW11" s="73"/>
      <c r="IKX11" s="73"/>
      <c r="IKY11" s="73"/>
      <c r="IKZ11" s="73"/>
      <c r="ILA11" s="73"/>
      <c r="ILB11" s="73"/>
      <c r="ILC11" s="73"/>
      <c r="ILD11" s="73"/>
      <c r="ILE11" s="73"/>
      <c r="ILF11" s="73"/>
      <c r="ILG11" s="73"/>
      <c r="ILH11" s="73"/>
      <c r="ILI11" s="73"/>
      <c r="ILJ11" s="73"/>
      <c r="ILK11" s="73"/>
      <c r="ILL11" s="73"/>
      <c r="ILM11" s="73"/>
      <c r="ILN11" s="73"/>
      <c r="ILO11" s="73"/>
      <c r="ILP11" s="73"/>
      <c r="ILQ11" s="73"/>
      <c r="ILR11" s="73"/>
      <c r="ILS11" s="73"/>
      <c r="ILT11" s="73"/>
      <c r="ILU11" s="73"/>
      <c r="ILV11" s="73"/>
      <c r="ILW11" s="73"/>
      <c r="ILX11" s="73"/>
      <c r="ILY11" s="73"/>
      <c r="ILZ11" s="73"/>
      <c r="IMA11" s="73"/>
      <c r="IMB11" s="73"/>
      <c r="IMC11" s="73"/>
      <c r="IMD11" s="73"/>
      <c r="IME11" s="73"/>
      <c r="IMF11" s="73"/>
      <c r="IMG11" s="73"/>
      <c r="IMH11" s="73"/>
      <c r="IMI11" s="73"/>
      <c r="IMJ11" s="73"/>
      <c r="IMK11" s="73"/>
      <c r="IML11" s="73"/>
      <c r="IMM11" s="73"/>
      <c r="IMN11" s="73"/>
      <c r="IMO11" s="73"/>
      <c r="IMP11" s="73"/>
      <c r="IMQ11" s="73"/>
      <c r="IMR11" s="73"/>
      <c r="IMS11" s="73"/>
      <c r="IMT11" s="73"/>
      <c r="IMU11" s="73"/>
      <c r="IMV11" s="73"/>
      <c r="IMW11" s="73"/>
      <c r="IMX11" s="73"/>
      <c r="IMY11" s="73"/>
      <c r="IMZ11" s="73"/>
      <c r="INA11" s="73"/>
      <c r="INB11" s="73"/>
      <c r="INC11" s="73"/>
      <c r="IND11" s="73"/>
      <c r="INE11" s="73"/>
      <c r="INF11" s="73"/>
      <c r="ING11" s="73"/>
      <c r="INH11" s="73"/>
      <c r="INI11" s="73"/>
      <c r="INJ11" s="73"/>
      <c r="INK11" s="73"/>
      <c r="INL11" s="73"/>
      <c r="INM11" s="73"/>
      <c r="INN11" s="73"/>
      <c r="INO11" s="73"/>
      <c r="INP11" s="73"/>
      <c r="INQ11" s="73"/>
      <c r="INR11" s="73"/>
      <c r="INS11" s="73"/>
      <c r="INT11" s="73"/>
      <c r="INU11" s="73"/>
      <c r="INV11" s="73"/>
      <c r="INW11" s="73"/>
      <c r="INX11" s="73"/>
      <c r="INY11" s="73"/>
      <c r="INZ11" s="73"/>
      <c r="IOA11" s="73"/>
      <c r="IOB11" s="73"/>
      <c r="IOC11" s="73"/>
      <c r="IOD11" s="73"/>
      <c r="IOE11" s="73"/>
      <c r="IOF11" s="73"/>
      <c r="IOG11" s="73"/>
      <c r="IOH11" s="73"/>
      <c r="IOI11" s="73"/>
      <c r="IOJ11" s="73"/>
      <c r="IOK11" s="73"/>
      <c r="IOL11" s="73"/>
      <c r="IOM11" s="73"/>
      <c r="ION11" s="73"/>
      <c r="IOO11" s="73"/>
      <c r="IOP11" s="73"/>
      <c r="IOQ11" s="73"/>
      <c r="IOR11" s="73"/>
      <c r="IOS11" s="73"/>
      <c r="IOT11" s="73"/>
      <c r="IOU11" s="73"/>
      <c r="IOV11" s="73"/>
      <c r="IOW11" s="73"/>
      <c r="IOX11" s="73"/>
      <c r="IOY11" s="73"/>
      <c r="IOZ11" s="73"/>
      <c r="IPA11" s="73"/>
      <c r="IPB11" s="73"/>
      <c r="IPC11" s="73"/>
      <c r="IPD11" s="73"/>
      <c r="IPE11" s="73"/>
      <c r="IPF11" s="73"/>
      <c r="IPG11" s="73"/>
      <c r="IPH11" s="73"/>
      <c r="IPI11" s="73"/>
      <c r="IPJ11" s="73"/>
      <c r="IPK11" s="73"/>
      <c r="IPL11" s="73"/>
      <c r="IPM11" s="73"/>
      <c r="IPN11" s="73"/>
      <c r="IPO11" s="73"/>
      <c r="IPP11" s="73"/>
      <c r="IPQ11" s="73"/>
      <c r="IPR11" s="73"/>
      <c r="IPS11" s="73"/>
      <c r="IPT11" s="73"/>
      <c r="IPU11" s="73"/>
      <c r="IPV11" s="73"/>
      <c r="IPW11" s="73"/>
      <c r="IPX11" s="73"/>
      <c r="IPY11" s="73"/>
      <c r="IPZ11" s="73"/>
      <c r="IQA11" s="73"/>
      <c r="IQB11" s="73"/>
      <c r="IQC11" s="73"/>
      <c r="IQD11" s="73"/>
      <c r="IQE11" s="73"/>
      <c r="IQF11" s="73"/>
      <c r="IQG11" s="73"/>
      <c r="IQH11" s="73"/>
      <c r="IQI11" s="73"/>
      <c r="IQJ11" s="73"/>
      <c r="IQK11" s="73"/>
      <c r="IQL11" s="73"/>
      <c r="IQM11" s="73"/>
      <c r="IQN11" s="73"/>
      <c r="IQO11" s="73"/>
      <c r="IQP11" s="73"/>
      <c r="IQQ11" s="73"/>
      <c r="IQR11" s="73"/>
      <c r="IQS11" s="73"/>
      <c r="IQT11" s="73"/>
      <c r="IQU11" s="73"/>
      <c r="IQV11" s="73"/>
      <c r="IQW11" s="73"/>
      <c r="IQX11" s="73"/>
      <c r="IQY11" s="73"/>
      <c r="IQZ11" s="73"/>
      <c r="IRA11" s="73"/>
      <c r="IRB11" s="73"/>
      <c r="IRC11" s="73"/>
      <c r="IRD11" s="73"/>
      <c r="IRE11" s="73"/>
      <c r="IRF11" s="73"/>
      <c r="IRG11" s="73"/>
      <c r="IRH11" s="73"/>
      <c r="IRI11" s="73"/>
      <c r="IRJ11" s="73"/>
      <c r="IRK11" s="73"/>
      <c r="IRL11" s="73"/>
      <c r="IRM11" s="73"/>
      <c r="IRN11" s="73"/>
      <c r="IRO11" s="73"/>
      <c r="IRP11" s="73"/>
      <c r="IRQ11" s="73"/>
      <c r="IRR11" s="73"/>
      <c r="IRS11" s="73"/>
      <c r="IRT11" s="73"/>
      <c r="IRU11" s="73"/>
      <c r="IRV11" s="73"/>
      <c r="IRW11" s="73"/>
      <c r="IRX11" s="73"/>
      <c r="IRY11" s="73"/>
      <c r="IRZ11" s="73"/>
      <c r="ISA11" s="73"/>
      <c r="ISB11" s="73"/>
      <c r="ISC11" s="73"/>
      <c r="ISD11" s="73"/>
      <c r="ISE11" s="73"/>
      <c r="ISF11" s="73"/>
      <c r="ISG11" s="73"/>
      <c r="ISH11" s="73"/>
      <c r="ISI11" s="73"/>
      <c r="ISJ11" s="73"/>
      <c r="ISK11" s="73"/>
      <c r="ISL11" s="73"/>
      <c r="ISM11" s="73"/>
      <c r="ISN11" s="73"/>
      <c r="ISO11" s="73"/>
      <c r="ISP11" s="73"/>
      <c r="ISQ11" s="73"/>
      <c r="ISR11" s="73"/>
      <c r="ISS11" s="73"/>
      <c r="IST11" s="73"/>
      <c r="ISU11" s="73"/>
      <c r="ISV11" s="73"/>
      <c r="ISW11" s="73"/>
      <c r="ISX11" s="73"/>
      <c r="ISY11" s="73"/>
      <c r="ISZ11" s="73"/>
      <c r="ITA11" s="73"/>
      <c r="ITB11" s="73"/>
      <c r="ITC11" s="73"/>
      <c r="ITD11" s="73"/>
      <c r="ITE11" s="73"/>
      <c r="ITF11" s="73"/>
      <c r="ITG11" s="73"/>
      <c r="ITH11" s="73"/>
      <c r="ITI11" s="73"/>
      <c r="ITJ11" s="73"/>
      <c r="ITK11" s="73"/>
      <c r="ITL11" s="73"/>
      <c r="ITM11" s="73"/>
      <c r="ITN11" s="73"/>
      <c r="ITO11" s="73"/>
      <c r="ITP11" s="73"/>
      <c r="ITQ11" s="73"/>
      <c r="ITR11" s="73"/>
      <c r="ITS11" s="73"/>
      <c r="ITT11" s="73"/>
      <c r="ITU11" s="73"/>
      <c r="ITV11" s="73"/>
      <c r="ITW11" s="73"/>
      <c r="ITX11" s="73"/>
      <c r="ITY11" s="73"/>
      <c r="ITZ11" s="73"/>
      <c r="IUA11" s="73"/>
      <c r="IUB11" s="73"/>
      <c r="IUC11" s="73"/>
      <c r="IUD11" s="73"/>
      <c r="IUE11" s="73"/>
      <c r="IUF11" s="73"/>
      <c r="IUG11" s="73"/>
      <c r="IUH11" s="73"/>
      <c r="IUI11" s="73"/>
      <c r="IUJ11" s="73"/>
      <c r="IUK11" s="73"/>
      <c r="IUL11" s="73"/>
      <c r="IUM11" s="73"/>
      <c r="IUN11" s="73"/>
      <c r="IUO11" s="73"/>
      <c r="IUP11" s="73"/>
      <c r="IUQ11" s="73"/>
      <c r="IUR11" s="73"/>
      <c r="IUS11" s="73"/>
      <c r="IUT11" s="73"/>
      <c r="IUU11" s="73"/>
      <c r="IUV11" s="73"/>
      <c r="IUW11" s="73"/>
      <c r="IUX11" s="73"/>
      <c r="IUY11" s="73"/>
      <c r="IUZ11" s="73"/>
      <c r="IVA11" s="73"/>
      <c r="IVB11" s="73"/>
      <c r="IVC11" s="73"/>
      <c r="IVD11" s="73"/>
      <c r="IVE11" s="73"/>
      <c r="IVF11" s="73"/>
      <c r="IVG11" s="73"/>
      <c r="IVH11" s="73"/>
      <c r="IVI11" s="73"/>
      <c r="IVJ11" s="73"/>
      <c r="IVK11" s="73"/>
      <c r="IVL11" s="73"/>
      <c r="IVM11" s="73"/>
      <c r="IVN11" s="73"/>
      <c r="IVO11" s="73"/>
      <c r="IVP11" s="73"/>
      <c r="IVQ11" s="73"/>
      <c r="IVR11" s="73"/>
      <c r="IVS11" s="73"/>
      <c r="IVT11" s="73"/>
      <c r="IVU11" s="73"/>
      <c r="IVV11" s="73"/>
      <c r="IVW11" s="73"/>
      <c r="IVX11" s="73"/>
      <c r="IVY11" s="73"/>
      <c r="IVZ11" s="73"/>
      <c r="IWA11" s="73"/>
      <c r="IWB11" s="73"/>
      <c r="IWC11" s="73"/>
      <c r="IWD11" s="73"/>
      <c r="IWE11" s="73"/>
      <c r="IWF11" s="73"/>
      <c r="IWG11" s="73"/>
      <c r="IWH11" s="73"/>
      <c r="IWI11" s="73"/>
      <c r="IWJ11" s="73"/>
      <c r="IWK11" s="73"/>
      <c r="IWL11" s="73"/>
      <c r="IWM11" s="73"/>
      <c r="IWN11" s="73"/>
      <c r="IWO11" s="73"/>
      <c r="IWP11" s="73"/>
      <c r="IWQ11" s="73"/>
      <c r="IWR11" s="73"/>
      <c r="IWS11" s="73"/>
      <c r="IWT11" s="73"/>
      <c r="IWU11" s="73"/>
      <c r="IWV11" s="73"/>
      <c r="IWW11" s="73"/>
      <c r="IWX11" s="73"/>
      <c r="IWY11" s="73"/>
      <c r="IWZ11" s="73"/>
      <c r="IXA11" s="73"/>
      <c r="IXB11" s="73"/>
      <c r="IXC11" s="73"/>
      <c r="IXD11" s="73"/>
      <c r="IXE11" s="73"/>
      <c r="IXF11" s="73"/>
      <c r="IXG11" s="73"/>
      <c r="IXH11" s="73"/>
      <c r="IXI11" s="73"/>
      <c r="IXJ11" s="73"/>
      <c r="IXK11" s="73"/>
      <c r="IXL11" s="73"/>
      <c r="IXM11" s="73"/>
      <c r="IXN11" s="73"/>
      <c r="IXO11" s="73"/>
      <c r="IXP11" s="73"/>
      <c r="IXQ11" s="73"/>
      <c r="IXR11" s="73"/>
      <c r="IXS11" s="73"/>
      <c r="IXT11" s="73"/>
      <c r="IXU11" s="73"/>
      <c r="IXV11" s="73"/>
      <c r="IXW11" s="73"/>
      <c r="IXX11" s="73"/>
      <c r="IXY11" s="73"/>
      <c r="IXZ11" s="73"/>
      <c r="IYA11" s="73"/>
      <c r="IYB11" s="73"/>
      <c r="IYC11" s="73"/>
      <c r="IYD11" s="73"/>
      <c r="IYE11" s="73"/>
      <c r="IYF11" s="73"/>
      <c r="IYG11" s="73"/>
      <c r="IYH11" s="73"/>
      <c r="IYI11" s="73"/>
      <c r="IYJ11" s="73"/>
      <c r="IYK11" s="73"/>
      <c r="IYL11" s="73"/>
      <c r="IYM11" s="73"/>
      <c r="IYN11" s="73"/>
      <c r="IYO11" s="73"/>
      <c r="IYP11" s="73"/>
      <c r="IYQ11" s="73"/>
      <c r="IYR11" s="73"/>
      <c r="IYS11" s="73"/>
      <c r="IYT11" s="73"/>
      <c r="IYU11" s="73"/>
      <c r="IYV11" s="73"/>
      <c r="IYW11" s="73"/>
      <c r="IYX11" s="73"/>
      <c r="IYY11" s="73"/>
      <c r="IYZ11" s="73"/>
      <c r="IZA11" s="73"/>
      <c r="IZB11" s="73"/>
      <c r="IZC11" s="73"/>
      <c r="IZD11" s="73"/>
      <c r="IZE11" s="73"/>
      <c r="IZF11" s="73"/>
      <c r="IZG11" s="73"/>
      <c r="IZH11" s="73"/>
      <c r="IZI11" s="73"/>
      <c r="IZJ11" s="73"/>
      <c r="IZK11" s="73"/>
      <c r="IZL11" s="73"/>
      <c r="IZM11" s="73"/>
      <c r="IZN11" s="73"/>
      <c r="IZO11" s="73"/>
      <c r="IZP11" s="73"/>
      <c r="IZQ11" s="73"/>
      <c r="IZR11" s="73"/>
      <c r="IZS11" s="73"/>
      <c r="IZT11" s="73"/>
      <c r="IZU11" s="73"/>
      <c r="IZV11" s="73"/>
      <c r="IZW11" s="73"/>
      <c r="IZX11" s="73"/>
      <c r="IZY11" s="73"/>
      <c r="IZZ11" s="73"/>
      <c r="JAA11" s="73"/>
      <c r="JAB11" s="73"/>
      <c r="JAC11" s="73"/>
      <c r="JAD11" s="73"/>
      <c r="JAE11" s="73"/>
      <c r="JAF11" s="73"/>
      <c r="JAG11" s="73"/>
      <c r="JAH11" s="73"/>
      <c r="JAI11" s="73"/>
      <c r="JAJ11" s="73"/>
      <c r="JAK11" s="73"/>
      <c r="JAL11" s="73"/>
      <c r="JAM11" s="73"/>
      <c r="JAN11" s="73"/>
      <c r="JAO11" s="73"/>
      <c r="JAP11" s="73"/>
      <c r="JAQ11" s="73"/>
      <c r="JAR11" s="73"/>
      <c r="JAS11" s="73"/>
      <c r="JAT11" s="73"/>
      <c r="JAU11" s="73"/>
      <c r="JAV11" s="73"/>
      <c r="JAW11" s="73"/>
      <c r="JAX11" s="73"/>
      <c r="JAY11" s="73"/>
      <c r="JAZ11" s="73"/>
      <c r="JBA11" s="73"/>
      <c r="JBB11" s="73"/>
      <c r="JBC11" s="73"/>
      <c r="JBD11" s="73"/>
      <c r="JBE11" s="73"/>
      <c r="JBF11" s="73"/>
      <c r="JBG11" s="73"/>
      <c r="JBH11" s="73"/>
      <c r="JBI11" s="73"/>
      <c r="JBJ11" s="73"/>
      <c r="JBK11" s="73"/>
      <c r="JBL11" s="73"/>
      <c r="JBM11" s="73"/>
      <c r="JBN11" s="73"/>
      <c r="JBO11" s="73"/>
      <c r="JBP11" s="73"/>
      <c r="JBQ11" s="73"/>
      <c r="JBR11" s="73"/>
      <c r="JBS11" s="73"/>
      <c r="JBT11" s="73"/>
      <c r="JBU11" s="73"/>
      <c r="JBV11" s="73"/>
      <c r="JBW11" s="73"/>
      <c r="JBX11" s="73"/>
      <c r="JBY11" s="73"/>
      <c r="JBZ11" s="73"/>
      <c r="JCA11" s="73"/>
      <c r="JCB11" s="73"/>
      <c r="JCC11" s="73"/>
      <c r="JCD11" s="73"/>
      <c r="JCE11" s="73"/>
      <c r="JCF11" s="73"/>
      <c r="JCG11" s="73"/>
      <c r="JCH11" s="73"/>
      <c r="JCI11" s="73"/>
      <c r="JCJ11" s="73"/>
      <c r="JCK11" s="73"/>
      <c r="JCL11" s="73"/>
      <c r="JCM11" s="73"/>
      <c r="JCN11" s="73"/>
      <c r="JCO11" s="73"/>
      <c r="JCP11" s="73"/>
      <c r="JCQ11" s="73"/>
      <c r="JCR11" s="73"/>
      <c r="JCS11" s="73"/>
      <c r="JCT11" s="73"/>
      <c r="JCU11" s="73"/>
      <c r="JCV11" s="73"/>
      <c r="JCW11" s="73"/>
      <c r="JCX11" s="73"/>
      <c r="JCY11" s="73"/>
      <c r="JCZ11" s="73"/>
      <c r="JDA11" s="73"/>
      <c r="JDB11" s="73"/>
      <c r="JDC11" s="73"/>
      <c r="JDD11" s="73"/>
      <c r="JDE11" s="73"/>
      <c r="JDF11" s="73"/>
      <c r="JDG11" s="73"/>
      <c r="JDH11" s="73"/>
      <c r="JDI11" s="73"/>
      <c r="JDJ11" s="73"/>
      <c r="JDK11" s="73"/>
      <c r="JDL11" s="73"/>
      <c r="JDM11" s="73"/>
      <c r="JDN11" s="73"/>
      <c r="JDO11" s="73"/>
      <c r="JDP11" s="73"/>
      <c r="JDQ11" s="73"/>
      <c r="JDR11" s="73"/>
      <c r="JDS11" s="73"/>
      <c r="JDT11" s="73"/>
      <c r="JDU11" s="73"/>
      <c r="JDV11" s="73"/>
      <c r="JDW11" s="73"/>
      <c r="JDX11" s="73"/>
      <c r="JDY11" s="73"/>
      <c r="JDZ11" s="73"/>
      <c r="JEA11" s="73"/>
      <c r="JEB11" s="73"/>
      <c r="JEC11" s="73"/>
      <c r="JED11" s="73"/>
      <c r="JEE11" s="73"/>
      <c r="JEF11" s="73"/>
      <c r="JEG11" s="73"/>
      <c r="JEH11" s="73"/>
      <c r="JEI11" s="73"/>
      <c r="JEJ11" s="73"/>
      <c r="JEK11" s="73"/>
      <c r="JEL11" s="73"/>
      <c r="JEM11" s="73"/>
      <c r="JEN11" s="73"/>
      <c r="JEO11" s="73"/>
      <c r="JEP11" s="73"/>
      <c r="JEQ11" s="73"/>
      <c r="JER11" s="73"/>
      <c r="JES11" s="73"/>
      <c r="JET11" s="73"/>
      <c r="JEU11" s="73"/>
      <c r="JEV11" s="73"/>
      <c r="JEW11" s="73"/>
      <c r="JEX11" s="73"/>
      <c r="JEY11" s="73"/>
      <c r="JEZ11" s="73"/>
      <c r="JFA11" s="73"/>
      <c r="JFB11" s="73"/>
      <c r="JFC11" s="73"/>
      <c r="JFD11" s="73"/>
      <c r="JFE11" s="73"/>
      <c r="JFF11" s="73"/>
      <c r="JFG11" s="73"/>
      <c r="JFH11" s="73"/>
      <c r="JFI11" s="73"/>
      <c r="JFJ11" s="73"/>
      <c r="JFK11" s="73"/>
      <c r="JFL11" s="73"/>
      <c r="JFM11" s="73"/>
      <c r="JFN11" s="73"/>
      <c r="JFO11" s="73"/>
      <c r="JFP11" s="73"/>
      <c r="JFQ11" s="73"/>
      <c r="JFR11" s="73"/>
      <c r="JFS11" s="73"/>
      <c r="JFT11" s="73"/>
      <c r="JFU11" s="73"/>
      <c r="JFV11" s="73"/>
      <c r="JFW11" s="73"/>
      <c r="JFX11" s="73"/>
      <c r="JFY11" s="73"/>
      <c r="JFZ11" s="73"/>
      <c r="JGA11" s="73"/>
      <c r="JGB11" s="73"/>
      <c r="JGC11" s="73"/>
      <c r="JGD11" s="73"/>
      <c r="JGE11" s="73"/>
      <c r="JGF11" s="73"/>
      <c r="JGG11" s="73"/>
      <c r="JGH11" s="73"/>
      <c r="JGI11" s="73"/>
      <c r="JGJ11" s="73"/>
      <c r="JGK11" s="73"/>
      <c r="JGL11" s="73"/>
      <c r="JGM11" s="73"/>
      <c r="JGN11" s="73"/>
      <c r="JGO11" s="73"/>
      <c r="JGP11" s="73"/>
      <c r="JGQ11" s="73"/>
      <c r="JGR11" s="73"/>
      <c r="JGS11" s="73"/>
      <c r="JGT11" s="73"/>
      <c r="JGU11" s="73"/>
      <c r="JGV11" s="73"/>
      <c r="JGW11" s="73"/>
      <c r="JGX11" s="73"/>
      <c r="JGY11" s="73"/>
      <c r="JGZ11" s="73"/>
      <c r="JHA11" s="73"/>
      <c r="JHB11" s="73"/>
      <c r="JHC11" s="73"/>
      <c r="JHD11" s="73"/>
      <c r="JHE11" s="73"/>
      <c r="JHF11" s="73"/>
      <c r="JHG11" s="73"/>
      <c r="JHH11" s="73"/>
      <c r="JHI11" s="73"/>
      <c r="JHJ11" s="73"/>
      <c r="JHK11" s="73"/>
      <c r="JHL11" s="73"/>
      <c r="JHM11" s="73"/>
      <c r="JHN11" s="73"/>
      <c r="JHO11" s="73"/>
      <c r="JHP11" s="73"/>
      <c r="JHQ11" s="73"/>
      <c r="JHR11" s="73"/>
      <c r="JHS11" s="73"/>
      <c r="JHT11" s="73"/>
      <c r="JHU11" s="73"/>
      <c r="JHV11" s="73"/>
      <c r="JHW11" s="73"/>
      <c r="JHX11" s="73"/>
      <c r="JHY11" s="73"/>
      <c r="JHZ11" s="73"/>
      <c r="JIA11" s="73"/>
      <c r="JIB11" s="73"/>
      <c r="JIC11" s="73"/>
      <c r="JID11" s="73"/>
      <c r="JIE11" s="73"/>
      <c r="JIF11" s="73"/>
      <c r="JIG11" s="73"/>
      <c r="JIH11" s="73"/>
      <c r="JII11" s="73"/>
      <c r="JIJ11" s="73"/>
      <c r="JIK11" s="73"/>
      <c r="JIL11" s="73"/>
      <c r="JIM11" s="73"/>
      <c r="JIN11" s="73"/>
      <c r="JIO11" s="73"/>
      <c r="JIP11" s="73"/>
      <c r="JIQ11" s="73"/>
      <c r="JIR11" s="73"/>
      <c r="JIS11" s="73"/>
      <c r="JIT11" s="73"/>
      <c r="JIU11" s="73"/>
      <c r="JIV11" s="73"/>
      <c r="JIW11" s="73"/>
      <c r="JIX11" s="73"/>
      <c r="JIY11" s="73"/>
      <c r="JIZ11" s="73"/>
      <c r="JJA11" s="73"/>
      <c r="JJB11" s="73"/>
      <c r="JJC11" s="73"/>
      <c r="JJD11" s="73"/>
      <c r="JJE11" s="73"/>
      <c r="JJF11" s="73"/>
      <c r="JJG11" s="73"/>
      <c r="JJH11" s="73"/>
      <c r="JJI11" s="73"/>
      <c r="JJJ11" s="73"/>
      <c r="JJK11" s="73"/>
      <c r="JJL11" s="73"/>
      <c r="JJM11" s="73"/>
      <c r="JJN11" s="73"/>
      <c r="JJO11" s="73"/>
      <c r="JJP11" s="73"/>
      <c r="JJQ11" s="73"/>
      <c r="JJR11" s="73"/>
      <c r="JJS11" s="73"/>
      <c r="JJT11" s="73"/>
      <c r="JJU11" s="73"/>
      <c r="JJV11" s="73"/>
      <c r="JJW11" s="73"/>
      <c r="JJX11" s="73"/>
      <c r="JJY11" s="73"/>
      <c r="JJZ11" s="73"/>
      <c r="JKA11" s="73"/>
      <c r="JKB11" s="73"/>
      <c r="JKC11" s="73"/>
      <c r="JKD11" s="73"/>
      <c r="JKE11" s="73"/>
      <c r="JKF11" s="73"/>
      <c r="JKG11" s="73"/>
      <c r="JKH11" s="73"/>
      <c r="JKI11" s="73"/>
      <c r="JKJ11" s="73"/>
      <c r="JKK11" s="73"/>
      <c r="JKL11" s="73"/>
      <c r="JKM11" s="73"/>
      <c r="JKN11" s="73"/>
      <c r="JKO11" s="73"/>
      <c r="JKP11" s="73"/>
      <c r="JKQ11" s="73"/>
      <c r="JKR11" s="73"/>
      <c r="JKS11" s="73"/>
      <c r="JKT11" s="73"/>
      <c r="JKU11" s="73"/>
      <c r="JKV11" s="73"/>
      <c r="JKW11" s="73"/>
      <c r="JKX11" s="73"/>
      <c r="JKY11" s="73"/>
      <c r="JKZ11" s="73"/>
      <c r="JLA11" s="73"/>
      <c r="JLB11" s="73"/>
      <c r="JLC11" s="73"/>
      <c r="JLD11" s="73"/>
      <c r="JLE11" s="73"/>
      <c r="JLF11" s="73"/>
      <c r="JLG11" s="73"/>
      <c r="JLH11" s="73"/>
      <c r="JLI11" s="73"/>
      <c r="JLJ11" s="73"/>
      <c r="JLK11" s="73"/>
      <c r="JLL11" s="73"/>
      <c r="JLM11" s="73"/>
      <c r="JLN11" s="73"/>
      <c r="JLO11" s="73"/>
      <c r="JLP11" s="73"/>
      <c r="JLQ11" s="73"/>
      <c r="JLR11" s="73"/>
      <c r="JLS11" s="73"/>
      <c r="JLT11" s="73"/>
      <c r="JLU11" s="73"/>
      <c r="JLV11" s="73"/>
      <c r="JLW11" s="73"/>
      <c r="JLX11" s="73"/>
      <c r="JLY11" s="73"/>
      <c r="JLZ11" s="73"/>
      <c r="JMA11" s="73"/>
      <c r="JMB11" s="73"/>
      <c r="JMC11" s="73"/>
      <c r="JMD11" s="73"/>
      <c r="JME11" s="73"/>
      <c r="JMF11" s="73"/>
      <c r="JMG11" s="73"/>
      <c r="JMH11" s="73"/>
      <c r="JMI11" s="73"/>
      <c r="JMJ11" s="73"/>
      <c r="JMK11" s="73"/>
      <c r="JML11" s="73"/>
      <c r="JMM11" s="73"/>
      <c r="JMN11" s="73"/>
      <c r="JMO11" s="73"/>
      <c r="JMP11" s="73"/>
      <c r="JMQ11" s="73"/>
      <c r="JMR11" s="73"/>
      <c r="JMS11" s="73"/>
      <c r="JMT11" s="73"/>
      <c r="JMU11" s="73"/>
      <c r="JMV11" s="73"/>
      <c r="JMW11" s="73"/>
      <c r="JMX11" s="73"/>
      <c r="JMY11" s="73"/>
      <c r="JMZ11" s="73"/>
      <c r="JNA11" s="73"/>
      <c r="JNB11" s="73"/>
      <c r="JNC11" s="73"/>
      <c r="JND11" s="73"/>
      <c r="JNE11" s="73"/>
      <c r="JNF11" s="73"/>
      <c r="JNG11" s="73"/>
      <c r="JNH11" s="73"/>
      <c r="JNI11" s="73"/>
      <c r="JNJ11" s="73"/>
      <c r="JNK11" s="73"/>
      <c r="JNL11" s="73"/>
      <c r="JNM11" s="73"/>
      <c r="JNN11" s="73"/>
      <c r="JNO11" s="73"/>
      <c r="JNP11" s="73"/>
      <c r="JNQ11" s="73"/>
      <c r="JNR11" s="73"/>
      <c r="JNS11" s="73"/>
      <c r="JNT11" s="73"/>
      <c r="JNU11" s="73"/>
      <c r="JNV11" s="73"/>
      <c r="JNW11" s="73"/>
      <c r="JNX11" s="73"/>
      <c r="JNY11" s="73"/>
      <c r="JNZ11" s="73"/>
      <c r="JOA11" s="73"/>
      <c r="JOB11" s="73"/>
      <c r="JOC11" s="73"/>
      <c r="JOD11" s="73"/>
      <c r="JOE11" s="73"/>
      <c r="JOF11" s="73"/>
      <c r="JOG11" s="73"/>
      <c r="JOH11" s="73"/>
      <c r="JOI11" s="73"/>
      <c r="JOJ11" s="73"/>
      <c r="JOK11" s="73"/>
      <c r="JOL11" s="73"/>
      <c r="JOM11" s="73"/>
      <c r="JON11" s="73"/>
      <c r="JOO11" s="73"/>
      <c r="JOP11" s="73"/>
      <c r="JOQ11" s="73"/>
      <c r="JOR11" s="73"/>
      <c r="JOS11" s="73"/>
      <c r="JOT11" s="73"/>
      <c r="JOU11" s="73"/>
      <c r="JOV11" s="73"/>
      <c r="JOW11" s="73"/>
      <c r="JOX11" s="73"/>
      <c r="JOY11" s="73"/>
      <c r="JOZ11" s="73"/>
      <c r="JPA11" s="73"/>
      <c r="JPB11" s="73"/>
      <c r="JPC11" s="73"/>
      <c r="JPD11" s="73"/>
      <c r="JPE11" s="73"/>
      <c r="JPF11" s="73"/>
      <c r="JPG11" s="73"/>
      <c r="JPH11" s="73"/>
      <c r="JPI11" s="73"/>
      <c r="JPJ11" s="73"/>
      <c r="JPK11" s="73"/>
      <c r="JPL11" s="73"/>
      <c r="JPM11" s="73"/>
      <c r="JPN11" s="73"/>
      <c r="JPO11" s="73"/>
      <c r="JPP11" s="73"/>
      <c r="JPQ11" s="73"/>
      <c r="JPR11" s="73"/>
      <c r="JPS11" s="73"/>
      <c r="JPT11" s="73"/>
      <c r="JPU11" s="73"/>
      <c r="JPV11" s="73"/>
      <c r="JPW11" s="73"/>
      <c r="JPX11" s="73"/>
      <c r="JPY11" s="73"/>
      <c r="JPZ11" s="73"/>
      <c r="JQA11" s="73"/>
      <c r="JQB11" s="73"/>
      <c r="JQC11" s="73"/>
      <c r="JQD11" s="73"/>
      <c r="JQE11" s="73"/>
      <c r="JQF11" s="73"/>
      <c r="JQG11" s="73"/>
      <c r="JQH11" s="73"/>
      <c r="JQI11" s="73"/>
      <c r="JQJ11" s="73"/>
      <c r="JQK11" s="73"/>
      <c r="JQL11" s="73"/>
      <c r="JQM11" s="73"/>
      <c r="JQN11" s="73"/>
      <c r="JQO11" s="73"/>
      <c r="JQP11" s="73"/>
      <c r="JQQ11" s="73"/>
      <c r="JQR11" s="73"/>
      <c r="JQS11" s="73"/>
      <c r="JQT11" s="73"/>
      <c r="JQU11" s="73"/>
      <c r="JQV11" s="73"/>
      <c r="JQW11" s="73"/>
      <c r="JQX11" s="73"/>
      <c r="JQY11" s="73"/>
      <c r="JQZ11" s="73"/>
      <c r="JRA11" s="73"/>
      <c r="JRB11" s="73"/>
      <c r="JRC11" s="73"/>
      <c r="JRD11" s="73"/>
      <c r="JRE11" s="73"/>
      <c r="JRF11" s="73"/>
      <c r="JRG11" s="73"/>
      <c r="JRH11" s="73"/>
      <c r="JRI11" s="73"/>
      <c r="JRJ11" s="73"/>
      <c r="JRK11" s="73"/>
      <c r="JRL11" s="73"/>
      <c r="JRM11" s="73"/>
      <c r="JRN11" s="73"/>
      <c r="JRO11" s="73"/>
      <c r="JRP11" s="73"/>
      <c r="JRQ11" s="73"/>
      <c r="JRR11" s="73"/>
      <c r="JRS11" s="73"/>
      <c r="JRT11" s="73"/>
      <c r="JRU11" s="73"/>
      <c r="JRV11" s="73"/>
      <c r="JRW11" s="73"/>
      <c r="JRX11" s="73"/>
      <c r="JRY11" s="73"/>
      <c r="JRZ11" s="73"/>
      <c r="JSA11" s="73"/>
      <c r="JSB11" s="73"/>
      <c r="JSC11" s="73"/>
      <c r="JSD11" s="73"/>
      <c r="JSE11" s="73"/>
      <c r="JSF11" s="73"/>
      <c r="JSG11" s="73"/>
      <c r="JSH11" s="73"/>
      <c r="JSI11" s="73"/>
      <c r="JSJ11" s="73"/>
      <c r="JSK11" s="73"/>
      <c r="JSL11" s="73"/>
      <c r="JSM11" s="73"/>
      <c r="JSN11" s="73"/>
      <c r="JSO11" s="73"/>
      <c r="JSP11" s="73"/>
      <c r="JSQ11" s="73"/>
      <c r="JSR11" s="73"/>
      <c r="JSS11" s="73"/>
      <c r="JST11" s="73"/>
      <c r="JSU11" s="73"/>
      <c r="JSV11" s="73"/>
      <c r="JSW11" s="73"/>
      <c r="JSX11" s="73"/>
      <c r="JSY11" s="73"/>
      <c r="JSZ11" s="73"/>
      <c r="JTA11" s="73"/>
      <c r="JTB11" s="73"/>
      <c r="JTC11" s="73"/>
      <c r="JTD11" s="73"/>
      <c r="JTE11" s="73"/>
      <c r="JTF11" s="73"/>
      <c r="JTG11" s="73"/>
      <c r="JTH11" s="73"/>
      <c r="JTI11" s="73"/>
      <c r="JTJ11" s="73"/>
      <c r="JTK11" s="73"/>
      <c r="JTL11" s="73"/>
      <c r="JTM11" s="73"/>
      <c r="JTN11" s="73"/>
      <c r="JTO11" s="73"/>
      <c r="JTP11" s="73"/>
      <c r="JTQ11" s="73"/>
      <c r="JTR11" s="73"/>
      <c r="JTS11" s="73"/>
      <c r="JTT11" s="73"/>
      <c r="JTU11" s="73"/>
      <c r="JTV11" s="73"/>
      <c r="JTW11" s="73"/>
      <c r="JTX11" s="73"/>
      <c r="JTY11" s="73"/>
      <c r="JTZ11" s="73"/>
      <c r="JUA11" s="73"/>
      <c r="JUB11" s="73"/>
      <c r="JUC11" s="73"/>
      <c r="JUD11" s="73"/>
      <c r="JUE11" s="73"/>
      <c r="JUF11" s="73"/>
      <c r="JUG11" s="73"/>
      <c r="JUH11" s="73"/>
      <c r="JUI11" s="73"/>
      <c r="JUJ11" s="73"/>
      <c r="JUK11" s="73"/>
      <c r="JUL11" s="73"/>
      <c r="JUM11" s="73"/>
      <c r="JUN11" s="73"/>
      <c r="JUO11" s="73"/>
      <c r="JUP11" s="73"/>
      <c r="JUQ11" s="73"/>
      <c r="JUR11" s="73"/>
      <c r="JUS11" s="73"/>
      <c r="JUT11" s="73"/>
      <c r="JUU11" s="73"/>
      <c r="JUV11" s="73"/>
      <c r="JUW11" s="73"/>
      <c r="JUX11" s="73"/>
      <c r="JUY11" s="73"/>
      <c r="JUZ11" s="73"/>
      <c r="JVA11" s="73"/>
      <c r="JVB11" s="73"/>
      <c r="JVC11" s="73"/>
      <c r="JVD11" s="73"/>
      <c r="JVE11" s="73"/>
      <c r="JVF11" s="73"/>
      <c r="JVG11" s="73"/>
      <c r="JVH11" s="73"/>
      <c r="JVI11" s="73"/>
      <c r="JVJ11" s="73"/>
      <c r="JVK11" s="73"/>
      <c r="JVL11" s="73"/>
      <c r="JVM11" s="73"/>
      <c r="JVN11" s="73"/>
      <c r="JVO11" s="73"/>
      <c r="JVP11" s="73"/>
      <c r="JVQ11" s="73"/>
      <c r="JVR11" s="73"/>
      <c r="JVS11" s="73"/>
      <c r="JVT11" s="73"/>
      <c r="JVU11" s="73"/>
      <c r="JVV11" s="73"/>
      <c r="JVW11" s="73"/>
      <c r="JVX11" s="73"/>
      <c r="JVY11" s="73"/>
      <c r="JVZ11" s="73"/>
      <c r="JWA11" s="73"/>
      <c r="JWB11" s="73"/>
      <c r="JWC11" s="73"/>
      <c r="JWD11" s="73"/>
      <c r="JWE11" s="73"/>
      <c r="JWF11" s="73"/>
      <c r="JWG11" s="73"/>
      <c r="JWH11" s="73"/>
      <c r="JWI11" s="73"/>
      <c r="JWJ11" s="73"/>
      <c r="JWK11" s="73"/>
      <c r="JWL11" s="73"/>
      <c r="JWM11" s="73"/>
      <c r="JWN11" s="73"/>
      <c r="JWO11" s="73"/>
      <c r="JWP11" s="73"/>
      <c r="JWQ11" s="73"/>
      <c r="JWR11" s="73"/>
      <c r="JWS11" s="73"/>
      <c r="JWT11" s="73"/>
      <c r="JWU11" s="73"/>
      <c r="JWV11" s="73"/>
      <c r="JWW11" s="73"/>
      <c r="JWX11" s="73"/>
      <c r="JWY11" s="73"/>
      <c r="JWZ11" s="73"/>
      <c r="JXA11" s="73"/>
      <c r="JXB11" s="73"/>
      <c r="JXC11" s="73"/>
      <c r="JXD11" s="73"/>
      <c r="JXE11" s="73"/>
      <c r="JXF11" s="73"/>
      <c r="JXG11" s="73"/>
      <c r="JXH11" s="73"/>
      <c r="JXI11" s="73"/>
      <c r="JXJ11" s="73"/>
      <c r="JXK11" s="73"/>
      <c r="JXL11" s="73"/>
      <c r="JXM11" s="73"/>
      <c r="JXN11" s="73"/>
      <c r="JXO11" s="73"/>
      <c r="JXP11" s="73"/>
      <c r="JXQ11" s="73"/>
      <c r="JXR11" s="73"/>
      <c r="JXS11" s="73"/>
      <c r="JXT11" s="73"/>
      <c r="JXU11" s="73"/>
      <c r="JXV11" s="73"/>
      <c r="JXW11" s="73"/>
      <c r="JXX11" s="73"/>
      <c r="JXY11" s="73"/>
      <c r="JXZ11" s="73"/>
      <c r="JYA11" s="73"/>
      <c r="JYB11" s="73"/>
      <c r="JYC11" s="73"/>
      <c r="JYD11" s="73"/>
      <c r="JYE11" s="73"/>
      <c r="JYF11" s="73"/>
      <c r="JYG11" s="73"/>
      <c r="JYH11" s="73"/>
      <c r="JYI11" s="73"/>
      <c r="JYJ11" s="73"/>
      <c r="JYK11" s="73"/>
      <c r="JYL11" s="73"/>
      <c r="JYM11" s="73"/>
      <c r="JYN11" s="73"/>
      <c r="JYO11" s="73"/>
      <c r="JYP11" s="73"/>
      <c r="JYQ11" s="73"/>
      <c r="JYR11" s="73"/>
      <c r="JYS11" s="73"/>
      <c r="JYT11" s="73"/>
      <c r="JYU11" s="73"/>
      <c r="JYV11" s="73"/>
      <c r="JYW11" s="73"/>
      <c r="JYX11" s="73"/>
      <c r="JYY11" s="73"/>
      <c r="JYZ11" s="73"/>
      <c r="JZA11" s="73"/>
      <c r="JZB11" s="73"/>
      <c r="JZC11" s="73"/>
      <c r="JZD11" s="73"/>
      <c r="JZE11" s="73"/>
      <c r="JZF11" s="73"/>
      <c r="JZG11" s="73"/>
      <c r="JZH11" s="73"/>
      <c r="JZI11" s="73"/>
      <c r="JZJ11" s="73"/>
      <c r="JZK11" s="73"/>
      <c r="JZL11" s="73"/>
      <c r="JZM11" s="73"/>
      <c r="JZN11" s="73"/>
      <c r="JZO11" s="73"/>
      <c r="JZP11" s="73"/>
      <c r="JZQ11" s="73"/>
      <c r="JZR11" s="73"/>
      <c r="JZS11" s="73"/>
      <c r="JZT11" s="73"/>
      <c r="JZU11" s="73"/>
      <c r="JZV11" s="73"/>
      <c r="JZW11" s="73"/>
      <c r="JZX11" s="73"/>
      <c r="JZY11" s="73"/>
      <c r="JZZ11" s="73"/>
      <c r="KAA11" s="73"/>
      <c r="KAB11" s="73"/>
      <c r="KAC11" s="73"/>
      <c r="KAD11" s="73"/>
      <c r="KAE11" s="73"/>
      <c r="KAF11" s="73"/>
      <c r="KAG11" s="73"/>
      <c r="KAH11" s="73"/>
      <c r="KAI11" s="73"/>
      <c r="KAJ11" s="73"/>
      <c r="KAK11" s="73"/>
      <c r="KAL11" s="73"/>
      <c r="KAM11" s="73"/>
      <c r="KAN11" s="73"/>
      <c r="KAO11" s="73"/>
      <c r="KAP11" s="73"/>
      <c r="KAQ11" s="73"/>
      <c r="KAR11" s="73"/>
      <c r="KAS11" s="73"/>
      <c r="KAT11" s="73"/>
      <c r="KAU11" s="73"/>
      <c r="KAV11" s="73"/>
      <c r="KAW11" s="73"/>
      <c r="KAX11" s="73"/>
      <c r="KAY11" s="73"/>
      <c r="KAZ11" s="73"/>
      <c r="KBA11" s="73"/>
      <c r="KBB11" s="73"/>
      <c r="KBC11" s="73"/>
      <c r="KBD11" s="73"/>
      <c r="KBE11" s="73"/>
      <c r="KBF11" s="73"/>
      <c r="KBG11" s="73"/>
      <c r="KBH11" s="73"/>
      <c r="KBI11" s="73"/>
      <c r="KBJ11" s="73"/>
      <c r="KBK11" s="73"/>
      <c r="KBL11" s="73"/>
      <c r="KBM11" s="73"/>
      <c r="KBN11" s="73"/>
      <c r="KBO11" s="73"/>
      <c r="KBP11" s="73"/>
      <c r="KBQ11" s="73"/>
      <c r="KBR11" s="73"/>
      <c r="KBS11" s="73"/>
      <c r="KBT11" s="73"/>
      <c r="KBU11" s="73"/>
      <c r="KBV11" s="73"/>
      <c r="KBW11" s="73"/>
      <c r="KBX11" s="73"/>
      <c r="KBY11" s="73"/>
      <c r="KBZ11" s="73"/>
      <c r="KCA11" s="73"/>
      <c r="KCB11" s="73"/>
      <c r="KCC11" s="73"/>
      <c r="KCD11" s="73"/>
      <c r="KCE11" s="73"/>
      <c r="KCF11" s="73"/>
      <c r="KCG11" s="73"/>
      <c r="KCH11" s="73"/>
      <c r="KCI11" s="73"/>
      <c r="KCJ11" s="73"/>
      <c r="KCK11" s="73"/>
      <c r="KCL11" s="73"/>
      <c r="KCM11" s="73"/>
      <c r="KCN11" s="73"/>
      <c r="KCO11" s="73"/>
      <c r="KCP11" s="73"/>
      <c r="KCQ11" s="73"/>
      <c r="KCR11" s="73"/>
      <c r="KCS11" s="73"/>
      <c r="KCT11" s="73"/>
      <c r="KCU11" s="73"/>
      <c r="KCV11" s="73"/>
      <c r="KCW11" s="73"/>
      <c r="KCX11" s="73"/>
      <c r="KCY11" s="73"/>
      <c r="KCZ11" s="73"/>
      <c r="KDA11" s="73"/>
      <c r="KDB11" s="73"/>
      <c r="KDC11" s="73"/>
      <c r="KDD11" s="73"/>
      <c r="KDE11" s="73"/>
      <c r="KDF11" s="73"/>
      <c r="KDG11" s="73"/>
      <c r="KDH11" s="73"/>
      <c r="KDI11" s="73"/>
      <c r="KDJ11" s="73"/>
      <c r="KDK11" s="73"/>
      <c r="KDL11" s="73"/>
      <c r="KDM11" s="73"/>
      <c r="KDN11" s="73"/>
      <c r="KDO11" s="73"/>
      <c r="KDP11" s="73"/>
      <c r="KDQ11" s="73"/>
      <c r="KDR11" s="73"/>
      <c r="KDS11" s="73"/>
      <c r="KDT11" s="73"/>
      <c r="KDU11" s="73"/>
      <c r="KDV11" s="73"/>
      <c r="KDW11" s="73"/>
      <c r="KDX11" s="73"/>
      <c r="KDY11" s="73"/>
      <c r="KDZ11" s="73"/>
      <c r="KEA11" s="73"/>
      <c r="KEB11" s="73"/>
      <c r="KEC11" s="73"/>
      <c r="KED11" s="73"/>
      <c r="KEE11" s="73"/>
      <c r="KEF11" s="73"/>
      <c r="KEG11" s="73"/>
      <c r="KEH11" s="73"/>
      <c r="KEI11" s="73"/>
      <c r="KEJ11" s="73"/>
      <c r="KEK11" s="73"/>
      <c r="KEL11" s="73"/>
      <c r="KEM11" s="73"/>
      <c r="KEN11" s="73"/>
      <c r="KEO11" s="73"/>
      <c r="KEP11" s="73"/>
      <c r="KEQ11" s="73"/>
      <c r="KER11" s="73"/>
      <c r="KES11" s="73"/>
      <c r="KET11" s="73"/>
      <c r="KEU11" s="73"/>
      <c r="KEV11" s="73"/>
      <c r="KEW11" s="73"/>
      <c r="KEX11" s="73"/>
      <c r="KEY11" s="73"/>
      <c r="KEZ11" s="73"/>
      <c r="KFA11" s="73"/>
      <c r="KFB11" s="73"/>
      <c r="KFC11" s="73"/>
      <c r="KFD11" s="73"/>
      <c r="KFE11" s="73"/>
      <c r="KFF11" s="73"/>
      <c r="KFG11" s="73"/>
      <c r="KFH11" s="73"/>
      <c r="KFI11" s="73"/>
      <c r="KFJ11" s="73"/>
      <c r="KFK11" s="73"/>
      <c r="KFL11" s="73"/>
      <c r="KFM11" s="73"/>
      <c r="KFN11" s="73"/>
      <c r="KFO11" s="73"/>
      <c r="KFP11" s="73"/>
      <c r="KFQ11" s="73"/>
      <c r="KFR11" s="73"/>
      <c r="KFS11" s="73"/>
      <c r="KFT11" s="73"/>
      <c r="KFU11" s="73"/>
      <c r="KFV11" s="73"/>
      <c r="KFW11" s="73"/>
      <c r="KFX11" s="73"/>
      <c r="KFY11" s="73"/>
      <c r="KFZ11" s="73"/>
      <c r="KGA11" s="73"/>
      <c r="KGB11" s="73"/>
      <c r="KGC11" s="73"/>
      <c r="KGD11" s="73"/>
      <c r="KGE11" s="73"/>
      <c r="KGF11" s="73"/>
      <c r="KGG11" s="73"/>
      <c r="KGH11" s="73"/>
      <c r="KGI11" s="73"/>
      <c r="KGJ11" s="73"/>
      <c r="KGK11" s="73"/>
      <c r="KGL11" s="73"/>
      <c r="KGM11" s="73"/>
      <c r="KGN11" s="73"/>
      <c r="KGO11" s="73"/>
      <c r="KGP11" s="73"/>
      <c r="KGQ11" s="73"/>
      <c r="KGR11" s="73"/>
      <c r="KGS11" s="73"/>
      <c r="KGT11" s="73"/>
      <c r="KGU11" s="73"/>
      <c r="KGV11" s="73"/>
      <c r="KGW11" s="73"/>
      <c r="KGX11" s="73"/>
      <c r="KGY11" s="73"/>
      <c r="KGZ11" s="73"/>
      <c r="KHA11" s="73"/>
      <c r="KHB11" s="73"/>
      <c r="KHC11" s="73"/>
      <c r="KHD11" s="73"/>
      <c r="KHE11" s="73"/>
      <c r="KHF11" s="73"/>
      <c r="KHG11" s="73"/>
      <c r="KHH11" s="73"/>
      <c r="KHI11" s="73"/>
      <c r="KHJ11" s="73"/>
      <c r="KHK11" s="73"/>
      <c r="KHL11" s="73"/>
      <c r="KHM11" s="73"/>
      <c r="KHN11" s="73"/>
      <c r="KHO11" s="73"/>
      <c r="KHP11" s="73"/>
      <c r="KHQ11" s="73"/>
      <c r="KHR11" s="73"/>
      <c r="KHS11" s="73"/>
      <c r="KHT11" s="73"/>
      <c r="KHU11" s="73"/>
      <c r="KHV11" s="73"/>
      <c r="KHW11" s="73"/>
      <c r="KHX11" s="73"/>
      <c r="KHY11" s="73"/>
      <c r="KHZ11" s="73"/>
      <c r="KIA11" s="73"/>
      <c r="KIB11" s="73"/>
      <c r="KIC11" s="73"/>
      <c r="KID11" s="73"/>
      <c r="KIE11" s="73"/>
      <c r="KIF11" s="73"/>
      <c r="KIG11" s="73"/>
      <c r="KIH11" s="73"/>
      <c r="KII11" s="73"/>
      <c r="KIJ11" s="73"/>
      <c r="KIK11" s="73"/>
      <c r="KIL11" s="73"/>
      <c r="KIM11" s="73"/>
      <c r="KIN11" s="73"/>
      <c r="KIO11" s="73"/>
      <c r="KIP11" s="73"/>
      <c r="KIQ11" s="73"/>
      <c r="KIR11" s="73"/>
      <c r="KIS11" s="73"/>
      <c r="KIT11" s="73"/>
      <c r="KIU11" s="73"/>
      <c r="KIV11" s="73"/>
      <c r="KIW11" s="73"/>
      <c r="KIX11" s="73"/>
      <c r="KIY11" s="73"/>
      <c r="KIZ11" s="73"/>
      <c r="KJA11" s="73"/>
      <c r="KJB11" s="73"/>
      <c r="KJC11" s="73"/>
      <c r="KJD11" s="73"/>
      <c r="KJE11" s="73"/>
      <c r="KJF11" s="73"/>
      <c r="KJG11" s="73"/>
      <c r="KJH11" s="73"/>
      <c r="KJI11" s="73"/>
      <c r="KJJ11" s="73"/>
      <c r="KJK11" s="73"/>
      <c r="KJL11" s="73"/>
      <c r="KJM11" s="73"/>
      <c r="KJN11" s="73"/>
      <c r="KJO11" s="73"/>
      <c r="KJP11" s="73"/>
      <c r="KJQ11" s="73"/>
      <c r="KJR11" s="73"/>
      <c r="KJS11" s="73"/>
      <c r="KJT11" s="73"/>
      <c r="KJU11" s="73"/>
      <c r="KJV11" s="73"/>
      <c r="KJW11" s="73"/>
      <c r="KJX11" s="73"/>
      <c r="KJY11" s="73"/>
      <c r="KJZ11" s="73"/>
      <c r="KKA11" s="73"/>
      <c r="KKB11" s="73"/>
      <c r="KKC11" s="73"/>
      <c r="KKD11" s="73"/>
      <c r="KKE11" s="73"/>
      <c r="KKF11" s="73"/>
      <c r="KKG11" s="73"/>
      <c r="KKH11" s="73"/>
      <c r="KKI11" s="73"/>
      <c r="KKJ11" s="73"/>
      <c r="KKK11" s="73"/>
      <c r="KKL11" s="73"/>
      <c r="KKM11" s="73"/>
      <c r="KKN11" s="73"/>
      <c r="KKO11" s="73"/>
      <c r="KKP11" s="73"/>
      <c r="KKQ11" s="73"/>
      <c r="KKR11" s="73"/>
      <c r="KKS11" s="73"/>
      <c r="KKT11" s="73"/>
      <c r="KKU11" s="73"/>
      <c r="KKV11" s="73"/>
      <c r="KKW11" s="73"/>
      <c r="KKX11" s="73"/>
      <c r="KKY11" s="73"/>
      <c r="KKZ11" s="73"/>
      <c r="KLA11" s="73"/>
      <c r="KLB11" s="73"/>
      <c r="KLC11" s="73"/>
      <c r="KLD11" s="73"/>
      <c r="KLE11" s="73"/>
      <c r="KLF11" s="73"/>
      <c r="KLG11" s="73"/>
      <c r="KLH11" s="73"/>
      <c r="KLI11" s="73"/>
      <c r="KLJ11" s="73"/>
      <c r="KLK11" s="73"/>
      <c r="KLL11" s="73"/>
      <c r="KLM11" s="73"/>
      <c r="KLN11" s="73"/>
      <c r="KLO11" s="73"/>
      <c r="KLP11" s="73"/>
      <c r="KLQ11" s="73"/>
      <c r="KLR11" s="73"/>
      <c r="KLS11" s="73"/>
      <c r="KLT11" s="73"/>
      <c r="KLU11" s="73"/>
      <c r="KLV11" s="73"/>
      <c r="KLW11" s="73"/>
      <c r="KLX11" s="73"/>
      <c r="KLY11" s="73"/>
      <c r="KLZ11" s="73"/>
      <c r="KMA11" s="73"/>
      <c r="KMB11" s="73"/>
      <c r="KMC11" s="73"/>
      <c r="KMD11" s="73"/>
      <c r="KME11" s="73"/>
      <c r="KMF11" s="73"/>
      <c r="KMG11" s="73"/>
      <c r="KMH11" s="73"/>
      <c r="KMI11" s="73"/>
      <c r="KMJ11" s="73"/>
      <c r="KMK11" s="73"/>
      <c r="KML11" s="73"/>
      <c r="KMM11" s="73"/>
      <c r="KMN11" s="73"/>
      <c r="KMO11" s="73"/>
      <c r="KMP11" s="73"/>
      <c r="KMQ11" s="73"/>
      <c r="KMR11" s="73"/>
      <c r="KMS11" s="73"/>
      <c r="KMT11" s="73"/>
      <c r="KMU11" s="73"/>
      <c r="KMV11" s="73"/>
      <c r="KMW11" s="73"/>
      <c r="KMX11" s="73"/>
      <c r="KMY11" s="73"/>
      <c r="KMZ11" s="73"/>
      <c r="KNA11" s="73"/>
      <c r="KNB11" s="73"/>
      <c r="KNC11" s="73"/>
      <c r="KND11" s="73"/>
      <c r="KNE11" s="73"/>
      <c r="KNF11" s="73"/>
      <c r="KNG11" s="73"/>
      <c r="KNH11" s="73"/>
      <c r="KNI11" s="73"/>
      <c r="KNJ11" s="73"/>
      <c r="KNK11" s="73"/>
      <c r="KNL11" s="73"/>
      <c r="KNM11" s="73"/>
      <c r="KNN11" s="73"/>
      <c r="KNO11" s="73"/>
      <c r="KNP11" s="73"/>
      <c r="KNQ11" s="73"/>
      <c r="KNR11" s="73"/>
      <c r="KNS11" s="73"/>
      <c r="KNT11" s="73"/>
      <c r="KNU11" s="73"/>
      <c r="KNV11" s="73"/>
      <c r="KNW11" s="73"/>
      <c r="KNX11" s="73"/>
      <c r="KNY11" s="73"/>
      <c r="KNZ11" s="73"/>
      <c r="KOA11" s="73"/>
      <c r="KOB11" s="73"/>
      <c r="KOC11" s="73"/>
      <c r="KOD11" s="73"/>
      <c r="KOE11" s="73"/>
      <c r="KOF11" s="73"/>
      <c r="KOG11" s="73"/>
      <c r="KOH11" s="73"/>
      <c r="KOI11" s="73"/>
      <c r="KOJ11" s="73"/>
      <c r="KOK11" s="73"/>
      <c r="KOL11" s="73"/>
      <c r="KOM11" s="73"/>
      <c r="KON11" s="73"/>
      <c r="KOO11" s="73"/>
      <c r="KOP11" s="73"/>
      <c r="KOQ11" s="73"/>
      <c r="KOR11" s="73"/>
      <c r="KOS11" s="73"/>
      <c r="KOT11" s="73"/>
      <c r="KOU11" s="73"/>
      <c r="KOV11" s="73"/>
      <c r="KOW11" s="73"/>
      <c r="KOX11" s="73"/>
      <c r="KOY11" s="73"/>
      <c r="KOZ11" s="73"/>
      <c r="KPA11" s="73"/>
      <c r="KPB11" s="73"/>
      <c r="KPC11" s="73"/>
      <c r="KPD11" s="73"/>
      <c r="KPE11" s="73"/>
      <c r="KPF11" s="73"/>
      <c r="KPG11" s="73"/>
      <c r="KPH11" s="73"/>
      <c r="KPI11" s="73"/>
      <c r="KPJ11" s="73"/>
      <c r="KPK11" s="73"/>
      <c r="KPL11" s="73"/>
      <c r="KPM11" s="73"/>
      <c r="KPN11" s="73"/>
      <c r="KPO11" s="73"/>
      <c r="KPP11" s="73"/>
      <c r="KPQ11" s="73"/>
      <c r="KPR11" s="73"/>
      <c r="KPS11" s="73"/>
      <c r="KPT11" s="73"/>
      <c r="KPU11" s="73"/>
      <c r="KPV11" s="73"/>
      <c r="KPW11" s="73"/>
      <c r="KPX11" s="73"/>
      <c r="KPY11" s="73"/>
      <c r="KPZ11" s="73"/>
      <c r="KQA11" s="73"/>
      <c r="KQB11" s="73"/>
      <c r="KQC11" s="73"/>
      <c r="KQD11" s="73"/>
      <c r="KQE11" s="73"/>
      <c r="KQF11" s="73"/>
      <c r="KQG11" s="73"/>
      <c r="KQH11" s="73"/>
      <c r="KQI11" s="73"/>
      <c r="KQJ11" s="73"/>
      <c r="KQK11" s="73"/>
      <c r="KQL11" s="73"/>
      <c r="KQM11" s="73"/>
      <c r="KQN11" s="73"/>
      <c r="KQO11" s="73"/>
      <c r="KQP11" s="73"/>
      <c r="KQQ11" s="73"/>
      <c r="KQR11" s="73"/>
      <c r="KQS11" s="73"/>
      <c r="KQT11" s="73"/>
      <c r="KQU11" s="73"/>
      <c r="KQV11" s="73"/>
      <c r="KQW11" s="73"/>
      <c r="KQX11" s="73"/>
      <c r="KQY11" s="73"/>
      <c r="KQZ11" s="73"/>
      <c r="KRA11" s="73"/>
      <c r="KRB11" s="73"/>
      <c r="KRC11" s="73"/>
      <c r="KRD11" s="73"/>
      <c r="KRE11" s="73"/>
      <c r="KRF11" s="73"/>
      <c r="KRG11" s="73"/>
      <c r="KRH11" s="73"/>
      <c r="KRI11" s="73"/>
      <c r="KRJ11" s="73"/>
      <c r="KRK11" s="73"/>
      <c r="KRL11" s="73"/>
      <c r="KRM11" s="73"/>
      <c r="KRN11" s="73"/>
      <c r="KRO11" s="73"/>
      <c r="KRP11" s="73"/>
      <c r="KRQ11" s="73"/>
      <c r="KRR11" s="73"/>
      <c r="KRS11" s="73"/>
      <c r="KRT11" s="73"/>
      <c r="KRU11" s="73"/>
      <c r="KRV11" s="73"/>
      <c r="KRW11" s="73"/>
      <c r="KRX11" s="73"/>
      <c r="KRY11" s="73"/>
      <c r="KRZ11" s="73"/>
      <c r="KSA11" s="73"/>
      <c r="KSB11" s="73"/>
      <c r="KSC11" s="73"/>
      <c r="KSD11" s="73"/>
      <c r="KSE11" s="73"/>
      <c r="KSF11" s="73"/>
      <c r="KSG11" s="73"/>
      <c r="KSH11" s="73"/>
      <c r="KSI11" s="73"/>
      <c r="KSJ11" s="73"/>
      <c r="KSK11" s="73"/>
      <c r="KSL11" s="73"/>
      <c r="KSM11" s="73"/>
      <c r="KSN11" s="73"/>
      <c r="KSO11" s="73"/>
      <c r="KSP11" s="73"/>
      <c r="KSQ11" s="73"/>
      <c r="KSR11" s="73"/>
      <c r="KSS11" s="73"/>
      <c r="KST11" s="73"/>
      <c r="KSU11" s="73"/>
      <c r="KSV11" s="73"/>
      <c r="KSW11" s="73"/>
      <c r="KSX11" s="73"/>
      <c r="KSY11" s="73"/>
      <c r="KSZ11" s="73"/>
      <c r="KTA11" s="73"/>
      <c r="KTB11" s="73"/>
      <c r="KTC11" s="73"/>
      <c r="KTD11" s="73"/>
      <c r="KTE11" s="73"/>
      <c r="KTF11" s="73"/>
      <c r="KTG11" s="73"/>
      <c r="KTH11" s="73"/>
      <c r="KTI11" s="73"/>
      <c r="KTJ11" s="73"/>
      <c r="KTK11" s="73"/>
      <c r="KTL11" s="73"/>
      <c r="KTM11" s="73"/>
      <c r="KTN11" s="73"/>
      <c r="KTO11" s="73"/>
      <c r="KTP11" s="73"/>
      <c r="KTQ11" s="73"/>
      <c r="KTR11" s="73"/>
      <c r="KTS11" s="73"/>
      <c r="KTT11" s="73"/>
      <c r="KTU11" s="73"/>
      <c r="KTV11" s="73"/>
      <c r="KTW11" s="73"/>
      <c r="KTX11" s="73"/>
      <c r="KTY11" s="73"/>
      <c r="KTZ11" s="73"/>
      <c r="KUA11" s="73"/>
      <c r="KUB11" s="73"/>
      <c r="KUC11" s="73"/>
      <c r="KUD11" s="73"/>
      <c r="KUE11" s="73"/>
      <c r="KUF11" s="73"/>
      <c r="KUG11" s="73"/>
      <c r="KUH11" s="73"/>
      <c r="KUI11" s="73"/>
      <c r="KUJ11" s="73"/>
      <c r="KUK11" s="73"/>
      <c r="KUL11" s="73"/>
      <c r="KUM11" s="73"/>
      <c r="KUN11" s="73"/>
      <c r="KUO11" s="73"/>
      <c r="KUP11" s="73"/>
      <c r="KUQ11" s="73"/>
      <c r="KUR11" s="73"/>
      <c r="KUS11" s="73"/>
      <c r="KUT11" s="73"/>
      <c r="KUU11" s="73"/>
      <c r="KUV11" s="73"/>
      <c r="KUW11" s="73"/>
      <c r="KUX11" s="73"/>
      <c r="KUY11" s="73"/>
      <c r="KUZ11" s="73"/>
      <c r="KVA11" s="73"/>
      <c r="KVB11" s="73"/>
      <c r="KVC11" s="73"/>
      <c r="KVD11" s="73"/>
      <c r="KVE11" s="73"/>
      <c r="KVF11" s="73"/>
      <c r="KVG11" s="73"/>
      <c r="KVH11" s="73"/>
      <c r="KVI11" s="73"/>
      <c r="KVJ11" s="73"/>
      <c r="KVK11" s="73"/>
      <c r="KVL11" s="73"/>
      <c r="KVM11" s="73"/>
      <c r="KVN11" s="73"/>
      <c r="KVO11" s="73"/>
      <c r="KVP11" s="73"/>
      <c r="KVQ11" s="73"/>
      <c r="KVR11" s="73"/>
      <c r="KVS11" s="73"/>
      <c r="KVT11" s="73"/>
      <c r="KVU11" s="73"/>
      <c r="KVV11" s="73"/>
      <c r="KVW11" s="73"/>
      <c r="KVX11" s="73"/>
      <c r="KVY11" s="73"/>
      <c r="KVZ11" s="73"/>
      <c r="KWA11" s="73"/>
      <c r="KWB11" s="73"/>
      <c r="KWC11" s="73"/>
      <c r="KWD11" s="73"/>
      <c r="KWE11" s="73"/>
      <c r="KWF11" s="73"/>
      <c r="KWG11" s="73"/>
      <c r="KWH11" s="73"/>
      <c r="KWI11" s="73"/>
      <c r="KWJ11" s="73"/>
      <c r="KWK11" s="73"/>
      <c r="KWL11" s="73"/>
      <c r="KWM11" s="73"/>
      <c r="KWN11" s="73"/>
      <c r="KWO11" s="73"/>
      <c r="KWP11" s="73"/>
      <c r="KWQ11" s="73"/>
      <c r="KWR11" s="73"/>
      <c r="KWS11" s="73"/>
      <c r="KWT11" s="73"/>
      <c r="KWU11" s="73"/>
      <c r="KWV11" s="73"/>
      <c r="KWW11" s="73"/>
      <c r="KWX11" s="73"/>
      <c r="KWY11" s="73"/>
      <c r="KWZ11" s="73"/>
      <c r="KXA11" s="73"/>
      <c r="KXB11" s="73"/>
      <c r="KXC11" s="73"/>
      <c r="KXD11" s="73"/>
      <c r="KXE11" s="73"/>
      <c r="KXF11" s="73"/>
      <c r="KXG11" s="73"/>
      <c r="KXH11" s="73"/>
      <c r="KXI11" s="73"/>
      <c r="KXJ11" s="73"/>
      <c r="KXK11" s="73"/>
      <c r="KXL11" s="73"/>
      <c r="KXM11" s="73"/>
      <c r="KXN11" s="73"/>
      <c r="KXO11" s="73"/>
      <c r="KXP11" s="73"/>
      <c r="KXQ11" s="73"/>
      <c r="KXR11" s="73"/>
      <c r="KXS11" s="73"/>
      <c r="KXT11" s="73"/>
      <c r="KXU11" s="73"/>
      <c r="KXV11" s="73"/>
      <c r="KXW11" s="73"/>
      <c r="KXX11" s="73"/>
      <c r="KXY11" s="73"/>
      <c r="KXZ11" s="73"/>
      <c r="KYA11" s="73"/>
      <c r="KYB11" s="73"/>
      <c r="KYC11" s="73"/>
      <c r="KYD11" s="73"/>
      <c r="KYE11" s="73"/>
      <c r="KYF11" s="73"/>
      <c r="KYG11" s="73"/>
      <c r="KYH11" s="73"/>
      <c r="KYI11" s="73"/>
      <c r="KYJ11" s="73"/>
      <c r="KYK11" s="73"/>
      <c r="KYL11" s="73"/>
      <c r="KYM11" s="73"/>
      <c r="KYN11" s="73"/>
      <c r="KYO11" s="73"/>
      <c r="KYP11" s="73"/>
      <c r="KYQ11" s="73"/>
      <c r="KYR11" s="73"/>
      <c r="KYS11" s="73"/>
      <c r="KYT11" s="73"/>
      <c r="KYU11" s="73"/>
      <c r="KYV11" s="73"/>
      <c r="KYW11" s="73"/>
      <c r="KYX11" s="73"/>
      <c r="KYY11" s="73"/>
      <c r="KYZ11" s="73"/>
      <c r="KZA11" s="73"/>
      <c r="KZB11" s="73"/>
      <c r="KZC11" s="73"/>
      <c r="KZD11" s="73"/>
      <c r="KZE11" s="73"/>
      <c r="KZF11" s="73"/>
      <c r="KZG11" s="73"/>
      <c r="KZH11" s="73"/>
      <c r="KZI11" s="73"/>
      <c r="KZJ11" s="73"/>
      <c r="KZK11" s="73"/>
      <c r="KZL11" s="73"/>
      <c r="KZM11" s="73"/>
      <c r="KZN11" s="73"/>
      <c r="KZO11" s="73"/>
      <c r="KZP11" s="73"/>
      <c r="KZQ11" s="73"/>
      <c r="KZR11" s="73"/>
      <c r="KZS11" s="73"/>
      <c r="KZT11" s="73"/>
      <c r="KZU11" s="73"/>
      <c r="KZV11" s="73"/>
      <c r="KZW11" s="73"/>
      <c r="KZX11" s="73"/>
      <c r="KZY11" s="73"/>
      <c r="KZZ11" s="73"/>
      <c r="LAA11" s="73"/>
      <c r="LAB11" s="73"/>
      <c r="LAC11" s="73"/>
      <c r="LAD11" s="73"/>
      <c r="LAE11" s="73"/>
      <c r="LAF11" s="73"/>
      <c r="LAG11" s="73"/>
      <c r="LAH11" s="73"/>
      <c r="LAI11" s="73"/>
      <c r="LAJ11" s="73"/>
      <c r="LAK11" s="73"/>
      <c r="LAL11" s="73"/>
      <c r="LAM11" s="73"/>
      <c r="LAN11" s="73"/>
      <c r="LAO11" s="73"/>
      <c r="LAP11" s="73"/>
      <c r="LAQ11" s="73"/>
      <c r="LAR11" s="73"/>
      <c r="LAS11" s="73"/>
      <c r="LAT11" s="73"/>
      <c r="LAU11" s="73"/>
      <c r="LAV11" s="73"/>
      <c r="LAW11" s="73"/>
      <c r="LAX11" s="73"/>
      <c r="LAY11" s="73"/>
      <c r="LAZ11" s="73"/>
      <c r="LBA11" s="73"/>
      <c r="LBB11" s="73"/>
      <c r="LBC11" s="73"/>
      <c r="LBD11" s="73"/>
      <c r="LBE11" s="73"/>
      <c r="LBF11" s="73"/>
      <c r="LBG11" s="73"/>
      <c r="LBH11" s="73"/>
      <c r="LBI11" s="73"/>
      <c r="LBJ11" s="73"/>
      <c r="LBK11" s="73"/>
      <c r="LBL11" s="73"/>
      <c r="LBM11" s="73"/>
      <c r="LBN11" s="73"/>
      <c r="LBO11" s="73"/>
      <c r="LBP11" s="73"/>
      <c r="LBQ11" s="73"/>
      <c r="LBR11" s="73"/>
      <c r="LBS11" s="73"/>
      <c r="LBT11" s="73"/>
      <c r="LBU11" s="73"/>
      <c r="LBV11" s="73"/>
      <c r="LBW11" s="73"/>
      <c r="LBX11" s="73"/>
      <c r="LBY11" s="73"/>
      <c r="LBZ11" s="73"/>
      <c r="LCA11" s="73"/>
      <c r="LCB11" s="73"/>
      <c r="LCC11" s="73"/>
      <c r="LCD11" s="73"/>
      <c r="LCE11" s="73"/>
      <c r="LCF11" s="73"/>
      <c r="LCG11" s="73"/>
      <c r="LCH11" s="73"/>
      <c r="LCI11" s="73"/>
      <c r="LCJ11" s="73"/>
      <c r="LCK11" s="73"/>
      <c r="LCL11" s="73"/>
      <c r="LCM11" s="73"/>
      <c r="LCN11" s="73"/>
      <c r="LCO11" s="73"/>
      <c r="LCP11" s="73"/>
      <c r="LCQ11" s="73"/>
      <c r="LCR11" s="73"/>
      <c r="LCS11" s="73"/>
      <c r="LCT11" s="73"/>
      <c r="LCU11" s="73"/>
      <c r="LCV11" s="73"/>
      <c r="LCW11" s="73"/>
      <c r="LCX11" s="73"/>
      <c r="LCY11" s="73"/>
      <c r="LCZ11" s="73"/>
      <c r="LDA11" s="73"/>
      <c r="LDB11" s="73"/>
      <c r="LDC11" s="73"/>
      <c r="LDD11" s="73"/>
      <c r="LDE11" s="73"/>
      <c r="LDF11" s="73"/>
      <c r="LDG11" s="73"/>
      <c r="LDH11" s="73"/>
      <c r="LDI11" s="73"/>
      <c r="LDJ11" s="73"/>
      <c r="LDK11" s="73"/>
      <c r="LDL11" s="73"/>
      <c r="LDM11" s="73"/>
      <c r="LDN11" s="73"/>
      <c r="LDO11" s="73"/>
      <c r="LDP11" s="73"/>
      <c r="LDQ11" s="73"/>
      <c r="LDR11" s="73"/>
      <c r="LDS11" s="73"/>
      <c r="LDT11" s="73"/>
      <c r="LDU11" s="73"/>
      <c r="LDV11" s="73"/>
      <c r="LDW11" s="73"/>
      <c r="LDX11" s="73"/>
      <c r="LDY11" s="73"/>
      <c r="LDZ11" s="73"/>
      <c r="LEA11" s="73"/>
      <c r="LEB11" s="73"/>
      <c r="LEC11" s="73"/>
      <c r="LED11" s="73"/>
      <c r="LEE11" s="73"/>
      <c r="LEF11" s="73"/>
      <c r="LEG11" s="73"/>
      <c r="LEH11" s="73"/>
      <c r="LEI11" s="73"/>
      <c r="LEJ11" s="73"/>
      <c r="LEK11" s="73"/>
      <c r="LEL11" s="73"/>
      <c r="LEM11" s="73"/>
      <c r="LEN11" s="73"/>
      <c r="LEO11" s="73"/>
      <c r="LEP11" s="73"/>
      <c r="LEQ11" s="73"/>
      <c r="LER11" s="73"/>
      <c r="LES11" s="73"/>
      <c r="LET11" s="73"/>
      <c r="LEU11" s="73"/>
      <c r="LEV11" s="73"/>
      <c r="LEW11" s="73"/>
      <c r="LEX11" s="73"/>
      <c r="LEY11" s="73"/>
      <c r="LEZ11" s="73"/>
      <c r="LFA11" s="73"/>
      <c r="LFB11" s="73"/>
      <c r="LFC11" s="73"/>
      <c r="LFD11" s="73"/>
      <c r="LFE11" s="73"/>
      <c r="LFF11" s="73"/>
      <c r="LFG11" s="73"/>
      <c r="LFH11" s="73"/>
      <c r="LFI11" s="73"/>
      <c r="LFJ11" s="73"/>
      <c r="LFK11" s="73"/>
      <c r="LFL11" s="73"/>
      <c r="LFM11" s="73"/>
      <c r="LFN11" s="73"/>
      <c r="LFO11" s="73"/>
      <c r="LFP11" s="73"/>
      <c r="LFQ11" s="73"/>
      <c r="LFR11" s="73"/>
      <c r="LFS11" s="73"/>
      <c r="LFT11" s="73"/>
      <c r="LFU11" s="73"/>
      <c r="LFV11" s="73"/>
      <c r="LFW11" s="73"/>
      <c r="LFX11" s="73"/>
      <c r="LFY11" s="73"/>
      <c r="LFZ11" s="73"/>
      <c r="LGA11" s="73"/>
      <c r="LGB11" s="73"/>
      <c r="LGC11" s="73"/>
      <c r="LGD11" s="73"/>
      <c r="LGE11" s="73"/>
      <c r="LGF11" s="73"/>
      <c r="LGG11" s="73"/>
      <c r="LGH11" s="73"/>
      <c r="LGI11" s="73"/>
      <c r="LGJ11" s="73"/>
      <c r="LGK11" s="73"/>
      <c r="LGL11" s="73"/>
      <c r="LGM11" s="73"/>
      <c r="LGN11" s="73"/>
      <c r="LGO11" s="73"/>
      <c r="LGP11" s="73"/>
      <c r="LGQ11" s="73"/>
      <c r="LGR11" s="73"/>
      <c r="LGS11" s="73"/>
      <c r="LGT11" s="73"/>
      <c r="LGU11" s="73"/>
      <c r="LGV11" s="73"/>
      <c r="LGW11" s="73"/>
      <c r="LGX11" s="73"/>
      <c r="LGY11" s="73"/>
      <c r="LGZ11" s="73"/>
      <c r="LHA11" s="73"/>
      <c r="LHB11" s="73"/>
      <c r="LHC11" s="73"/>
      <c r="LHD11" s="73"/>
      <c r="LHE11" s="73"/>
      <c r="LHF11" s="73"/>
      <c r="LHG11" s="73"/>
      <c r="LHH11" s="73"/>
      <c r="LHI11" s="73"/>
      <c r="LHJ11" s="73"/>
      <c r="LHK11" s="73"/>
      <c r="LHL11" s="73"/>
      <c r="LHM11" s="73"/>
      <c r="LHN11" s="73"/>
      <c r="LHO11" s="73"/>
      <c r="LHP11" s="73"/>
      <c r="LHQ11" s="73"/>
      <c r="LHR11" s="73"/>
      <c r="LHS11" s="73"/>
      <c r="LHT11" s="73"/>
      <c r="LHU11" s="73"/>
      <c r="LHV11" s="73"/>
      <c r="LHW11" s="73"/>
      <c r="LHX11" s="73"/>
      <c r="LHY11" s="73"/>
      <c r="LHZ11" s="73"/>
      <c r="LIA11" s="73"/>
      <c r="LIB11" s="73"/>
      <c r="LIC11" s="73"/>
      <c r="LID11" s="73"/>
      <c r="LIE11" s="73"/>
      <c r="LIF11" s="73"/>
      <c r="LIG11" s="73"/>
      <c r="LIH11" s="73"/>
      <c r="LII11" s="73"/>
      <c r="LIJ11" s="73"/>
      <c r="LIK11" s="73"/>
      <c r="LIL11" s="73"/>
      <c r="LIM11" s="73"/>
      <c r="LIN11" s="73"/>
      <c r="LIO11" s="73"/>
      <c r="LIP11" s="73"/>
      <c r="LIQ11" s="73"/>
      <c r="LIR11" s="73"/>
      <c r="LIS11" s="73"/>
      <c r="LIT11" s="73"/>
      <c r="LIU11" s="73"/>
      <c r="LIV11" s="73"/>
      <c r="LIW11" s="73"/>
      <c r="LIX11" s="73"/>
      <c r="LIY11" s="73"/>
      <c r="LIZ11" s="73"/>
      <c r="LJA11" s="73"/>
      <c r="LJB11" s="73"/>
      <c r="LJC11" s="73"/>
      <c r="LJD11" s="73"/>
      <c r="LJE11" s="73"/>
      <c r="LJF11" s="73"/>
      <c r="LJG11" s="73"/>
      <c r="LJH11" s="73"/>
      <c r="LJI11" s="73"/>
      <c r="LJJ11" s="73"/>
      <c r="LJK11" s="73"/>
      <c r="LJL11" s="73"/>
      <c r="LJM11" s="73"/>
      <c r="LJN11" s="73"/>
      <c r="LJO11" s="73"/>
      <c r="LJP11" s="73"/>
      <c r="LJQ11" s="73"/>
      <c r="LJR11" s="73"/>
      <c r="LJS11" s="73"/>
      <c r="LJT11" s="73"/>
      <c r="LJU11" s="73"/>
      <c r="LJV11" s="73"/>
      <c r="LJW11" s="73"/>
      <c r="LJX11" s="73"/>
      <c r="LJY11" s="73"/>
      <c r="LJZ11" s="73"/>
      <c r="LKA11" s="73"/>
      <c r="LKB11" s="73"/>
      <c r="LKC11" s="73"/>
      <c r="LKD11" s="73"/>
      <c r="LKE11" s="73"/>
      <c r="LKF11" s="73"/>
      <c r="LKG11" s="73"/>
      <c r="LKH11" s="73"/>
      <c r="LKI11" s="73"/>
      <c r="LKJ11" s="73"/>
      <c r="LKK11" s="73"/>
      <c r="LKL11" s="73"/>
      <c r="LKM11" s="73"/>
      <c r="LKN11" s="73"/>
      <c r="LKO11" s="73"/>
      <c r="LKP11" s="73"/>
      <c r="LKQ11" s="73"/>
      <c r="LKR11" s="73"/>
      <c r="LKS11" s="73"/>
      <c r="LKT11" s="73"/>
      <c r="LKU11" s="73"/>
      <c r="LKV11" s="73"/>
      <c r="LKW11" s="73"/>
      <c r="LKX11" s="73"/>
      <c r="LKY11" s="73"/>
      <c r="LKZ11" s="73"/>
      <c r="LLA11" s="73"/>
      <c r="LLB11" s="73"/>
      <c r="LLC11" s="73"/>
      <c r="LLD11" s="73"/>
      <c r="LLE11" s="73"/>
      <c r="LLF11" s="73"/>
      <c r="LLG11" s="73"/>
      <c r="LLH11" s="73"/>
      <c r="LLI11" s="73"/>
      <c r="LLJ11" s="73"/>
      <c r="LLK11" s="73"/>
      <c r="LLL11" s="73"/>
      <c r="LLM11" s="73"/>
      <c r="LLN11" s="73"/>
      <c r="LLO11" s="73"/>
      <c r="LLP11" s="73"/>
      <c r="LLQ11" s="73"/>
      <c r="LLR11" s="73"/>
      <c r="LLS11" s="73"/>
      <c r="LLT11" s="73"/>
      <c r="LLU11" s="73"/>
      <c r="LLV11" s="73"/>
      <c r="LLW11" s="73"/>
      <c r="LLX11" s="73"/>
      <c r="LLY11" s="73"/>
      <c r="LLZ11" s="73"/>
      <c r="LMA11" s="73"/>
      <c r="LMB11" s="73"/>
      <c r="LMC11" s="73"/>
      <c r="LMD11" s="73"/>
      <c r="LME11" s="73"/>
      <c r="LMF11" s="73"/>
      <c r="LMG11" s="73"/>
      <c r="LMH11" s="73"/>
      <c r="LMI11" s="73"/>
      <c r="LMJ11" s="73"/>
      <c r="LMK11" s="73"/>
      <c r="LML11" s="73"/>
      <c r="LMM11" s="73"/>
      <c r="LMN11" s="73"/>
      <c r="LMO11" s="73"/>
      <c r="LMP11" s="73"/>
      <c r="LMQ11" s="73"/>
      <c r="LMR11" s="73"/>
      <c r="LMS11" s="73"/>
      <c r="LMT11" s="73"/>
      <c r="LMU11" s="73"/>
      <c r="LMV11" s="73"/>
      <c r="LMW11" s="73"/>
      <c r="LMX11" s="73"/>
      <c r="LMY11" s="73"/>
      <c r="LMZ11" s="73"/>
      <c r="LNA11" s="73"/>
      <c r="LNB11" s="73"/>
      <c r="LNC11" s="73"/>
      <c r="LND11" s="73"/>
      <c r="LNE11" s="73"/>
      <c r="LNF11" s="73"/>
      <c r="LNG11" s="73"/>
      <c r="LNH11" s="73"/>
      <c r="LNI11" s="73"/>
      <c r="LNJ11" s="73"/>
      <c r="LNK11" s="73"/>
      <c r="LNL11" s="73"/>
      <c r="LNM11" s="73"/>
      <c r="LNN11" s="73"/>
      <c r="LNO11" s="73"/>
      <c r="LNP11" s="73"/>
      <c r="LNQ11" s="73"/>
      <c r="LNR11" s="73"/>
      <c r="LNS11" s="73"/>
      <c r="LNT11" s="73"/>
      <c r="LNU11" s="73"/>
      <c r="LNV11" s="73"/>
      <c r="LNW11" s="73"/>
      <c r="LNX11" s="73"/>
      <c r="LNY11" s="73"/>
      <c r="LNZ11" s="73"/>
      <c r="LOA11" s="73"/>
      <c r="LOB11" s="73"/>
      <c r="LOC11" s="73"/>
      <c r="LOD11" s="73"/>
      <c r="LOE11" s="73"/>
      <c r="LOF11" s="73"/>
      <c r="LOG11" s="73"/>
      <c r="LOH11" s="73"/>
      <c r="LOI11" s="73"/>
      <c r="LOJ11" s="73"/>
      <c r="LOK11" s="73"/>
      <c r="LOL11" s="73"/>
      <c r="LOM11" s="73"/>
      <c r="LON11" s="73"/>
      <c r="LOO11" s="73"/>
      <c r="LOP11" s="73"/>
      <c r="LOQ11" s="73"/>
      <c r="LOR11" s="73"/>
      <c r="LOS11" s="73"/>
      <c r="LOT11" s="73"/>
      <c r="LOU11" s="73"/>
      <c r="LOV11" s="73"/>
      <c r="LOW11" s="73"/>
      <c r="LOX11" s="73"/>
      <c r="LOY11" s="73"/>
      <c r="LOZ11" s="73"/>
      <c r="LPA11" s="73"/>
      <c r="LPB11" s="73"/>
      <c r="LPC11" s="73"/>
      <c r="LPD11" s="73"/>
      <c r="LPE11" s="73"/>
      <c r="LPF11" s="73"/>
      <c r="LPG11" s="73"/>
      <c r="LPH11" s="73"/>
      <c r="LPI11" s="73"/>
      <c r="LPJ11" s="73"/>
      <c r="LPK11" s="73"/>
      <c r="LPL11" s="73"/>
      <c r="LPM11" s="73"/>
      <c r="LPN11" s="73"/>
      <c r="LPO11" s="73"/>
      <c r="LPP11" s="73"/>
      <c r="LPQ11" s="73"/>
      <c r="LPR11" s="73"/>
      <c r="LPS11" s="73"/>
      <c r="LPT11" s="73"/>
      <c r="LPU11" s="73"/>
      <c r="LPV11" s="73"/>
      <c r="LPW11" s="73"/>
      <c r="LPX11" s="73"/>
      <c r="LPY11" s="73"/>
      <c r="LPZ11" s="73"/>
      <c r="LQA11" s="73"/>
      <c r="LQB11" s="73"/>
      <c r="LQC11" s="73"/>
      <c r="LQD11" s="73"/>
      <c r="LQE11" s="73"/>
      <c r="LQF11" s="73"/>
      <c r="LQG11" s="73"/>
      <c r="LQH11" s="73"/>
      <c r="LQI11" s="73"/>
      <c r="LQJ11" s="73"/>
      <c r="LQK11" s="73"/>
      <c r="LQL11" s="73"/>
      <c r="LQM11" s="73"/>
      <c r="LQN11" s="73"/>
      <c r="LQO11" s="73"/>
      <c r="LQP11" s="73"/>
      <c r="LQQ11" s="73"/>
      <c r="LQR11" s="73"/>
      <c r="LQS11" s="73"/>
      <c r="LQT11" s="73"/>
      <c r="LQU11" s="73"/>
      <c r="LQV11" s="73"/>
      <c r="LQW11" s="73"/>
      <c r="LQX11" s="73"/>
      <c r="LQY11" s="73"/>
      <c r="LQZ11" s="73"/>
      <c r="LRA11" s="73"/>
      <c r="LRB11" s="73"/>
      <c r="LRC11" s="73"/>
      <c r="LRD11" s="73"/>
      <c r="LRE11" s="73"/>
      <c r="LRF11" s="73"/>
      <c r="LRG11" s="73"/>
      <c r="LRH11" s="73"/>
      <c r="LRI11" s="73"/>
      <c r="LRJ11" s="73"/>
      <c r="LRK11" s="73"/>
      <c r="LRL11" s="73"/>
      <c r="LRM11" s="73"/>
      <c r="LRN11" s="73"/>
      <c r="LRO11" s="73"/>
      <c r="LRP11" s="73"/>
      <c r="LRQ11" s="73"/>
      <c r="LRR11" s="73"/>
      <c r="LRS11" s="73"/>
      <c r="LRT11" s="73"/>
      <c r="LRU11" s="73"/>
      <c r="LRV11" s="73"/>
      <c r="LRW11" s="73"/>
      <c r="LRX11" s="73"/>
      <c r="LRY11" s="73"/>
      <c r="LRZ11" s="73"/>
      <c r="LSA11" s="73"/>
      <c r="LSB11" s="73"/>
      <c r="LSC11" s="73"/>
      <c r="LSD11" s="73"/>
      <c r="LSE11" s="73"/>
      <c r="LSF11" s="73"/>
      <c r="LSG11" s="73"/>
      <c r="LSH11" s="73"/>
      <c r="LSI11" s="73"/>
      <c r="LSJ11" s="73"/>
      <c r="LSK11" s="73"/>
      <c r="LSL11" s="73"/>
      <c r="LSM11" s="73"/>
      <c r="LSN11" s="73"/>
      <c r="LSO11" s="73"/>
      <c r="LSP11" s="73"/>
      <c r="LSQ11" s="73"/>
      <c r="LSR11" s="73"/>
      <c r="LSS11" s="73"/>
      <c r="LST11" s="73"/>
      <c r="LSU11" s="73"/>
      <c r="LSV11" s="73"/>
      <c r="LSW11" s="73"/>
      <c r="LSX11" s="73"/>
      <c r="LSY11" s="73"/>
      <c r="LSZ11" s="73"/>
      <c r="LTA11" s="73"/>
      <c r="LTB11" s="73"/>
      <c r="LTC11" s="73"/>
      <c r="LTD11" s="73"/>
      <c r="LTE11" s="73"/>
      <c r="LTF11" s="73"/>
      <c r="LTG11" s="73"/>
      <c r="LTH11" s="73"/>
      <c r="LTI11" s="73"/>
      <c r="LTJ11" s="73"/>
      <c r="LTK11" s="73"/>
      <c r="LTL11" s="73"/>
      <c r="LTM11" s="73"/>
      <c r="LTN11" s="73"/>
      <c r="LTO11" s="73"/>
      <c r="LTP11" s="73"/>
      <c r="LTQ11" s="73"/>
      <c r="LTR11" s="73"/>
      <c r="LTS11" s="73"/>
      <c r="LTT11" s="73"/>
      <c r="LTU11" s="73"/>
      <c r="LTV11" s="73"/>
      <c r="LTW11" s="73"/>
      <c r="LTX11" s="73"/>
      <c r="LTY11" s="73"/>
      <c r="LTZ11" s="73"/>
      <c r="LUA11" s="73"/>
      <c r="LUB11" s="73"/>
      <c r="LUC11" s="73"/>
      <c r="LUD11" s="73"/>
      <c r="LUE11" s="73"/>
      <c r="LUF11" s="73"/>
      <c r="LUG11" s="73"/>
      <c r="LUH11" s="73"/>
      <c r="LUI11" s="73"/>
      <c r="LUJ11" s="73"/>
      <c r="LUK11" s="73"/>
      <c r="LUL11" s="73"/>
      <c r="LUM11" s="73"/>
      <c r="LUN11" s="73"/>
      <c r="LUO11" s="73"/>
      <c r="LUP11" s="73"/>
      <c r="LUQ11" s="73"/>
      <c r="LUR11" s="73"/>
      <c r="LUS11" s="73"/>
      <c r="LUT11" s="73"/>
      <c r="LUU11" s="73"/>
      <c r="LUV11" s="73"/>
      <c r="LUW11" s="73"/>
      <c r="LUX11" s="73"/>
      <c r="LUY11" s="73"/>
      <c r="LUZ11" s="73"/>
      <c r="LVA11" s="73"/>
      <c r="LVB11" s="73"/>
      <c r="LVC11" s="73"/>
      <c r="LVD11" s="73"/>
      <c r="LVE11" s="73"/>
      <c r="LVF11" s="73"/>
      <c r="LVG11" s="73"/>
      <c r="LVH11" s="73"/>
      <c r="LVI11" s="73"/>
      <c r="LVJ11" s="73"/>
      <c r="LVK11" s="73"/>
      <c r="LVL11" s="73"/>
      <c r="LVM11" s="73"/>
      <c r="LVN11" s="73"/>
      <c r="LVO11" s="73"/>
      <c r="LVP11" s="73"/>
      <c r="LVQ11" s="73"/>
      <c r="LVR11" s="73"/>
      <c r="LVS11" s="73"/>
      <c r="LVT11" s="73"/>
      <c r="LVU11" s="73"/>
      <c r="LVV11" s="73"/>
      <c r="LVW11" s="73"/>
      <c r="LVX11" s="73"/>
      <c r="LVY11" s="73"/>
      <c r="LVZ11" s="73"/>
      <c r="LWA11" s="73"/>
      <c r="LWB11" s="73"/>
      <c r="LWC11" s="73"/>
      <c r="LWD11" s="73"/>
      <c r="LWE11" s="73"/>
      <c r="LWF11" s="73"/>
      <c r="LWG11" s="73"/>
      <c r="LWH11" s="73"/>
      <c r="LWI11" s="73"/>
      <c r="LWJ11" s="73"/>
      <c r="LWK11" s="73"/>
      <c r="LWL11" s="73"/>
      <c r="LWM11" s="73"/>
      <c r="LWN11" s="73"/>
      <c r="LWO11" s="73"/>
      <c r="LWP11" s="73"/>
      <c r="LWQ11" s="73"/>
      <c r="LWR11" s="73"/>
      <c r="LWS11" s="73"/>
      <c r="LWT11" s="73"/>
      <c r="LWU11" s="73"/>
      <c r="LWV11" s="73"/>
      <c r="LWW11" s="73"/>
      <c r="LWX11" s="73"/>
      <c r="LWY11" s="73"/>
      <c r="LWZ11" s="73"/>
      <c r="LXA11" s="73"/>
      <c r="LXB11" s="73"/>
      <c r="LXC11" s="73"/>
      <c r="LXD11" s="73"/>
      <c r="LXE11" s="73"/>
      <c r="LXF11" s="73"/>
      <c r="LXG11" s="73"/>
      <c r="LXH11" s="73"/>
      <c r="LXI11" s="73"/>
      <c r="LXJ11" s="73"/>
      <c r="LXK11" s="73"/>
      <c r="LXL11" s="73"/>
      <c r="LXM11" s="73"/>
      <c r="LXN11" s="73"/>
      <c r="LXO11" s="73"/>
      <c r="LXP11" s="73"/>
      <c r="LXQ11" s="73"/>
      <c r="LXR11" s="73"/>
      <c r="LXS11" s="73"/>
      <c r="LXT11" s="73"/>
      <c r="LXU11" s="73"/>
      <c r="LXV11" s="73"/>
      <c r="LXW11" s="73"/>
      <c r="LXX11" s="73"/>
      <c r="LXY11" s="73"/>
      <c r="LXZ11" s="73"/>
      <c r="LYA11" s="73"/>
      <c r="LYB11" s="73"/>
      <c r="LYC11" s="73"/>
      <c r="LYD11" s="73"/>
      <c r="LYE11" s="73"/>
      <c r="LYF11" s="73"/>
      <c r="LYG11" s="73"/>
      <c r="LYH11" s="73"/>
      <c r="LYI11" s="73"/>
      <c r="LYJ11" s="73"/>
      <c r="LYK11" s="73"/>
      <c r="LYL11" s="73"/>
      <c r="LYM11" s="73"/>
      <c r="LYN11" s="73"/>
      <c r="LYO11" s="73"/>
      <c r="LYP11" s="73"/>
      <c r="LYQ11" s="73"/>
      <c r="LYR11" s="73"/>
      <c r="LYS11" s="73"/>
      <c r="LYT11" s="73"/>
      <c r="LYU11" s="73"/>
      <c r="LYV11" s="73"/>
      <c r="LYW11" s="73"/>
      <c r="LYX11" s="73"/>
      <c r="LYY11" s="73"/>
      <c r="LYZ11" s="73"/>
      <c r="LZA11" s="73"/>
      <c r="LZB11" s="73"/>
      <c r="LZC11" s="73"/>
      <c r="LZD11" s="73"/>
      <c r="LZE11" s="73"/>
      <c r="LZF11" s="73"/>
      <c r="LZG11" s="73"/>
      <c r="LZH11" s="73"/>
      <c r="LZI11" s="73"/>
      <c r="LZJ11" s="73"/>
      <c r="LZK11" s="73"/>
      <c r="LZL11" s="73"/>
      <c r="LZM11" s="73"/>
      <c r="LZN11" s="73"/>
      <c r="LZO11" s="73"/>
      <c r="LZP11" s="73"/>
      <c r="LZQ11" s="73"/>
      <c r="LZR11" s="73"/>
      <c r="LZS11" s="73"/>
      <c r="LZT11" s="73"/>
      <c r="LZU11" s="73"/>
      <c r="LZV11" s="73"/>
      <c r="LZW11" s="73"/>
      <c r="LZX11" s="73"/>
      <c r="LZY11" s="73"/>
      <c r="LZZ11" s="73"/>
      <c r="MAA11" s="73"/>
      <c r="MAB11" s="73"/>
      <c r="MAC11" s="73"/>
      <c r="MAD11" s="73"/>
      <c r="MAE11" s="73"/>
      <c r="MAF11" s="73"/>
      <c r="MAG11" s="73"/>
      <c r="MAH11" s="73"/>
      <c r="MAI11" s="73"/>
      <c r="MAJ11" s="73"/>
      <c r="MAK11" s="73"/>
      <c r="MAL11" s="73"/>
      <c r="MAM11" s="73"/>
      <c r="MAN11" s="73"/>
      <c r="MAO11" s="73"/>
      <c r="MAP11" s="73"/>
      <c r="MAQ11" s="73"/>
      <c r="MAR11" s="73"/>
      <c r="MAS11" s="73"/>
      <c r="MAT11" s="73"/>
      <c r="MAU11" s="73"/>
      <c r="MAV11" s="73"/>
      <c r="MAW11" s="73"/>
      <c r="MAX11" s="73"/>
      <c r="MAY11" s="73"/>
      <c r="MAZ11" s="73"/>
      <c r="MBA11" s="73"/>
      <c r="MBB11" s="73"/>
      <c r="MBC11" s="73"/>
      <c r="MBD11" s="73"/>
      <c r="MBE11" s="73"/>
      <c r="MBF11" s="73"/>
      <c r="MBG11" s="73"/>
      <c r="MBH11" s="73"/>
      <c r="MBI11" s="73"/>
      <c r="MBJ11" s="73"/>
      <c r="MBK11" s="73"/>
      <c r="MBL11" s="73"/>
      <c r="MBM11" s="73"/>
      <c r="MBN11" s="73"/>
      <c r="MBO11" s="73"/>
      <c r="MBP11" s="73"/>
      <c r="MBQ11" s="73"/>
      <c r="MBR11" s="73"/>
      <c r="MBS11" s="73"/>
      <c r="MBT11" s="73"/>
      <c r="MBU11" s="73"/>
      <c r="MBV11" s="73"/>
      <c r="MBW11" s="73"/>
      <c r="MBX11" s="73"/>
      <c r="MBY11" s="73"/>
      <c r="MBZ11" s="73"/>
      <c r="MCA11" s="73"/>
      <c r="MCB11" s="73"/>
      <c r="MCC11" s="73"/>
      <c r="MCD11" s="73"/>
      <c r="MCE11" s="73"/>
      <c r="MCF11" s="73"/>
      <c r="MCG11" s="73"/>
      <c r="MCH11" s="73"/>
      <c r="MCI11" s="73"/>
      <c r="MCJ11" s="73"/>
      <c r="MCK11" s="73"/>
      <c r="MCL11" s="73"/>
      <c r="MCM11" s="73"/>
      <c r="MCN11" s="73"/>
      <c r="MCO11" s="73"/>
      <c r="MCP11" s="73"/>
      <c r="MCQ11" s="73"/>
      <c r="MCR11" s="73"/>
      <c r="MCS11" s="73"/>
      <c r="MCT11" s="73"/>
      <c r="MCU11" s="73"/>
      <c r="MCV11" s="73"/>
      <c r="MCW11" s="73"/>
      <c r="MCX11" s="73"/>
      <c r="MCY11" s="73"/>
      <c r="MCZ11" s="73"/>
      <c r="MDA11" s="73"/>
      <c r="MDB11" s="73"/>
      <c r="MDC11" s="73"/>
      <c r="MDD11" s="73"/>
      <c r="MDE11" s="73"/>
      <c r="MDF11" s="73"/>
      <c r="MDG11" s="73"/>
      <c r="MDH11" s="73"/>
      <c r="MDI11" s="73"/>
      <c r="MDJ11" s="73"/>
      <c r="MDK11" s="73"/>
      <c r="MDL11" s="73"/>
      <c r="MDM11" s="73"/>
      <c r="MDN11" s="73"/>
      <c r="MDO11" s="73"/>
      <c r="MDP11" s="73"/>
      <c r="MDQ11" s="73"/>
      <c r="MDR11" s="73"/>
      <c r="MDS11" s="73"/>
      <c r="MDT11" s="73"/>
      <c r="MDU11" s="73"/>
      <c r="MDV11" s="73"/>
      <c r="MDW11" s="73"/>
      <c r="MDX11" s="73"/>
      <c r="MDY11" s="73"/>
      <c r="MDZ11" s="73"/>
      <c r="MEA11" s="73"/>
      <c r="MEB11" s="73"/>
      <c r="MEC11" s="73"/>
      <c r="MED11" s="73"/>
      <c r="MEE11" s="73"/>
      <c r="MEF11" s="73"/>
      <c r="MEG11" s="73"/>
      <c r="MEH11" s="73"/>
      <c r="MEI11" s="73"/>
      <c r="MEJ11" s="73"/>
      <c r="MEK11" s="73"/>
      <c r="MEL11" s="73"/>
      <c r="MEM11" s="73"/>
      <c r="MEN11" s="73"/>
      <c r="MEO11" s="73"/>
      <c r="MEP11" s="73"/>
      <c r="MEQ11" s="73"/>
      <c r="MER11" s="73"/>
      <c r="MES11" s="73"/>
      <c r="MET11" s="73"/>
      <c r="MEU11" s="73"/>
      <c r="MEV11" s="73"/>
      <c r="MEW11" s="73"/>
      <c r="MEX11" s="73"/>
      <c r="MEY11" s="73"/>
      <c r="MEZ11" s="73"/>
      <c r="MFA11" s="73"/>
      <c r="MFB11" s="73"/>
      <c r="MFC11" s="73"/>
      <c r="MFD11" s="73"/>
      <c r="MFE11" s="73"/>
      <c r="MFF11" s="73"/>
      <c r="MFG11" s="73"/>
      <c r="MFH11" s="73"/>
      <c r="MFI11" s="73"/>
      <c r="MFJ11" s="73"/>
      <c r="MFK11" s="73"/>
      <c r="MFL11" s="73"/>
      <c r="MFM11" s="73"/>
      <c r="MFN11" s="73"/>
      <c r="MFO11" s="73"/>
      <c r="MFP11" s="73"/>
      <c r="MFQ11" s="73"/>
      <c r="MFR11" s="73"/>
      <c r="MFS11" s="73"/>
      <c r="MFT11" s="73"/>
      <c r="MFU11" s="73"/>
      <c r="MFV11" s="73"/>
      <c r="MFW11" s="73"/>
      <c r="MFX11" s="73"/>
      <c r="MFY11" s="73"/>
      <c r="MFZ11" s="73"/>
      <c r="MGA11" s="73"/>
      <c r="MGB11" s="73"/>
      <c r="MGC11" s="73"/>
      <c r="MGD11" s="73"/>
      <c r="MGE11" s="73"/>
      <c r="MGF11" s="73"/>
      <c r="MGG11" s="73"/>
      <c r="MGH11" s="73"/>
      <c r="MGI11" s="73"/>
      <c r="MGJ11" s="73"/>
      <c r="MGK11" s="73"/>
      <c r="MGL11" s="73"/>
      <c r="MGM11" s="73"/>
      <c r="MGN11" s="73"/>
      <c r="MGO11" s="73"/>
      <c r="MGP11" s="73"/>
      <c r="MGQ11" s="73"/>
      <c r="MGR11" s="73"/>
      <c r="MGS11" s="73"/>
      <c r="MGT11" s="73"/>
      <c r="MGU11" s="73"/>
      <c r="MGV11" s="73"/>
      <c r="MGW11" s="73"/>
      <c r="MGX11" s="73"/>
      <c r="MGY11" s="73"/>
      <c r="MGZ11" s="73"/>
      <c r="MHA11" s="73"/>
      <c r="MHB11" s="73"/>
      <c r="MHC11" s="73"/>
      <c r="MHD11" s="73"/>
      <c r="MHE11" s="73"/>
      <c r="MHF11" s="73"/>
      <c r="MHG11" s="73"/>
      <c r="MHH11" s="73"/>
      <c r="MHI11" s="73"/>
      <c r="MHJ11" s="73"/>
      <c r="MHK11" s="73"/>
      <c r="MHL11" s="73"/>
      <c r="MHM11" s="73"/>
      <c r="MHN11" s="73"/>
      <c r="MHO11" s="73"/>
      <c r="MHP11" s="73"/>
      <c r="MHQ11" s="73"/>
      <c r="MHR11" s="73"/>
      <c r="MHS11" s="73"/>
      <c r="MHT11" s="73"/>
      <c r="MHU11" s="73"/>
      <c r="MHV11" s="73"/>
      <c r="MHW11" s="73"/>
      <c r="MHX11" s="73"/>
      <c r="MHY11" s="73"/>
      <c r="MHZ11" s="73"/>
      <c r="MIA11" s="73"/>
      <c r="MIB11" s="73"/>
      <c r="MIC11" s="73"/>
      <c r="MID11" s="73"/>
      <c r="MIE11" s="73"/>
      <c r="MIF11" s="73"/>
      <c r="MIG11" s="73"/>
      <c r="MIH11" s="73"/>
      <c r="MII11" s="73"/>
      <c r="MIJ11" s="73"/>
      <c r="MIK11" s="73"/>
      <c r="MIL11" s="73"/>
      <c r="MIM11" s="73"/>
      <c r="MIN11" s="73"/>
      <c r="MIO11" s="73"/>
      <c r="MIP11" s="73"/>
      <c r="MIQ11" s="73"/>
      <c r="MIR11" s="73"/>
      <c r="MIS11" s="73"/>
      <c r="MIT11" s="73"/>
      <c r="MIU11" s="73"/>
      <c r="MIV11" s="73"/>
      <c r="MIW11" s="73"/>
      <c r="MIX11" s="73"/>
      <c r="MIY11" s="73"/>
      <c r="MIZ11" s="73"/>
      <c r="MJA11" s="73"/>
      <c r="MJB11" s="73"/>
      <c r="MJC11" s="73"/>
      <c r="MJD11" s="73"/>
      <c r="MJE11" s="73"/>
      <c r="MJF11" s="73"/>
      <c r="MJG11" s="73"/>
      <c r="MJH11" s="73"/>
      <c r="MJI11" s="73"/>
      <c r="MJJ11" s="73"/>
      <c r="MJK11" s="73"/>
      <c r="MJL11" s="73"/>
      <c r="MJM11" s="73"/>
      <c r="MJN11" s="73"/>
      <c r="MJO11" s="73"/>
      <c r="MJP11" s="73"/>
      <c r="MJQ11" s="73"/>
      <c r="MJR11" s="73"/>
      <c r="MJS11" s="73"/>
      <c r="MJT11" s="73"/>
      <c r="MJU11" s="73"/>
      <c r="MJV11" s="73"/>
      <c r="MJW11" s="73"/>
      <c r="MJX11" s="73"/>
      <c r="MJY11" s="73"/>
      <c r="MJZ11" s="73"/>
      <c r="MKA11" s="73"/>
      <c r="MKB11" s="73"/>
      <c r="MKC11" s="73"/>
      <c r="MKD11" s="73"/>
      <c r="MKE11" s="73"/>
      <c r="MKF11" s="73"/>
      <c r="MKG11" s="73"/>
      <c r="MKH11" s="73"/>
      <c r="MKI11" s="73"/>
      <c r="MKJ11" s="73"/>
      <c r="MKK11" s="73"/>
      <c r="MKL11" s="73"/>
      <c r="MKM11" s="73"/>
      <c r="MKN11" s="73"/>
      <c r="MKO11" s="73"/>
      <c r="MKP11" s="73"/>
      <c r="MKQ11" s="73"/>
      <c r="MKR11" s="73"/>
      <c r="MKS11" s="73"/>
      <c r="MKT11" s="73"/>
      <c r="MKU11" s="73"/>
      <c r="MKV11" s="73"/>
      <c r="MKW11" s="73"/>
      <c r="MKX11" s="73"/>
      <c r="MKY11" s="73"/>
      <c r="MKZ11" s="73"/>
      <c r="MLA11" s="73"/>
      <c r="MLB11" s="73"/>
      <c r="MLC11" s="73"/>
      <c r="MLD11" s="73"/>
      <c r="MLE11" s="73"/>
      <c r="MLF11" s="73"/>
      <c r="MLG11" s="73"/>
      <c r="MLH11" s="73"/>
      <c r="MLI11" s="73"/>
      <c r="MLJ11" s="73"/>
      <c r="MLK11" s="73"/>
      <c r="MLL11" s="73"/>
      <c r="MLM11" s="73"/>
      <c r="MLN11" s="73"/>
      <c r="MLO11" s="73"/>
      <c r="MLP11" s="73"/>
      <c r="MLQ11" s="73"/>
      <c r="MLR11" s="73"/>
      <c r="MLS11" s="73"/>
      <c r="MLT11" s="73"/>
      <c r="MLU11" s="73"/>
      <c r="MLV11" s="73"/>
      <c r="MLW11" s="73"/>
      <c r="MLX11" s="73"/>
      <c r="MLY11" s="73"/>
      <c r="MLZ11" s="73"/>
      <c r="MMA11" s="73"/>
      <c r="MMB11" s="73"/>
      <c r="MMC11" s="73"/>
      <c r="MMD11" s="73"/>
      <c r="MME11" s="73"/>
      <c r="MMF11" s="73"/>
      <c r="MMG11" s="73"/>
      <c r="MMH11" s="73"/>
      <c r="MMI11" s="73"/>
      <c r="MMJ11" s="73"/>
      <c r="MMK11" s="73"/>
      <c r="MML11" s="73"/>
      <c r="MMM11" s="73"/>
      <c r="MMN11" s="73"/>
      <c r="MMO11" s="73"/>
      <c r="MMP11" s="73"/>
      <c r="MMQ11" s="73"/>
      <c r="MMR11" s="73"/>
      <c r="MMS11" s="73"/>
      <c r="MMT11" s="73"/>
      <c r="MMU11" s="73"/>
      <c r="MMV11" s="73"/>
      <c r="MMW11" s="73"/>
      <c r="MMX11" s="73"/>
      <c r="MMY11" s="73"/>
      <c r="MMZ11" s="73"/>
      <c r="MNA11" s="73"/>
      <c r="MNB11" s="73"/>
      <c r="MNC11" s="73"/>
      <c r="MND11" s="73"/>
      <c r="MNE11" s="73"/>
      <c r="MNF11" s="73"/>
      <c r="MNG11" s="73"/>
      <c r="MNH11" s="73"/>
      <c r="MNI11" s="73"/>
      <c r="MNJ11" s="73"/>
      <c r="MNK11" s="73"/>
      <c r="MNL11" s="73"/>
      <c r="MNM11" s="73"/>
      <c r="MNN11" s="73"/>
      <c r="MNO11" s="73"/>
      <c r="MNP11" s="73"/>
      <c r="MNQ11" s="73"/>
      <c r="MNR11" s="73"/>
      <c r="MNS11" s="73"/>
      <c r="MNT11" s="73"/>
      <c r="MNU11" s="73"/>
      <c r="MNV11" s="73"/>
      <c r="MNW11" s="73"/>
      <c r="MNX11" s="73"/>
      <c r="MNY11" s="73"/>
      <c r="MNZ11" s="73"/>
      <c r="MOA11" s="73"/>
      <c r="MOB11" s="73"/>
      <c r="MOC11" s="73"/>
      <c r="MOD11" s="73"/>
      <c r="MOE11" s="73"/>
      <c r="MOF11" s="73"/>
      <c r="MOG11" s="73"/>
      <c r="MOH11" s="73"/>
      <c r="MOI11" s="73"/>
      <c r="MOJ11" s="73"/>
      <c r="MOK11" s="73"/>
      <c r="MOL11" s="73"/>
      <c r="MOM11" s="73"/>
      <c r="MON11" s="73"/>
      <c r="MOO11" s="73"/>
      <c r="MOP11" s="73"/>
      <c r="MOQ11" s="73"/>
      <c r="MOR11" s="73"/>
      <c r="MOS11" s="73"/>
      <c r="MOT11" s="73"/>
      <c r="MOU11" s="73"/>
      <c r="MOV11" s="73"/>
      <c r="MOW11" s="73"/>
      <c r="MOX11" s="73"/>
      <c r="MOY11" s="73"/>
      <c r="MOZ11" s="73"/>
      <c r="MPA11" s="73"/>
      <c r="MPB11" s="73"/>
      <c r="MPC11" s="73"/>
      <c r="MPD11" s="73"/>
      <c r="MPE11" s="73"/>
      <c r="MPF11" s="73"/>
      <c r="MPG11" s="73"/>
      <c r="MPH11" s="73"/>
      <c r="MPI11" s="73"/>
      <c r="MPJ11" s="73"/>
      <c r="MPK11" s="73"/>
      <c r="MPL11" s="73"/>
      <c r="MPM11" s="73"/>
      <c r="MPN11" s="73"/>
      <c r="MPO11" s="73"/>
      <c r="MPP11" s="73"/>
      <c r="MPQ11" s="73"/>
      <c r="MPR11" s="73"/>
      <c r="MPS11" s="73"/>
      <c r="MPT11" s="73"/>
      <c r="MPU11" s="73"/>
      <c r="MPV11" s="73"/>
      <c r="MPW11" s="73"/>
      <c r="MPX11" s="73"/>
      <c r="MPY11" s="73"/>
      <c r="MPZ11" s="73"/>
      <c r="MQA11" s="73"/>
      <c r="MQB11" s="73"/>
      <c r="MQC11" s="73"/>
      <c r="MQD11" s="73"/>
      <c r="MQE11" s="73"/>
      <c r="MQF11" s="73"/>
      <c r="MQG11" s="73"/>
      <c r="MQH11" s="73"/>
      <c r="MQI11" s="73"/>
      <c r="MQJ11" s="73"/>
      <c r="MQK11" s="73"/>
      <c r="MQL11" s="73"/>
      <c r="MQM11" s="73"/>
      <c r="MQN11" s="73"/>
      <c r="MQO11" s="73"/>
      <c r="MQP11" s="73"/>
      <c r="MQQ11" s="73"/>
      <c r="MQR11" s="73"/>
      <c r="MQS11" s="73"/>
      <c r="MQT11" s="73"/>
      <c r="MQU11" s="73"/>
      <c r="MQV11" s="73"/>
      <c r="MQW11" s="73"/>
      <c r="MQX11" s="73"/>
      <c r="MQY11" s="73"/>
      <c r="MQZ11" s="73"/>
      <c r="MRA11" s="73"/>
      <c r="MRB11" s="73"/>
      <c r="MRC11" s="73"/>
      <c r="MRD11" s="73"/>
      <c r="MRE11" s="73"/>
      <c r="MRF11" s="73"/>
      <c r="MRG11" s="73"/>
      <c r="MRH11" s="73"/>
      <c r="MRI11" s="73"/>
      <c r="MRJ11" s="73"/>
      <c r="MRK11" s="73"/>
      <c r="MRL11" s="73"/>
      <c r="MRM11" s="73"/>
      <c r="MRN11" s="73"/>
      <c r="MRO11" s="73"/>
      <c r="MRP11" s="73"/>
      <c r="MRQ11" s="73"/>
      <c r="MRR11" s="73"/>
      <c r="MRS11" s="73"/>
      <c r="MRT11" s="73"/>
      <c r="MRU11" s="73"/>
      <c r="MRV11" s="73"/>
      <c r="MRW11" s="73"/>
      <c r="MRX11" s="73"/>
      <c r="MRY11" s="73"/>
      <c r="MRZ11" s="73"/>
      <c r="MSA11" s="73"/>
      <c r="MSB11" s="73"/>
      <c r="MSC11" s="73"/>
      <c r="MSD11" s="73"/>
      <c r="MSE11" s="73"/>
      <c r="MSF11" s="73"/>
      <c r="MSG11" s="73"/>
      <c r="MSH11" s="73"/>
      <c r="MSI11" s="73"/>
      <c r="MSJ11" s="73"/>
      <c r="MSK11" s="73"/>
      <c r="MSL11" s="73"/>
      <c r="MSM11" s="73"/>
      <c r="MSN11" s="73"/>
      <c r="MSO11" s="73"/>
      <c r="MSP11" s="73"/>
      <c r="MSQ11" s="73"/>
      <c r="MSR11" s="73"/>
      <c r="MSS11" s="73"/>
      <c r="MST11" s="73"/>
      <c r="MSU11" s="73"/>
      <c r="MSV11" s="73"/>
      <c r="MSW11" s="73"/>
      <c r="MSX11" s="73"/>
      <c r="MSY11" s="73"/>
      <c r="MSZ11" s="73"/>
      <c r="MTA11" s="73"/>
      <c r="MTB11" s="73"/>
      <c r="MTC11" s="73"/>
      <c r="MTD11" s="73"/>
      <c r="MTE11" s="73"/>
      <c r="MTF11" s="73"/>
      <c r="MTG11" s="73"/>
      <c r="MTH11" s="73"/>
      <c r="MTI11" s="73"/>
      <c r="MTJ11" s="73"/>
      <c r="MTK11" s="73"/>
      <c r="MTL11" s="73"/>
      <c r="MTM11" s="73"/>
      <c r="MTN11" s="73"/>
      <c r="MTO11" s="73"/>
      <c r="MTP11" s="73"/>
      <c r="MTQ11" s="73"/>
      <c r="MTR11" s="73"/>
      <c r="MTS11" s="73"/>
      <c r="MTT11" s="73"/>
      <c r="MTU11" s="73"/>
      <c r="MTV11" s="73"/>
      <c r="MTW11" s="73"/>
      <c r="MTX11" s="73"/>
      <c r="MTY11" s="73"/>
      <c r="MTZ11" s="73"/>
      <c r="MUA11" s="73"/>
      <c r="MUB11" s="73"/>
      <c r="MUC11" s="73"/>
      <c r="MUD11" s="73"/>
      <c r="MUE11" s="73"/>
      <c r="MUF11" s="73"/>
      <c r="MUG11" s="73"/>
      <c r="MUH11" s="73"/>
      <c r="MUI11" s="73"/>
      <c r="MUJ11" s="73"/>
      <c r="MUK11" s="73"/>
      <c r="MUL11" s="73"/>
      <c r="MUM11" s="73"/>
      <c r="MUN11" s="73"/>
      <c r="MUO11" s="73"/>
      <c r="MUP11" s="73"/>
      <c r="MUQ11" s="73"/>
      <c r="MUR11" s="73"/>
      <c r="MUS11" s="73"/>
      <c r="MUT11" s="73"/>
      <c r="MUU11" s="73"/>
      <c r="MUV11" s="73"/>
      <c r="MUW11" s="73"/>
      <c r="MUX11" s="73"/>
      <c r="MUY11" s="73"/>
      <c r="MUZ11" s="73"/>
      <c r="MVA11" s="73"/>
      <c r="MVB11" s="73"/>
      <c r="MVC11" s="73"/>
      <c r="MVD11" s="73"/>
      <c r="MVE11" s="73"/>
      <c r="MVF11" s="73"/>
      <c r="MVG11" s="73"/>
      <c r="MVH11" s="73"/>
      <c r="MVI11" s="73"/>
      <c r="MVJ11" s="73"/>
      <c r="MVK11" s="73"/>
      <c r="MVL11" s="73"/>
      <c r="MVM11" s="73"/>
      <c r="MVN11" s="73"/>
      <c r="MVO11" s="73"/>
      <c r="MVP11" s="73"/>
      <c r="MVQ11" s="73"/>
      <c r="MVR11" s="73"/>
      <c r="MVS11" s="73"/>
      <c r="MVT11" s="73"/>
      <c r="MVU11" s="73"/>
      <c r="MVV11" s="73"/>
      <c r="MVW11" s="73"/>
      <c r="MVX11" s="73"/>
      <c r="MVY11" s="73"/>
      <c r="MVZ11" s="73"/>
      <c r="MWA11" s="73"/>
      <c r="MWB11" s="73"/>
      <c r="MWC11" s="73"/>
      <c r="MWD11" s="73"/>
      <c r="MWE11" s="73"/>
      <c r="MWF11" s="73"/>
      <c r="MWG11" s="73"/>
      <c r="MWH11" s="73"/>
      <c r="MWI11" s="73"/>
      <c r="MWJ11" s="73"/>
      <c r="MWK11" s="73"/>
      <c r="MWL11" s="73"/>
      <c r="MWM11" s="73"/>
      <c r="MWN11" s="73"/>
      <c r="MWO11" s="73"/>
      <c r="MWP11" s="73"/>
      <c r="MWQ11" s="73"/>
      <c r="MWR11" s="73"/>
      <c r="MWS11" s="73"/>
      <c r="MWT11" s="73"/>
      <c r="MWU11" s="73"/>
      <c r="MWV11" s="73"/>
      <c r="MWW11" s="73"/>
      <c r="MWX11" s="73"/>
      <c r="MWY11" s="73"/>
      <c r="MWZ11" s="73"/>
      <c r="MXA11" s="73"/>
      <c r="MXB11" s="73"/>
      <c r="MXC11" s="73"/>
      <c r="MXD11" s="73"/>
      <c r="MXE11" s="73"/>
      <c r="MXF11" s="73"/>
      <c r="MXG11" s="73"/>
      <c r="MXH11" s="73"/>
      <c r="MXI11" s="73"/>
      <c r="MXJ11" s="73"/>
      <c r="MXK11" s="73"/>
      <c r="MXL11" s="73"/>
      <c r="MXM11" s="73"/>
      <c r="MXN11" s="73"/>
      <c r="MXO11" s="73"/>
      <c r="MXP11" s="73"/>
      <c r="MXQ11" s="73"/>
      <c r="MXR11" s="73"/>
      <c r="MXS11" s="73"/>
      <c r="MXT11" s="73"/>
      <c r="MXU11" s="73"/>
      <c r="MXV11" s="73"/>
      <c r="MXW11" s="73"/>
      <c r="MXX11" s="73"/>
      <c r="MXY11" s="73"/>
      <c r="MXZ11" s="73"/>
      <c r="MYA11" s="73"/>
      <c r="MYB11" s="73"/>
      <c r="MYC11" s="73"/>
      <c r="MYD11" s="73"/>
      <c r="MYE11" s="73"/>
      <c r="MYF11" s="73"/>
      <c r="MYG11" s="73"/>
      <c r="MYH11" s="73"/>
      <c r="MYI11" s="73"/>
      <c r="MYJ11" s="73"/>
      <c r="MYK11" s="73"/>
      <c r="MYL11" s="73"/>
      <c r="MYM11" s="73"/>
      <c r="MYN11" s="73"/>
      <c r="MYO11" s="73"/>
      <c r="MYP11" s="73"/>
      <c r="MYQ11" s="73"/>
      <c r="MYR11" s="73"/>
      <c r="MYS11" s="73"/>
      <c r="MYT11" s="73"/>
      <c r="MYU11" s="73"/>
      <c r="MYV11" s="73"/>
      <c r="MYW11" s="73"/>
      <c r="MYX11" s="73"/>
      <c r="MYY11" s="73"/>
      <c r="MYZ11" s="73"/>
      <c r="MZA11" s="73"/>
      <c r="MZB11" s="73"/>
      <c r="MZC11" s="73"/>
      <c r="MZD11" s="73"/>
      <c r="MZE11" s="73"/>
      <c r="MZF11" s="73"/>
      <c r="MZG11" s="73"/>
      <c r="MZH11" s="73"/>
      <c r="MZI11" s="73"/>
      <c r="MZJ11" s="73"/>
      <c r="MZK11" s="73"/>
      <c r="MZL11" s="73"/>
      <c r="MZM11" s="73"/>
      <c r="MZN11" s="73"/>
      <c r="MZO11" s="73"/>
      <c r="MZP11" s="73"/>
      <c r="MZQ11" s="73"/>
      <c r="MZR11" s="73"/>
      <c r="MZS11" s="73"/>
      <c r="MZT11" s="73"/>
      <c r="MZU11" s="73"/>
      <c r="MZV11" s="73"/>
      <c r="MZW11" s="73"/>
      <c r="MZX11" s="73"/>
      <c r="MZY11" s="73"/>
      <c r="MZZ11" s="73"/>
      <c r="NAA11" s="73"/>
      <c r="NAB11" s="73"/>
      <c r="NAC11" s="73"/>
      <c r="NAD11" s="73"/>
      <c r="NAE11" s="73"/>
      <c r="NAF11" s="73"/>
      <c r="NAG11" s="73"/>
      <c r="NAH11" s="73"/>
      <c r="NAI11" s="73"/>
      <c r="NAJ11" s="73"/>
      <c r="NAK11" s="73"/>
      <c r="NAL11" s="73"/>
      <c r="NAM11" s="73"/>
      <c r="NAN11" s="73"/>
      <c r="NAO11" s="73"/>
      <c r="NAP11" s="73"/>
      <c r="NAQ11" s="73"/>
      <c r="NAR11" s="73"/>
      <c r="NAS11" s="73"/>
      <c r="NAT11" s="73"/>
      <c r="NAU11" s="73"/>
      <c r="NAV11" s="73"/>
      <c r="NAW11" s="73"/>
      <c r="NAX11" s="73"/>
      <c r="NAY11" s="73"/>
      <c r="NAZ11" s="73"/>
      <c r="NBA11" s="73"/>
      <c r="NBB11" s="73"/>
      <c r="NBC11" s="73"/>
      <c r="NBD11" s="73"/>
      <c r="NBE11" s="73"/>
      <c r="NBF11" s="73"/>
      <c r="NBG11" s="73"/>
      <c r="NBH11" s="73"/>
      <c r="NBI11" s="73"/>
      <c r="NBJ11" s="73"/>
      <c r="NBK11" s="73"/>
      <c r="NBL11" s="73"/>
      <c r="NBM11" s="73"/>
      <c r="NBN11" s="73"/>
      <c r="NBO11" s="73"/>
      <c r="NBP11" s="73"/>
      <c r="NBQ11" s="73"/>
      <c r="NBR11" s="73"/>
      <c r="NBS11" s="73"/>
      <c r="NBT11" s="73"/>
      <c r="NBU11" s="73"/>
      <c r="NBV11" s="73"/>
      <c r="NBW11" s="73"/>
      <c r="NBX11" s="73"/>
      <c r="NBY11" s="73"/>
      <c r="NBZ11" s="73"/>
      <c r="NCA11" s="73"/>
      <c r="NCB11" s="73"/>
      <c r="NCC11" s="73"/>
      <c r="NCD11" s="73"/>
      <c r="NCE11" s="73"/>
      <c r="NCF11" s="73"/>
      <c r="NCG11" s="73"/>
      <c r="NCH11" s="73"/>
      <c r="NCI11" s="73"/>
      <c r="NCJ11" s="73"/>
      <c r="NCK11" s="73"/>
      <c r="NCL11" s="73"/>
      <c r="NCM11" s="73"/>
      <c r="NCN11" s="73"/>
      <c r="NCO11" s="73"/>
      <c r="NCP11" s="73"/>
      <c r="NCQ11" s="73"/>
      <c r="NCR11" s="73"/>
      <c r="NCS11" s="73"/>
      <c r="NCT11" s="73"/>
      <c r="NCU11" s="73"/>
      <c r="NCV11" s="73"/>
      <c r="NCW11" s="73"/>
      <c r="NCX11" s="73"/>
      <c r="NCY11" s="73"/>
      <c r="NCZ11" s="73"/>
      <c r="NDA11" s="73"/>
      <c r="NDB11" s="73"/>
      <c r="NDC11" s="73"/>
      <c r="NDD11" s="73"/>
      <c r="NDE11" s="73"/>
      <c r="NDF11" s="73"/>
      <c r="NDG11" s="73"/>
      <c r="NDH11" s="73"/>
      <c r="NDI11" s="73"/>
      <c r="NDJ11" s="73"/>
      <c r="NDK11" s="73"/>
      <c r="NDL11" s="73"/>
      <c r="NDM11" s="73"/>
      <c r="NDN11" s="73"/>
      <c r="NDO11" s="73"/>
      <c r="NDP11" s="73"/>
      <c r="NDQ11" s="73"/>
      <c r="NDR11" s="73"/>
      <c r="NDS11" s="73"/>
      <c r="NDT11" s="73"/>
      <c r="NDU11" s="73"/>
      <c r="NDV11" s="73"/>
      <c r="NDW11" s="73"/>
      <c r="NDX11" s="73"/>
      <c r="NDY11" s="73"/>
      <c r="NDZ11" s="73"/>
      <c r="NEA11" s="73"/>
      <c r="NEB11" s="73"/>
      <c r="NEC11" s="73"/>
      <c r="NED11" s="73"/>
      <c r="NEE11" s="73"/>
      <c r="NEF11" s="73"/>
      <c r="NEG11" s="73"/>
      <c r="NEH11" s="73"/>
      <c r="NEI11" s="73"/>
      <c r="NEJ11" s="73"/>
      <c r="NEK11" s="73"/>
      <c r="NEL11" s="73"/>
      <c r="NEM11" s="73"/>
      <c r="NEN11" s="73"/>
      <c r="NEO11" s="73"/>
      <c r="NEP11" s="73"/>
      <c r="NEQ11" s="73"/>
      <c r="NER11" s="73"/>
      <c r="NES11" s="73"/>
      <c r="NET11" s="73"/>
      <c r="NEU11" s="73"/>
      <c r="NEV11" s="73"/>
      <c r="NEW11" s="73"/>
      <c r="NEX11" s="73"/>
      <c r="NEY11" s="73"/>
      <c r="NEZ11" s="73"/>
      <c r="NFA11" s="73"/>
      <c r="NFB11" s="73"/>
      <c r="NFC11" s="73"/>
      <c r="NFD11" s="73"/>
      <c r="NFE11" s="73"/>
      <c r="NFF11" s="73"/>
      <c r="NFG11" s="73"/>
      <c r="NFH11" s="73"/>
      <c r="NFI11" s="73"/>
      <c r="NFJ11" s="73"/>
      <c r="NFK11" s="73"/>
      <c r="NFL11" s="73"/>
      <c r="NFM11" s="73"/>
      <c r="NFN11" s="73"/>
      <c r="NFO11" s="73"/>
      <c r="NFP11" s="73"/>
      <c r="NFQ11" s="73"/>
      <c r="NFR11" s="73"/>
      <c r="NFS11" s="73"/>
      <c r="NFT11" s="73"/>
      <c r="NFU11" s="73"/>
      <c r="NFV11" s="73"/>
      <c r="NFW11" s="73"/>
      <c r="NFX11" s="73"/>
      <c r="NFY11" s="73"/>
      <c r="NFZ11" s="73"/>
      <c r="NGA11" s="73"/>
      <c r="NGB11" s="73"/>
      <c r="NGC11" s="73"/>
      <c r="NGD11" s="73"/>
      <c r="NGE11" s="73"/>
      <c r="NGF11" s="73"/>
      <c r="NGG11" s="73"/>
      <c r="NGH11" s="73"/>
      <c r="NGI11" s="73"/>
      <c r="NGJ11" s="73"/>
      <c r="NGK11" s="73"/>
      <c r="NGL11" s="73"/>
      <c r="NGM11" s="73"/>
      <c r="NGN11" s="73"/>
      <c r="NGO11" s="73"/>
      <c r="NGP11" s="73"/>
      <c r="NGQ11" s="73"/>
      <c r="NGR11" s="73"/>
      <c r="NGS11" s="73"/>
      <c r="NGT11" s="73"/>
      <c r="NGU11" s="73"/>
      <c r="NGV11" s="73"/>
      <c r="NGW11" s="73"/>
      <c r="NGX11" s="73"/>
      <c r="NGY11" s="73"/>
      <c r="NGZ11" s="73"/>
      <c r="NHA11" s="73"/>
      <c r="NHB11" s="73"/>
      <c r="NHC11" s="73"/>
      <c r="NHD11" s="73"/>
      <c r="NHE11" s="73"/>
      <c r="NHF11" s="73"/>
      <c r="NHG11" s="73"/>
      <c r="NHH11" s="73"/>
      <c r="NHI11" s="73"/>
      <c r="NHJ11" s="73"/>
      <c r="NHK11" s="73"/>
      <c r="NHL11" s="73"/>
      <c r="NHM11" s="73"/>
      <c r="NHN11" s="73"/>
      <c r="NHO11" s="73"/>
      <c r="NHP11" s="73"/>
      <c r="NHQ11" s="73"/>
      <c r="NHR11" s="73"/>
      <c r="NHS11" s="73"/>
      <c r="NHT11" s="73"/>
      <c r="NHU11" s="73"/>
      <c r="NHV11" s="73"/>
      <c r="NHW11" s="73"/>
      <c r="NHX11" s="73"/>
      <c r="NHY11" s="73"/>
      <c r="NHZ11" s="73"/>
      <c r="NIA11" s="73"/>
      <c r="NIB11" s="73"/>
      <c r="NIC11" s="73"/>
      <c r="NID11" s="73"/>
      <c r="NIE11" s="73"/>
      <c r="NIF11" s="73"/>
      <c r="NIG11" s="73"/>
      <c r="NIH11" s="73"/>
      <c r="NII11" s="73"/>
      <c r="NIJ11" s="73"/>
      <c r="NIK11" s="73"/>
      <c r="NIL11" s="73"/>
      <c r="NIM11" s="73"/>
      <c r="NIN11" s="73"/>
      <c r="NIO11" s="73"/>
      <c r="NIP11" s="73"/>
      <c r="NIQ11" s="73"/>
      <c r="NIR11" s="73"/>
      <c r="NIS11" s="73"/>
      <c r="NIT11" s="73"/>
      <c r="NIU11" s="73"/>
      <c r="NIV11" s="73"/>
      <c r="NIW11" s="73"/>
      <c r="NIX11" s="73"/>
      <c r="NIY11" s="73"/>
      <c r="NIZ11" s="73"/>
      <c r="NJA11" s="73"/>
      <c r="NJB11" s="73"/>
      <c r="NJC11" s="73"/>
      <c r="NJD11" s="73"/>
      <c r="NJE11" s="73"/>
      <c r="NJF11" s="73"/>
      <c r="NJG11" s="73"/>
      <c r="NJH11" s="73"/>
      <c r="NJI11" s="73"/>
      <c r="NJJ11" s="73"/>
      <c r="NJK11" s="73"/>
      <c r="NJL11" s="73"/>
      <c r="NJM11" s="73"/>
      <c r="NJN11" s="73"/>
      <c r="NJO11" s="73"/>
      <c r="NJP11" s="73"/>
      <c r="NJQ11" s="73"/>
      <c r="NJR11" s="73"/>
      <c r="NJS11" s="73"/>
      <c r="NJT11" s="73"/>
      <c r="NJU11" s="73"/>
      <c r="NJV11" s="73"/>
      <c r="NJW11" s="73"/>
      <c r="NJX11" s="73"/>
      <c r="NJY11" s="73"/>
      <c r="NJZ11" s="73"/>
      <c r="NKA11" s="73"/>
      <c r="NKB11" s="73"/>
      <c r="NKC11" s="73"/>
      <c r="NKD11" s="73"/>
      <c r="NKE11" s="73"/>
      <c r="NKF11" s="73"/>
      <c r="NKG11" s="73"/>
      <c r="NKH11" s="73"/>
      <c r="NKI11" s="73"/>
      <c r="NKJ11" s="73"/>
      <c r="NKK11" s="73"/>
      <c r="NKL11" s="73"/>
      <c r="NKM11" s="73"/>
      <c r="NKN11" s="73"/>
      <c r="NKO11" s="73"/>
      <c r="NKP11" s="73"/>
      <c r="NKQ11" s="73"/>
      <c r="NKR11" s="73"/>
      <c r="NKS11" s="73"/>
      <c r="NKT11" s="73"/>
      <c r="NKU11" s="73"/>
      <c r="NKV11" s="73"/>
      <c r="NKW11" s="73"/>
      <c r="NKX11" s="73"/>
      <c r="NKY11" s="73"/>
      <c r="NKZ11" s="73"/>
      <c r="NLA11" s="73"/>
      <c r="NLB11" s="73"/>
      <c r="NLC11" s="73"/>
      <c r="NLD11" s="73"/>
      <c r="NLE11" s="73"/>
      <c r="NLF11" s="73"/>
      <c r="NLG11" s="73"/>
      <c r="NLH11" s="73"/>
      <c r="NLI11" s="73"/>
      <c r="NLJ11" s="73"/>
      <c r="NLK11" s="73"/>
      <c r="NLL11" s="73"/>
      <c r="NLM11" s="73"/>
      <c r="NLN11" s="73"/>
      <c r="NLO11" s="73"/>
      <c r="NLP11" s="73"/>
      <c r="NLQ11" s="73"/>
      <c r="NLR11" s="73"/>
      <c r="NLS11" s="73"/>
      <c r="NLT11" s="73"/>
      <c r="NLU11" s="73"/>
      <c r="NLV11" s="73"/>
      <c r="NLW11" s="73"/>
      <c r="NLX11" s="73"/>
      <c r="NLY11" s="73"/>
      <c r="NLZ11" s="73"/>
      <c r="NMA11" s="73"/>
      <c r="NMB11" s="73"/>
      <c r="NMC11" s="73"/>
      <c r="NMD11" s="73"/>
      <c r="NME11" s="73"/>
      <c r="NMF11" s="73"/>
      <c r="NMG11" s="73"/>
      <c r="NMH11" s="73"/>
      <c r="NMI11" s="73"/>
      <c r="NMJ11" s="73"/>
      <c r="NMK11" s="73"/>
      <c r="NML11" s="73"/>
      <c r="NMM11" s="73"/>
      <c r="NMN11" s="73"/>
      <c r="NMO11" s="73"/>
      <c r="NMP11" s="73"/>
      <c r="NMQ11" s="73"/>
      <c r="NMR11" s="73"/>
      <c r="NMS11" s="73"/>
      <c r="NMT11" s="73"/>
      <c r="NMU11" s="73"/>
      <c r="NMV11" s="73"/>
      <c r="NMW11" s="73"/>
      <c r="NMX11" s="73"/>
      <c r="NMY11" s="73"/>
      <c r="NMZ11" s="73"/>
      <c r="NNA11" s="73"/>
      <c r="NNB11" s="73"/>
      <c r="NNC11" s="73"/>
      <c r="NND11" s="73"/>
      <c r="NNE11" s="73"/>
      <c r="NNF11" s="73"/>
      <c r="NNG11" s="73"/>
      <c r="NNH11" s="73"/>
      <c r="NNI11" s="73"/>
      <c r="NNJ11" s="73"/>
      <c r="NNK11" s="73"/>
      <c r="NNL11" s="73"/>
      <c r="NNM11" s="73"/>
      <c r="NNN11" s="73"/>
      <c r="NNO11" s="73"/>
      <c r="NNP11" s="73"/>
      <c r="NNQ11" s="73"/>
      <c r="NNR11" s="73"/>
      <c r="NNS11" s="73"/>
      <c r="NNT11" s="73"/>
      <c r="NNU11" s="73"/>
      <c r="NNV11" s="73"/>
      <c r="NNW11" s="73"/>
      <c r="NNX11" s="73"/>
      <c r="NNY11" s="73"/>
      <c r="NNZ11" s="73"/>
      <c r="NOA11" s="73"/>
      <c r="NOB11" s="73"/>
      <c r="NOC11" s="73"/>
      <c r="NOD11" s="73"/>
      <c r="NOE11" s="73"/>
      <c r="NOF11" s="73"/>
      <c r="NOG11" s="73"/>
      <c r="NOH11" s="73"/>
      <c r="NOI11" s="73"/>
      <c r="NOJ11" s="73"/>
      <c r="NOK11" s="73"/>
      <c r="NOL11" s="73"/>
      <c r="NOM11" s="73"/>
      <c r="NON11" s="73"/>
      <c r="NOO11" s="73"/>
      <c r="NOP11" s="73"/>
      <c r="NOQ11" s="73"/>
      <c r="NOR11" s="73"/>
      <c r="NOS11" s="73"/>
      <c r="NOT11" s="73"/>
      <c r="NOU11" s="73"/>
      <c r="NOV11" s="73"/>
      <c r="NOW11" s="73"/>
      <c r="NOX11" s="73"/>
      <c r="NOY11" s="73"/>
      <c r="NOZ11" s="73"/>
      <c r="NPA11" s="73"/>
      <c r="NPB11" s="73"/>
      <c r="NPC11" s="73"/>
      <c r="NPD11" s="73"/>
      <c r="NPE11" s="73"/>
      <c r="NPF11" s="73"/>
      <c r="NPG11" s="73"/>
      <c r="NPH11" s="73"/>
      <c r="NPI11" s="73"/>
      <c r="NPJ11" s="73"/>
      <c r="NPK11" s="73"/>
      <c r="NPL11" s="73"/>
      <c r="NPM11" s="73"/>
      <c r="NPN11" s="73"/>
      <c r="NPO11" s="73"/>
      <c r="NPP11" s="73"/>
      <c r="NPQ11" s="73"/>
      <c r="NPR11" s="73"/>
      <c r="NPS11" s="73"/>
      <c r="NPT11" s="73"/>
      <c r="NPU11" s="73"/>
      <c r="NPV11" s="73"/>
      <c r="NPW11" s="73"/>
      <c r="NPX11" s="73"/>
      <c r="NPY11" s="73"/>
      <c r="NPZ11" s="73"/>
      <c r="NQA11" s="73"/>
      <c r="NQB11" s="73"/>
      <c r="NQC11" s="73"/>
      <c r="NQD11" s="73"/>
      <c r="NQE11" s="73"/>
      <c r="NQF11" s="73"/>
      <c r="NQG11" s="73"/>
      <c r="NQH11" s="73"/>
      <c r="NQI11" s="73"/>
      <c r="NQJ11" s="73"/>
      <c r="NQK11" s="73"/>
      <c r="NQL11" s="73"/>
      <c r="NQM11" s="73"/>
      <c r="NQN11" s="73"/>
      <c r="NQO11" s="73"/>
      <c r="NQP11" s="73"/>
      <c r="NQQ11" s="73"/>
      <c r="NQR11" s="73"/>
      <c r="NQS11" s="73"/>
      <c r="NQT11" s="73"/>
      <c r="NQU11" s="73"/>
      <c r="NQV11" s="73"/>
      <c r="NQW11" s="73"/>
      <c r="NQX11" s="73"/>
      <c r="NQY11" s="73"/>
      <c r="NQZ11" s="73"/>
      <c r="NRA11" s="73"/>
      <c r="NRB11" s="73"/>
      <c r="NRC11" s="73"/>
      <c r="NRD11" s="73"/>
      <c r="NRE11" s="73"/>
      <c r="NRF11" s="73"/>
      <c r="NRG11" s="73"/>
      <c r="NRH11" s="73"/>
      <c r="NRI11" s="73"/>
      <c r="NRJ11" s="73"/>
      <c r="NRK11" s="73"/>
      <c r="NRL11" s="73"/>
      <c r="NRM11" s="73"/>
      <c r="NRN11" s="73"/>
      <c r="NRO11" s="73"/>
      <c r="NRP11" s="73"/>
      <c r="NRQ11" s="73"/>
      <c r="NRR11" s="73"/>
      <c r="NRS11" s="73"/>
      <c r="NRT11" s="73"/>
      <c r="NRU11" s="73"/>
      <c r="NRV11" s="73"/>
      <c r="NRW11" s="73"/>
      <c r="NRX11" s="73"/>
      <c r="NRY11" s="73"/>
      <c r="NRZ11" s="73"/>
      <c r="NSA11" s="73"/>
      <c r="NSB11" s="73"/>
      <c r="NSC11" s="73"/>
      <c r="NSD11" s="73"/>
      <c r="NSE11" s="73"/>
      <c r="NSF11" s="73"/>
      <c r="NSG11" s="73"/>
      <c r="NSH11" s="73"/>
      <c r="NSI11" s="73"/>
      <c r="NSJ11" s="73"/>
      <c r="NSK11" s="73"/>
      <c r="NSL11" s="73"/>
      <c r="NSM11" s="73"/>
      <c r="NSN11" s="73"/>
      <c r="NSO11" s="73"/>
      <c r="NSP11" s="73"/>
      <c r="NSQ11" s="73"/>
      <c r="NSR11" s="73"/>
      <c r="NSS11" s="73"/>
      <c r="NST11" s="73"/>
      <c r="NSU11" s="73"/>
      <c r="NSV11" s="73"/>
      <c r="NSW11" s="73"/>
      <c r="NSX11" s="73"/>
      <c r="NSY11" s="73"/>
      <c r="NSZ11" s="73"/>
      <c r="NTA11" s="73"/>
      <c r="NTB11" s="73"/>
      <c r="NTC11" s="73"/>
      <c r="NTD11" s="73"/>
      <c r="NTE11" s="73"/>
      <c r="NTF11" s="73"/>
      <c r="NTG11" s="73"/>
      <c r="NTH11" s="73"/>
      <c r="NTI11" s="73"/>
      <c r="NTJ11" s="73"/>
      <c r="NTK11" s="73"/>
      <c r="NTL11" s="73"/>
      <c r="NTM11" s="73"/>
      <c r="NTN11" s="73"/>
      <c r="NTO11" s="73"/>
      <c r="NTP11" s="73"/>
      <c r="NTQ11" s="73"/>
      <c r="NTR11" s="73"/>
      <c r="NTS11" s="73"/>
      <c r="NTT11" s="73"/>
      <c r="NTU11" s="73"/>
      <c r="NTV11" s="73"/>
      <c r="NTW11" s="73"/>
      <c r="NTX11" s="73"/>
      <c r="NTY11" s="73"/>
      <c r="NTZ11" s="73"/>
      <c r="NUA11" s="73"/>
      <c r="NUB11" s="73"/>
      <c r="NUC11" s="73"/>
      <c r="NUD11" s="73"/>
      <c r="NUE11" s="73"/>
      <c r="NUF11" s="73"/>
      <c r="NUG11" s="73"/>
      <c r="NUH11" s="73"/>
      <c r="NUI11" s="73"/>
      <c r="NUJ11" s="73"/>
      <c r="NUK11" s="73"/>
      <c r="NUL11" s="73"/>
      <c r="NUM11" s="73"/>
      <c r="NUN11" s="73"/>
      <c r="NUO11" s="73"/>
      <c r="NUP11" s="73"/>
      <c r="NUQ11" s="73"/>
      <c r="NUR11" s="73"/>
      <c r="NUS11" s="73"/>
      <c r="NUT11" s="73"/>
      <c r="NUU11" s="73"/>
      <c r="NUV11" s="73"/>
      <c r="NUW11" s="73"/>
      <c r="NUX11" s="73"/>
      <c r="NUY11" s="73"/>
      <c r="NUZ11" s="73"/>
      <c r="NVA11" s="73"/>
      <c r="NVB11" s="73"/>
      <c r="NVC11" s="73"/>
      <c r="NVD11" s="73"/>
      <c r="NVE11" s="73"/>
      <c r="NVF11" s="73"/>
      <c r="NVG11" s="73"/>
      <c r="NVH11" s="73"/>
      <c r="NVI11" s="73"/>
      <c r="NVJ11" s="73"/>
      <c r="NVK11" s="73"/>
      <c r="NVL11" s="73"/>
      <c r="NVM11" s="73"/>
      <c r="NVN11" s="73"/>
      <c r="NVO11" s="73"/>
      <c r="NVP11" s="73"/>
      <c r="NVQ11" s="73"/>
      <c r="NVR11" s="73"/>
      <c r="NVS11" s="73"/>
      <c r="NVT11" s="73"/>
      <c r="NVU11" s="73"/>
      <c r="NVV11" s="73"/>
      <c r="NVW11" s="73"/>
      <c r="NVX11" s="73"/>
      <c r="NVY11" s="73"/>
      <c r="NVZ11" s="73"/>
      <c r="NWA11" s="73"/>
      <c r="NWB11" s="73"/>
      <c r="NWC11" s="73"/>
      <c r="NWD11" s="73"/>
      <c r="NWE11" s="73"/>
      <c r="NWF11" s="73"/>
      <c r="NWG11" s="73"/>
      <c r="NWH11" s="73"/>
      <c r="NWI11" s="73"/>
      <c r="NWJ11" s="73"/>
      <c r="NWK11" s="73"/>
      <c r="NWL11" s="73"/>
      <c r="NWM11" s="73"/>
      <c r="NWN11" s="73"/>
      <c r="NWO11" s="73"/>
      <c r="NWP11" s="73"/>
      <c r="NWQ11" s="73"/>
      <c r="NWR11" s="73"/>
      <c r="NWS11" s="73"/>
      <c r="NWT11" s="73"/>
      <c r="NWU11" s="73"/>
      <c r="NWV11" s="73"/>
      <c r="NWW11" s="73"/>
      <c r="NWX11" s="73"/>
      <c r="NWY11" s="73"/>
      <c r="NWZ11" s="73"/>
      <c r="NXA11" s="73"/>
      <c r="NXB11" s="73"/>
      <c r="NXC11" s="73"/>
      <c r="NXD11" s="73"/>
      <c r="NXE11" s="73"/>
      <c r="NXF11" s="73"/>
      <c r="NXG11" s="73"/>
      <c r="NXH11" s="73"/>
      <c r="NXI11" s="73"/>
      <c r="NXJ11" s="73"/>
      <c r="NXK11" s="73"/>
      <c r="NXL11" s="73"/>
      <c r="NXM11" s="73"/>
      <c r="NXN11" s="73"/>
      <c r="NXO11" s="73"/>
      <c r="NXP11" s="73"/>
      <c r="NXQ11" s="73"/>
      <c r="NXR11" s="73"/>
      <c r="NXS11" s="73"/>
      <c r="NXT11" s="73"/>
      <c r="NXU11" s="73"/>
      <c r="NXV11" s="73"/>
      <c r="NXW11" s="73"/>
      <c r="NXX11" s="73"/>
      <c r="NXY11" s="73"/>
      <c r="NXZ11" s="73"/>
      <c r="NYA11" s="73"/>
      <c r="NYB11" s="73"/>
      <c r="NYC11" s="73"/>
      <c r="NYD11" s="73"/>
      <c r="NYE11" s="73"/>
      <c r="NYF11" s="73"/>
      <c r="NYG11" s="73"/>
      <c r="NYH11" s="73"/>
      <c r="NYI11" s="73"/>
      <c r="NYJ11" s="73"/>
      <c r="NYK11" s="73"/>
      <c r="NYL11" s="73"/>
      <c r="NYM11" s="73"/>
      <c r="NYN11" s="73"/>
      <c r="NYO11" s="73"/>
      <c r="NYP11" s="73"/>
      <c r="NYQ11" s="73"/>
      <c r="NYR11" s="73"/>
      <c r="NYS11" s="73"/>
      <c r="NYT11" s="73"/>
      <c r="NYU11" s="73"/>
      <c r="NYV11" s="73"/>
      <c r="NYW11" s="73"/>
      <c r="NYX11" s="73"/>
      <c r="NYY11" s="73"/>
      <c r="NYZ11" s="73"/>
      <c r="NZA11" s="73"/>
      <c r="NZB11" s="73"/>
      <c r="NZC11" s="73"/>
      <c r="NZD11" s="73"/>
      <c r="NZE11" s="73"/>
      <c r="NZF11" s="73"/>
      <c r="NZG11" s="73"/>
      <c r="NZH11" s="73"/>
      <c r="NZI11" s="73"/>
      <c r="NZJ11" s="73"/>
      <c r="NZK11" s="73"/>
      <c r="NZL11" s="73"/>
      <c r="NZM11" s="73"/>
      <c r="NZN11" s="73"/>
      <c r="NZO11" s="73"/>
      <c r="NZP11" s="73"/>
      <c r="NZQ11" s="73"/>
      <c r="NZR11" s="73"/>
      <c r="NZS11" s="73"/>
      <c r="NZT11" s="73"/>
      <c r="NZU11" s="73"/>
      <c r="NZV11" s="73"/>
      <c r="NZW11" s="73"/>
      <c r="NZX11" s="73"/>
      <c r="NZY11" s="73"/>
      <c r="NZZ11" s="73"/>
      <c r="OAA11" s="73"/>
      <c r="OAB11" s="73"/>
      <c r="OAC11" s="73"/>
      <c r="OAD11" s="73"/>
      <c r="OAE11" s="73"/>
      <c r="OAF11" s="73"/>
      <c r="OAG11" s="73"/>
      <c r="OAH11" s="73"/>
      <c r="OAI11" s="73"/>
      <c r="OAJ11" s="73"/>
      <c r="OAK11" s="73"/>
      <c r="OAL11" s="73"/>
      <c r="OAM11" s="73"/>
      <c r="OAN11" s="73"/>
      <c r="OAO11" s="73"/>
      <c r="OAP11" s="73"/>
      <c r="OAQ11" s="73"/>
      <c r="OAR11" s="73"/>
      <c r="OAS11" s="73"/>
      <c r="OAT11" s="73"/>
      <c r="OAU11" s="73"/>
      <c r="OAV11" s="73"/>
      <c r="OAW11" s="73"/>
      <c r="OAX11" s="73"/>
      <c r="OAY11" s="73"/>
      <c r="OAZ11" s="73"/>
      <c r="OBA11" s="73"/>
      <c r="OBB11" s="73"/>
      <c r="OBC11" s="73"/>
      <c r="OBD11" s="73"/>
      <c r="OBE11" s="73"/>
      <c r="OBF11" s="73"/>
      <c r="OBG11" s="73"/>
      <c r="OBH11" s="73"/>
      <c r="OBI11" s="73"/>
      <c r="OBJ11" s="73"/>
      <c r="OBK11" s="73"/>
      <c r="OBL11" s="73"/>
      <c r="OBM11" s="73"/>
      <c r="OBN11" s="73"/>
      <c r="OBO11" s="73"/>
      <c r="OBP11" s="73"/>
      <c r="OBQ11" s="73"/>
      <c r="OBR11" s="73"/>
      <c r="OBS11" s="73"/>
      <c r="OBT11" s="73"/>
      <c r="OBU11" s="73"/>
      <c r="OBV11" s="73"/>
      <c r="OBW11" s="73"/>
      <c r="OBX11" s="73"/>
      <c r="OBY11" s="73"/>
      <c r="OBZ11" s="73"/>
      <c r="OCA11" s="73"/>
      <c r="OCB11" s="73"/>
      <c r="OCC11" s="73"/>
      <c r="OCD11" s="73"/>
      <c r="OCE11" s="73"/>
      <c r="OCF11" s="73"/>
      <c r="OCG11" s="73"/>
      <c r="OCH11" s="73"/>
      <c r="OCI11" s="73"/>
      <c r="OCJ11" s="73"/>
      <c r="OCK11" s="73"/>
      <c r="OCL11" s="73"/>
      <c r="OCM11" s="73"/>
      <c r="OCN11" s="73"/>
      <c r="OCO11" s="73"/>
      <c r="OCP11" s="73"/>
      <c r="OCQ11" s="73"/>
      <c r="OCR11" s="73"/>
      <c r="OCS11" s="73"/>
      <c r="OCT11" s="73"/>
      <c r="OCU11" s="73"/>
      <c r="OCV11" s="73"/>
      <c r="OCW11" s="73"/>
      <c r="OCX11" s="73"/>
      <c r="OCY11" s="73"/>
      <c r="OCZ11" s="73"/>
      <c r="ODA11" s="73"/>
      <c r="ODB11" s="73"/>
      <c r="ODC11" s="73"/>
      <c r="ODD11" s="73"/>
      <c r="ODE11" s="73"/>
      <c r="ODF11" s="73"/>
      <c r="ODG11" s="73"/>
      <c r="ODH11" s="73"/>
      <c r="ODI11" s="73"/>
      <c r="ODJ11" s="73"/>
      <c r="ODK11" s="73"/>
      <c r="ODL11" s="73"/>
      <c r="ODM11" s="73"/>
      <c r="ODN11" s="73"/>
      <c r="ODO11" s="73"/>
      <c r="ODP11" s="73"/>
      <c r="ODQ11" s="73"/>
      <c r="ODR11" s="73"/>
      <c r="ODS11" s="73"/>
      <c r="ODT11" s="73"/>
      <c r="ODU11" s="73"/>
      <c r="ODV11" s="73"/>
      <c r="ODW11" s="73"/>
      <c r="ODX11" s="73"/>
      <c r="ODY11" s="73"/>
      <c r="ODZ11" s="73"/>
      <c r="OEA11" s="73"/>
      <c r="OEB11" s="73"/>
      <c r="OEC11" s="73"/>
      <c r="OED11" s="73"/>
      <c r="OEE11" s="73"/>
      <c r="OEF11" s="73"/>
      <c r="OEG11" s="73"/>
      <c r="OEH11" s="73"/>
      <c r="OEI11" s="73"/>
      <c r="OEJ11" s="73"/>
      <c r="OEK11" s="73"/>
      <c r="OEL11" s="73"/>
      <c r="OEM11" s="73"/>
      <c r="OEN11" s="73"/>
      <c r="OEO11" s="73"/>
      <c r="OEP11" s="73"/>
      <c r="OEQ11" s="73"/>
      <c r="OER11" s="73"/>
      <c r="OES11" s="73"/>
      <c r="OET11" s="73"/>
      <c r="OEU11" s="73"/>
      <c r="OEV11" s="73"/>
      <c r="OEW11" s="73"/>
      <c r="OEX11" s="73"/>
      <c r="OEY11" s="73"/>
      <c r="OEZ11" s="73"/>
      <c r="OFA11" s="73"/>
      <c r="OFB11" s="73"/>
      <c r="OFC11" s="73"/>
      <c r="OFD11" s="73"/>
      <c r="OFE11" s="73"/>
      <c r="OFF11" s="73"/>
      <c r="OFG11" s="73"/>
      <c r="OFH11" s="73"/>
      <c r="OFI11" s="73"/>
      <c r="OFJ11" s="73"/>
      <c r="OFK11" s="73"/>
      <c r="OFL11" s="73"/>
      <c r="OFM11" s="73"/>
      <c r="OFN11" s="73"/>
      <c r="OFO11" s="73"/>
      <c r="OFP11" s="73"/>
      <c r="OFQ11" s="73"/>
      <c r="OFR11" s="73"/>
      <c r="OFS11" s="73"/>
      <c r="OFT11" s="73"/>
      <c r="OFU11" s="73"/>
      <c r="OFV11" s="73"/>
      <c r="OFW11" s="73"/>
      <c r="OFX11" s="73"/>
      <c r="OFY11" s="73"/>
      <c r="OFZ11" s="73"/>
      <c r="OGA11" s="73"/>
      <c r="OGB11" s="73"/>
      <c r="OGC11" s="73"/>
      <c r="OGD11" s="73"/>
      <c r="OGE11" s="73"/>
      <c r="OGF11" s="73"/>
      <c r="OGG11" s="73"/>
      <c r="OGH11" s="73"/>
      <c r="OGI11" s="73"/>
      <c r="OGJ11" s="73"/>
      <c r="OGK11" s="73"/>
      <c r="OGL11" s="73"/>
      <c r="OGM11" s="73"/>
      <c r="OGN11" s="73"/>
      <c r="OGO11" s="73"/>
      <c r="OGP11" s="73"/>
      <c r="OGQ11" s="73"/>
      <c r="OGR11" s="73"/>
      <c r="OGS11" s="73"/>
      <c r="OGT11" s="73"/>
      <c r="OGU11" s="73"/>
      <c r="OGV11" s="73"/>
      <c r="OGW11" s="73"/>
      <c r="OGX11" s="73"/>
      <c r="OGY11" s="73"/>
      <c r="OGZ11" s="73"/>
      <c r="OHA11" s="73"/>
      <c r="OHB11" s="73"/>
      <c r="OHC11" s="73"/>
      <c r="OHD11" s="73"/>
      <c r="OHE11" s="73"/>
      <c r="OHF11" s="73"/>
      <c r="OHG11" s="73"/>
      <c r="OHH11" s="73"/>
      <c r="OHI11" s="73"/>
      <c r="OHJ11" s="73"/>
      <c r="OHK11" s="73"/>
      <c r="OHL11" s="73"/>
      <c r="OHM11" s="73"/>
      <c r="OHN11" s="73"/>
      <c r="OHO11" s="73"/>
      <c r="OHP11" s="73"/>
      <c r="OHQ11" s="73"/>
      <c r="OHR11" s="73"/>
      <c r="OHS11" s="73"/>
      <c r="OHT11" s="73"/>
      <c r="OHU11" s="73"/>
      <c r="OHV11" s="73"/>
      <c r="OHW11" s="73"/>
      <c r="OHX11" s="73"/>
      <c r="OHY11" s="73"/>
      <c r="OHZ11" s="73"/>
      <c r="OIA11" s="73"/>
      <c r="OIB11" s="73"/>
      <c r="OIC11" s="73"/>
      <c r="OID11" s="73"/>
      <c r="OIE11" s="73"/>
      <c r="OIF11" s="73"/>
      <c r="OIG11" s="73"/>
      <c r="OIH11" s="73"/>
      <c r="OII11" s="73"/>
      <c r="OIJ11" s="73"/>
      <c r="OIK11" s="73"/>
      <c r="OIL11" s="73"/>
      <c r="OIM11" s="73"/>
      <c r="OIN11" s="73"/>
      <c r="OIO11" s="73"/>
      <c r="OIP11" s="73"/>
      <c r="OIQ11" s="73"/>
      <c r="OIR11" s="73"/>
      <c r="OIS11" s="73"/>
      <c r="OIT11" s="73"/>
      <c r="OIU11" s="73"/>
      <c r="OIV11" s="73"/>
      <c r="OIW11" s="73"/>
      <c r="OIX11" s="73"/>
      <c r="OIY11" s="73"/>
      <c r="OIZ11" s="73"/>
      <c r="OJA11" s="73"/>
      <c r="OJB11" s="73"/>
      <c r="OJC11" s="73"/>
      <c r="OJD11" s="73"/>
      <c r="OJE11" s="73"/>
      <c r="OJF11" s="73"/>
      <c r="OJG11" s="73"/>
      <c r="OJH11" s="73"/>
      <c r="OJI11" s="73"/>
      <c r="OJJ11" s="73"/>
      <c r="OJK11" s="73"/>
      <c r="OJL11" s="73"/>
      <c r="OJM11" s="73"/>
      <c r="OJN11" s="73"/>
      <c r="OJO11" s="73"/>
      <c r="OJP11" s="73"/>
      <c r="OJQ11" s="73"/>
      <c r="OJR11" s="73"/>
      <c r="OJS11" s="73"/>
      <c r="OJT11" s="73"/>
      <c r="OJU11" s="73"/>
      <c r="OJV11" s="73"/>
      <c r="OJW11" s="73"/>
      <c r="OJX11" s="73"/>
      <c r="OJY11" s="73"/>
      <c r="OJZ11" s="73"/>
      <c r="OKA11" s="73"/>
      <c r="OKB11" s="73"/>
      <c r="OKC11" s="73"/>
      <c r="OKD11" s="73"/>
      <c r="OKE11" s="73"/>
      <c r="OKF11" s="73"/>
      <c r="OKG11" s="73"/>
      <c r="OKH11" s="73"/>
      <c r="OKI11" s="73"/>
      <c r="OKJ11" s="73"/>
      <c r="OKK11" s="73"/>
      <c r="OKL11" s="73"/>
      <c r="OKM11" s="73"/>
      <c r="OKN11" s="73"/>
      <c r="OKO11" s="73"/>
      <c r="OKP11" s="73"/>
      <c r="OKQ11" s="73"/>
      <c r="OKR11" s="73"/>
      <c r="OKS11" s="73"/>
      <c r="OKT11" s="73"/>
      <c r="OKU11" s="73"/>
      <c r="OKV11" s="73"/>
      <c r="OKW11" s="73"/>
      <c r="OKX11" s="73"/>
      <c r="OKY11" s="73"/>
      <c r="OKZ11" s="73"/>
      <c r="OLA11" s="73"/>
      <c r="OLB11" s="73"/>
      <c r="OLC11" s="73"/>
      <c r="OLD11" s="73"/>
      <c r="OLE11" s="73"/>
      <c r="OLF11" s="73"/>
      <c r="OLG11" s="73"/>
      <c r="OLH11" s="73"/>
      <c r="OLI11" s="73"/>
      <c r="OLJ11" s="73"/>
      <c r="OLK11" s="73"/>
      <c r="OLL11" s="73"/>
      <c r="OLM11" s="73"/>
      <c r="OLN11" s="73"/>
      <c r="OLO11" s="73"/>
      <c r="OLP11" s="73"/>
      <c r="OLQ11" s="73"/>
      <c r="OLR11" s="73"/>
      <c r="OLS11" s="73"/>
      <c r="OLT11" s="73"/>
      <c r="OLU11" s="73"/>
      <c r="OLV11" s="73"/>
      <c r="OLW11" s="73"/>
      <c r="OLX11" s="73"/>
      <c r="OLY11" s="73"/>
      <c r="OLZ11" s="73"/>
      <c r="OMA11" s="73"/>
      <c r="OMB11" s="73"/>
      <c r="OMC11" s="73"/>
      <c r="OMD11" s="73"/>
      <c r="OME11" s="73"/>
      <c r="OMF11" s="73"/>
      <c r="OMG11" s="73"/>
      <c r="OMH11" s="73"/>
      <c r="OMI11" s="73"/>
      <c r="OMJ11" s="73"/>
      <c r="OMK11" s="73"/>
      <c r="OML11" s="73"/>
      <c r="OMM11" s="73"/>
      <c r="OMN11" s="73"/>
      <c r="OMO11" s="73"/>
      <c r="OMP11" s="73"/>
      <c r="OMQ11" s="73"/>
      <c r="OMR11" s="73"/>
      <c r="OMS11" s="73"/>
      <c r="OMT11" s="73"/>
      <c r="OMU11" s="73"/>
      <c r="OMV11" s="73"/>
      <c r="OMW11" s="73"/>
      <c r="OMX11" s="73"/>
      <c r="OMY11" s="73"/>
      <c r="OMZ11" s="73"/>
      <c r="ONA11" s="73"/>
      <c r="ONB11" s="73"/>
      <c r="ONC11" s="73"/>
      <c r="OND11" s="73"/>
      <c r="ONE11" s="73"/>
      <c r="ONF11" s="73"/>
      <c r="ONG11" s="73"/>
      <c r="ONH11" s="73"/>
      <c r="ONI11" s="73"/>
      <c r="ONJ11" s="73"/>
      <c r="ONK11" s="73"/>
      <c r="ONL11" s="73"/>
      <c r="ONM11" s="73"/>
      <c r="ONN11" s="73"/>
      <c r="ONO11" s="73"/>
      <c r="ONP11" s="73"/>
      <c r="ONQ11" s="73"/>
      <c r="ONR11" s="73"/>
      <c r="ONS11" s="73"/>
      <c r="ONT11" s="73"/>
      <c r="ONU11" s="73"/>
      <c r="ONV11" s="73"/>
      <c r="ONW11" s="73"/>
      <c r="ONX11" s="73"/>
      <c r="ONY11" s="73"/>
      <c r="ONZ11" s="73"/>
      <c r="OOA11" s="73"/>
      <c r="OOB11" s="73"/>
      <c r="OOC11" s="73"/>
      <c r="OOD11" s="73"/>
      <c r="OOE11" s="73"/>
      <c r="OOF11" s="73"/>
      <c r="OOG11" s="73"/>
      <c r="OOH11" s="73"/>
      <c r="OOI11" s="73"/>
      <c r="OOJ11" s="73"/>
      <c r="OOK11" s="73"/>
      <c r="OOL11" s="73"/>
      <c r="OOM11" s="73"/>
      <c r="OON11" s="73"/>
      <c r="OOO11" s="73"/>
      <c r="OOP11" s="73"/>
      <c r="OOQ11" s="73"/>
      <c r="OOR11" s="73"/>
      <c r="OOS11" s="73"/>
      <c r="OOT11" s="73"/>
      <c r="OOU11" s="73"/>
      <c r="OOV11" s="73"/>
      <c r="OOW11" s="73"/>
      <c r="OOX11" s="73"/>
      <c r="OOY11" s="73"/>
      <c r="OOZ11" s="73"/>
      <c r="OPA11" s="73"/>
      <c r="OPB11" s="73"/>
      <c r="OPC11" s="73"/>
      <c r="OPD11" s="73"/>
      <c r="OPE11" s="73"/>
      <c r="OPF11" s="73"/>
      <c r="OPG11" s="73"/>
      <c r="OPH11" s="73"/>
      <c r="OPI11" s="73"/>
      <c r="OPJ11" s="73"/>
      <c r="OPK11" s="73"/>
      <c r="OPL11" s="73"/>
      <c r="OPM11" s="73"/>
      <c r="OPN11" s="73"/>
      <c r="OPO11" s="73"/>
      <c r="OPP11" s="73"/>
      <c r="OPQ11" s="73"/>
      <c r="OPR11" s="73"/>
      <c r="OPS11" s="73"/>
      <c r="OPT11" s="73"/>
      <c r="OPU11" s="73"/>
      <c r="OPV11" s="73"/>
      <c r="OPW11" s="73"/>
      <c r="OPX11" s="73"/>
      <c r="OPY11" s="73"/>
      <c r="OPZ11" s="73"/>
      <c r="OQA11" s="73"/>
      <c r="OQB11" s="73"/>
      <c r="OQC11" s="73"/>
      <c r="OQD11" s="73"/>
      <c r="OQE11" s="73"/>
      <c r="OQF11" s="73"/>
      <c r="OQG11" s="73"/>
      <c r="OQH11" s="73"/>
      <c r="OQI11" s="73"/>
      <c r="OQJ11" s="73"/>
      <c r="OQK11" s="73"/>
      <c r="OQL11" s="73"/>
      <c r="OQM11" s="73"/>
      <c r="OQN11" s="73"/>
      <c r="OQO11" s="73"/>
      <c r="OQP11" s="73"/>
      <c r="OQQ11" s="73"/>
      <c r="OQR11" s="73"/>
      <c r="OQS11" s="73"/>
      <c r="OQT11" s="73"/>
      <c r="OQU11" s="73"/>
      <c r="OQV11" s="73"/>
      <c r="OQW11" s="73"/>
      <c r="OQX11" s="73"/>
      <c r="OQY11" s="73"/>
      <c r="OQZ11" s="73"/>
      <c r="ORA11" s="73"/>
      <c r="ORB11" s="73"/>
      <c r="ORC11" s="73"/>
      <c r="ORD11" s="73"/>
      <c r="ORE11" s="73"/>
      <c r="ORF11" s="73"/>
      <c r="ORG11" s="73"/>
      <c r="ORH11" s="73"/>
      <c r="ORI11" s="73"/>
      <c r="ORJ11" s="73"/>
      <c r="ORK11" s="73"/>
      <c r="ORL11" s="73"/>
      <c r="ORM11" s="73"/>
      <c r="ORN11" s="73"/>
      <c r="ORO11" s="73"/>
      <c r="ORP11" s="73"/>
      <c r="ORQ11" s="73"/>
      <c r="ORR11" s="73"/>
      <c r="ORS11" s="73"/>
      <c r="ORT11" s="73"/>
      <c r="ORU11" s="73"/>
      <c r="ORV11" s="73"/>
      <c r="ORW11" s="73"/>
      <c r="ORX11" s="73"/>
      <c r="ORY11" s="73"/>
      <c r="ORZ11" s="73"/>
      <c r="OSA11" s="73"/>
      <c r="OSB11" s="73"/>
      <c r="OSC11" s="73"/>
      <c r="OSD11" s="73"/>
      <c r="OSE11" s="73"/>
      <c r="OSF11" s="73"/>
      <c r="OSG11" s="73"/>
      <c r="OSH11" s="73"/>
      <c r="OSI11" s="73"/>
      <c r="OSJ11" s="73"/>
      <c r="OSK11" s="73"/>
      <c r="OSL11" s="73"/>
      <c r="OSM11" s="73"/>
      <c r="OSN11" s="73"/>
      <c r="OSO11" s="73"/>
      <c r="OSP11" s="73"/>
      <c r="OSQ11" s="73"/>
      <c r="OSR11" s="73"/>
      <c r="OSS11" s="73"/>
      <c r="OST11" s="73"/>
      <c r="OSU11" s="73"/>
      <c r="OSV11" s="73"/>
      <c r="OSW11" s="73"/>
      <c r="OSX11" s="73"/>
      <c r="OSY11" s="73"/>
      <c r="OSZ11" s="73"/>
      <c r="OTA11" s="73"/>
      <c r="OTB11" s="73"/>
      <c r="OTC11" s="73"/>
      <c r="OTD11" s="73"/>
      <c r="OTE11" s="73"/>
      <c r="OTF11" s="73"/>
      <c r="OTG11" s="73"/>
      <c r="OTH11" s="73"/>
      <c r="OTI11" s="73"/>
      <c r="OTJ11" s="73"/>
      <c r="OTK11" s="73"/>
      <c r="OTL11" s="73"/>
      <c r="OTM11" s="73"/>
      <c r="OTN11" s="73"/>
      <c r="OTO11" s="73"/>
      <c r="OTP11" s="73"/>
      <c r="OTQ11" s="73"/>
      <c r="OTR11" s="73"/>
      <c r="OTS11" s="73"/>
      <c r="OTT11" s="73"/>
      <c r="OTU11" s="73"/>
      <c r="OTV11" s="73"/>
      <c r="OTW11" s="73"/>
      <c r="OTX11" s="73"/>
      <c r="OTY11" s="73"/>
      <c r="OTZ11" s="73"/>
      <c r="OUA11" s="73"/>
      <c r="OUB11" s="73"/>
      <c r="OUC11" s="73"/>
      <c r="OUD11" s="73"/>
      <c r="OUE11" s="73"/>
      <c r="OUF11" s="73"/>
      <c r="OUG11" s="73"/>
      <c r="OUH11" s="73"/>
      <c r="OUI11" s="73"/>
      <c r="OUJ11" s="73"/>
      <c r="OUK11" s="73"/>
      <c r="OUL11" s="73"/>
      <c r="OUM11" s="73"/>
      <c r="OUN11" s="73"/>
      <c r="OUO11" s="73"/>
      <c r="OUP11" s="73"/>
      <c r="OUQ11" s="73"/>
      <c r="OUR11" s="73"/>
      <c r="OUS11" s="73"/>
      <c r="OUT11" s="73"/>
      <c r="OUU11" s="73"/>
      <c r="OUV11" s="73"/>
      <c r="OUW11" s="73"/>
      <c r="OUX11" s="73"/>
      <c r="OUY11" s="73"/>
      <c r="OUZ11" s="73"/>
      <c r="OVA11" s="73"/>
      <c r="OVB11" s="73"/>
      <c r="OVC11" s="73"/>
      <c r="OVD11" s="73"/>
      <c r="OVE11" s="73"/>
      <c r="OVF11" s="73"/>
      <c r="OVG11" s="73"/>
      <c r="OVH11" s="73"/>
      <c r="OVI11" s="73"/>
      <c r="OVJ11" s="73"/>
      <c r="OVK11" s="73"/>
      <c r="OVL11" s="73"/>
      <c r="OVM11" s="73"/>
      <c r="OVN11" s="73"/>
      <c r="OVO11" s="73"/>
      <c r="OVP11" s="73"/>
      <c r="OVQ11" s="73"/>
      <c r="OVR11" s="73"/>
      <c r="OVS11" s="73"/>
      <c r="OVT11" s="73"/>
      <c r="OVU11" s="73"/>
      <c r="OVV11" s="73"/>
      <c r="OVW11" s="73"/>
      <c r="OVX11" s="73"/>
      <c r="OVY11" s="73"/>
      <c r="OVZ11" s="73"/>
      <c r="OWA11" s="73"/>
      <c r="OWB11" s="73"/>
      <c r="OWC11" s="73"/>
      <c r="OWD11" s="73"/>
      <c r="OWE11" s="73"/>
      <c r="OWF11" s="73"/>
      <c r="OWG11" s="73"/>
      <c r="OWH11" s="73"/>
      <c r="OWI11" s="73"/>
      <c r="OWJ11" s="73"/>
      <c r="OWK11" s="73"/>
      <c r="OWL11" s="73"/>
      <c r="OWM11" s="73"/>
      <c r="OWN11" s="73"/>
      <c r="OWO11" s="73"/>
      <c r="OWP11" s="73"/>
      <c r="OWQ11" s="73"/>
      <c r="OWR11" s="73"/>
      <c r="OWS11" s="73"/>
      <c r="OWT11" s="73"/>
      <c r="OWU11" s="73"/>
      <c r="OWV11" s="73"/>
      <c r="OWW11" s="73"/>
      <c r="OWX11" s="73"/>
      <c r="OWY11" s="73"/>
      <c r="OWZ11" s="73"/>
      <c r="OXA11" s="73"/>
      <c r="OXB11" s="73"/>
      <c r="OXC11" s="73"/>
      <c r="OXD11" s="73"/>
      <c r="OXE11" s="73"/>
      <c r="OXF11" s="73"/>
      <c r="OXG11" s="73"/>
      <c r="OXH11" s="73"/>
      <c r="OXI11" s="73"/>
      <c r="OXJ11" s="73"/>
      <c r="OXK11" s="73"/>
      <c r="OXL11" s="73"/>
      <c r="OXM11" s="73"/>
      <c r="OXN11" s="73"/>
      <c r="OXO11" s="73"/>
      <c r="OXP11" s="73"/>
      <c r="OXQ11" s="73"/>
      <c r="OXR11" s="73"/>
      <c r="OXS11" s="73"/>
      <c r="OXT11" s="73"/>
      <c r="OXU11" s="73"/>
      <c r="OXV11" s="73"/>
      <c r="OXW11" s="73"/>
      <c r="OXX11" s="73"/>
      <c r="OXY11" s="73"/>
      <c r="OXZ11" s="73"/>
      <c r="OYA11" s="73"/>
      <c r="OYB11" s="73"/>
      <c r="OYC11" s="73"/>
      <c r="OYD11" s="73"/>
      <c r="OYE11" s="73"/>
      <c r="OYF11" s="73"/>
      <c r="OYG11" s="73"/>
      <c r="OYH11" s="73"/>
      <c r="OYI11" s="73"/>
      <c r="OYJ11" s="73"/>
      <c r="OYK11" s="73"/>
      <c r="OYL11" s="73"/>
      <c r="OYM11" s="73"/>
      <c r="OYN11" s="73"/>
      <c r="OYO11" s="73"/>
      <c r="OYP11" s="73"/>
      <c r="OYQ11" s="73"/>
      <c r="OYR11" s="73"/>
      <c r="OYS11" s="73"/>
      <c r="OYT11" s="73"/>
      <c r="OYU11" s="73"/>
      <c r="OYV11" s="73"/>
      <c r="OYW11" s="73"/>
      <c r="OYX11" s="73"/>
      <c r="OYY11" s="73"/>
      <c r="OYZ11" s="73"/>
      <c r="OZA11" s="73"/>
      <c r="OZB11" s="73"/>
      <c r="OZC11" s="73"/>
      <c r="OZD11" s="73"/>
      <c r="OZE11" s="73"/>
      <c r="OZF11" s="73"/>
      <c r="OZG11" s="73"/>
      <c r="OZH11" s="73"/>
      <c r="OZI11" s="73"/>
      <c r="OZJ11" s="73"/>
      <c r="OZK11" s="73"/>
      <c r="OZL11" s="73"/>
      <c r="OZM11" s="73"/>
      <c r="OZN11" s="73"/>
      <c r="OZO11" s="73"/>
      <c r="OZP11" s="73"/>
      <c r="OZQ11" s="73"/>
      <c r="OZR11" s="73"/>
      <c r="OZS11" s="73"/>
      <c r="OZT11" s="73"/>
      <c r="OZU11" s="73"/>
      <c r="OZV11" s="73"/>
      <c r="OZW11" s="73"/>
      <c r="OZX11" s="73"/>
      <c r="OZY11" s="73"/>
      <c r="OZZ11" s="73"/>
      <c r="PAA11" s="73"/>
      <c r="PAB11" s="73"/>
      <c r="PAC11" s="73"/>
      <c r="PAD11" s="73"/>
      <c r="PAE11" s="73"/>
      <c r="PAF11" s="73"/>
      <c r="PAG11" s="73"/>
      <c r="PAH11" s="73"/>
      <c r="PAI11" s="73"/>
      <c r="PAJ11" s="73"/>
      <c r="PAK11" s="73"/>
      <c r="PAL11" s="73"/>
      <c r="PAM11" s="73"/>
      <c r="PAN11" s="73"/>
      <c r="PAO11" s="73"/>
      <c r="PAP11" s="73"/>
      <c r="PAQ11" s="73"/>
      <c r="PAR11" s="73"/>
      <c r="PAS11" s="73"/>
      <c r="PAT11" s="73"/>
      <c r="PAU11" s="73"/>
      <c r="PAV11" s="73"/>
      <c r="PAW11" s="73"/>
      <c r="PAX11" s="73"/>
      <c r="PAY11" s="73"/>
      <c r="PAZ11" s="73"/>
      <c r="PBA11" s="73"/>
      <c r="PBB11" s="73"/>
      <c r="PBC11" s="73"/>
      <c r="PBD11" s="73"/>
      <c r="PBE11" s="73"/>
      <c r="PBF11" s="73"/>
      <c r="PBG11" s="73"/>
      <c r="PBH11" s="73"/>
      <c r="PBI11" s="73"/>
      <c r="PBJ11" s="73"/>
      <c r="PBK11" s="73"/>
      <c r="PBL11" s="73"/>
      <c r="PBM11" s="73"/>
      <c r="PBN11" s="73"/>
      <c r="PBO11" s="73"/>
      <c r="PBP11" s="73"/>
      <c r="PBQ11" s="73"/>
      <c r="PBR11" s="73"/>
      <c r="PBS11" s="73"/>
      <c r="PBT11" s="73"/>
      <c r="PBU11" s="73"/>
      <c r="PBV11" s="73"/>
      <c r="PBW11" s="73"/>
      <c r="PBX11" s="73"/>
      <c r="PBY11" s="73"/>
      <c r="PBZ11" s="73"/>
      <c r="PCA11" s="73"/>
      <c r="PCB11" s="73"/>
      <c r="PCC11" s="73"/>
      <c r="PCD11" s="73"/>
      <c r="PCE11" s="73"/>
      <c r="PCF11" s="73"/>
      <c r="PCG11" s="73"/>
      <c r="PCH11" s="73"/>
      <c r="PCI11" s="73"/>
      <c r="PCJ11" s="73"/>
      <c r="PCK11" s="73"/>
      <c r="PCL11" s="73"/>
      <c r="PCM11" s="73"/>
      <c r="PCN11" s="73"/>
      <c r="PCO11" s="73"/>
      <c r="PCP11" s="73"/>
      <c r="PCQ11" s="73"/>
      <c r="PCR11" s="73"/>
      <c r="PCS11" s="73"/>
      <c r="PCT11" s="73"/>
      <c r="PCU11" s="73"/>
      <c r="PCV11" s="73"/>
      <c r="PCW11" s="73"/>
      <c r="PCX11" s="73"/>
      <c r="PCY11" s="73"/>
      <c r="PCZ11" s="73"/>
      <c r="PDA11" s="73"/>
      <c r="PDB11" s="73"/>
      <c r="PDC11" s="73"/>
      <c r="PDD11" s="73"/>
      <c r="PDE11" s="73"/>
      <c r="PDF11" s="73"/>
      <c r="PDG11" s="73"/>
      <c r="PDH11" s="73"/>
      <c r="PDI11" s="73"/>
      <c r="PDJ11" s="73"/>
      <c r="PDK11" s="73"/>
      <c r="PDL11" s="73"/>
      <c r="PDM11" s="73"/>
      <c r="PDN11" s="73"/>
      <c r="PDO11" s="73"/>
      <c r="PDP11" s="73"/>
      <c r="PDQ11" s="73"/>
      <c r="PDR11" s="73"/>
      <c r="PDS11" s="73"/>
      <c r="PDT11" s="73"/>
      <c r="PDU11" s="73"/>
      <c r="PDV11" s="73"/>
      <c r="PDW11" s="73"/>
      <c r="PDX11" s="73"/>
      <c r="PDY11" s="73"/>
      <c r="PDZ11" s="73"/>
      <c r="PEA11" s="73"/>
      <c r="PEB11" s="73"/>
      <c r="PEC11" s="73"/>
      <c r="PED11" s="73"/>
      <c r="PEE11" s="73"/>
      <c r="PEF11" s="73"/>
      <c r="PEG11" s="73"/>
      <c r="PEH11" s="73"/>
      <c r="PEI11" s="73"/>
      <c r="PEJ11" s="73"/>
      <c r="PEK11" s="73"/>
      <c r="PEL11" s="73"/>
      <c r="PEM11" s="73"/>
      <c r="PEN11" s="73"/>
      <c r="PEO11" s="73"/>
      <c r="PEP11" s="73"/>
      <c r="PEQ11" s="73"/>
      <c r="PER11" s="73"/>
      <c r="PES11" s="73"/>
      <c r="PET11" s="73"/>
      <c r="PEU11" s="73"/>
      <c r="PEV11" s="73"/>
      <c r="PEW11" s="73"/>
      <c r="PEX11" s="73"/>
      <c r="PEY11" s="73"/>
      <c r="PEZ11" s="73"/>
      <c r="PFA11" s="73"/>
      <c r="PFB11" s="73"/>
      <c r="PFC11" s="73"/>
      <c r="PFD11" s="73"/>
      <c r="PFE11" s="73"/>
      <c r="PFF11" s="73"/>
      <c r="PFG11" s="73"/>
      <c r="PFH11" s="73"/>
      <c r="PFI11" s="73"/>
      <c r="PFJ11" s="73"/>
      <c r="PFK11" s="73"/>
      <c r="PFL11" s="73"/>
      <c r="PFM11" s="73"/>
      <c r="PFN11" s="73"/>
      <c r="PFO11" s="73"/>
      <c r="PFP11" s="73"/>
      <c r="PFQ11" s="73"/>
      <c r="PFR11" s="73"/>
      <c r="PFS11" s="73"/>
      <c r="PFT11" s="73"/>
      <c r="PFU11" s="73"/>
      <c r="PFV11" s="73"/>
      <c r="PFW11" s="73"/>
      <c r="PFX11" s="73"/>
      <c r="PFY11" s="73"/>
      <c r="PFZ11" s="73"/>
      <c r="PGA11" s="73"/>
      <c r="PGB11" s="73"/>
      <c r="PGC11" s="73"/>
      <c r="PGD11" s="73"/>
      <c r="PGE11" s="73"/>
      <c r="PGF11" s="73"/>
      <c r="PGG11" s="73"/>
      <c r="PGH11" s="73"/>
      <c r="PGI11" s="73"/>
      <c r="PGJ11" s="73"/>
      <c r="PGK11" s="73"/>
      <c r="PGL11" s="73"/>
      <c r="PGM11" s="73"/>
      <c r="PGN11" s="73"/>
      <c r="PGO11" s="73"/>
      <c r="PGP11" s="73"/>
      <c r="PGQ11" s="73"/>
      <c r="PGR11" s="73"/>
      <c r="PGS11" s="73"/>
      <c r="PGT11" s="73"/>
      <c r="PGU11" s="73"/>
      <c r="PGV11" s="73"/>
      <c r="PGW11" s="73"/>
      <c r="PGX11" s="73"/>
      <c r="PGY11" s="73"/>
      <c r="PGZ11" s="73"/>
      <c r="PHA11" s="73"/>
      <c r="PHB11" s="73"/>
      <c r="PHC11" s="73"/>
      <c r="PHD11" s="73"/>
      <c r="PHE11" s="73"/>
      <c r="PHF11" s="73"/>
      <c r="PHG11" s="73"/>
      <c r="PHH11" s="73"/>
      <c r="PHI11" s="73"/>
      <c r="PHJ11" s="73"/>
      <c r="PHK11" s="73"/>
      <c r="PHL11" s="73"/>
      <c r="PHM11" s="73"/>
      <c r="PHN11" s="73"/>
      <c r="PHO11" s="73"/>
      <c r="PHP11" s="73"/>
      <c r="PHQ11" s="73"/>
      <c r="PHR11" s="73"/>
      <c r="PHS11" s="73"/>
      <c r="PHT11" s="73"/>
      <c r="PHU11" s="73"/>
      <c r="PHV11" s="73"/>
      <c r="PHW11" s="73"/>
      <c r="PHX11" s="73"/>
      <c r="PHY11" s="73"/>
      <c r="PHZ11" s="73"/>
      <c r="PIA11" s="73"/>
      <c r="PIB11" s="73"/>
      <c r="PIC11" s="73"/>
      <c r="PID11" s="73"/>
      <c r="PIE11" s="73"/>
      <c r="PIF11" s="73"/>
      <c r="PIG11" s="73"/>
      <c r="PIH11" s="73"/>
      <c r="PII11" s="73"/>
      <c r="PIJ11" s="73"/>
      <c r="PIK11" s="73"/>
      <c r="PIL11" s="73"/>
      <c r="PIM11" s="73"/>
      <c r="PIN11" s="73"/>
      <c r="PIO11" s="73"/>
      <c r="PIP11" s="73"/>
      <c r="PIQ11" s="73"/>
      <c r="PIR11" s="73"/>
      <c r="PIS11" s="73"/>
      <c r="PIT11" s="73"/>
      <c r="PIU11" s="73"/>
      <c r="PIV11" s="73"/>
      <c r="PIW11" s="73"/>
      <c r="PIX11" s="73"/>
      <c r="PIY11" s="73"/>
      <c r="PIZ11" s="73"/>
      <c r="PJA11" s="73"/>
      <c r="PJB11" s="73"/>
      <c r="PJC11" s="73"/>
      <c r="PJD11" s="73"/>
      <c r="PJE11" s="73"/>
      <c r="PJF11" s="73"/>
      <c r="PJG11" s="73"/>
      <c r="PJH11" s="73"/>
      <c r="PJI11" s="73"/>
      <c r="PJJ11" s="73"/>
      <c r="PJK11" s="73"/>
      <c r="PJL11" s="73"/>
      <c r="PJM11" s="73"/>
      <c r="PJN11" s="73"/>
      <c r="PJO11" s="73"/>
      <c r="PJP11" s="73"/>
      <c r="PJQ11" s="73"/>
      <c r="PJR11" s="73"/>
      <c r="PJS11" s="73"/>
      <c r="PJT11" s="73"/>
      <c r="PJU11" s="73"/>
      <c r="PJV11" s="73"/>
      <c r="PJW11" s="73"/>
      <c r="PJX11" s="73"/>
      <c r="PJY11" s="73"/>
      <c r="PJZ11" s="73"/>
      <c r="PKA11" s="73"/>
      <c r="PKB11" s="73"/>
      <c r="PKC11" s="73"/>
      <c r="PKD11" s="73"/>
      <c r="PKE11" s="73"/>
      <c r="PKF11" s="73"/>
      <c r="PKG11" s="73"/>
      <c r="PKH11" s="73"/>
      <c r="PKI11" s="73"/>
      <c r="PKJ11" s="73"/>
      <c r="PKK11" s="73"/>
      <c r="PKL11" s="73"/>
      <c r="PKM11" s="73"/>
      <c r="PKN11" s="73"/>
      <c r="PKO11" s="73"/>
      <c r="PKP11" s="73"/>
      <c r="PKQ11" s="73"/>
      <c r="PKR11" s="73"/>
      <c r="PKS11" s="73"/>
      <c r="PKT11" s="73"/>
      <c r="PKU11" s="73"/>
      <c r="PKV11" s="73"/>
      <c r="PKW11" s="73"/>
      <c r="PKX11" s="73"/>
      <c r="PKY11" s="73"/>
      <c r="PKZ11" s="73"/>
      <c r="PLA11" s="73"/>
      <c r="PLB11" s="73"/>
      <c r="PLC11" s="73"/>
      <c r="PLD11" s="73"/>
      <c r="PLE11" s="73"/>
      <c r="PLF11" s="73"/>
      <c r="PLG11" s="73"/>
      <c r="PLH11" s="73"/>
      <c r="PLI11" s="73"/>
      <c r="PLJ11" s="73"/>
      <c r="PLK11" s="73"/>
      <c r="PLL11" s="73"/>
      <c r="PLM11" s="73"/>
      <c r="PLN11" s="73"/>
      <c r="PLO11" s="73"/>
      <c r="PLP11" s="73"/>
      <c r="PLQ11" s="73"/>
      <c r="PLR11" s="73"/>
      <c r="PLS11" s="73"/>
      <c r="PLT11" s="73"/>
      <c r="PLU11" s="73"/>
      <c r="PLV11" s="73"/>
      <c r="PLW11" s="73"/>
      <c r="PLX11" s="73"/>
      <c r="PLY11" s="73"/>
      <c r="PLZ11" s="73"/>
      <c r="PMA11" s="73"/>
      <c r="PMB11" s="73"/>
      <c r="PMC11" s="73"/>
      <c r="PMD11" s="73"/>
      <c r="PME11" s="73"/>
      <c r="PMF11" s="73"/>
      <c r="PMG11" s="73"/>
      <c r="PMH11" s="73"/>
      <c r="PMI11" s="73"/>
      <c r="PMJ11" s="73"/>
      <c r="PMK11" s="73"/>
      <c r="PML11" s="73"/>
      <c r="PMM11" s="73"/>
      <c r="PMN11" s="73"/>
      <c r="PMO11" s="73"/>
      <c r="PMP11" s="73"/>
      <c r="PMQ11" s="73"/>
      <c r="PMR11" s="73"/>
      <c r="PMS11" s="73"/>
      <c r="PMT11" s="73"/>
      <c r="PMU11" s="73"/>
      <c r="PMV11" s="73"/>
      <c r="PMW11" s="73"/>
      <c r="PMX11" s="73"/>
      <c r="PMY11" s="73"/>
      <c r="PMZ11" s="73"/>
      <c r="PNA11" s="73"/>
      <c r="PNB11" s="73"/>
      <c r="PNC11" s="73"/>
      <c r="PND11" s="73"/>
      <c r="PNE11" s="73"/>
      <c r="PNF11" s="73"/>
      <c r="PNG11" s="73"/>
      <c r="PNH11" s="73"/>
      <c r="PNI11" s="73"/>
      <c r="PNJ11" s="73"/>
      <c r="PNK11" s="73"/>
      <c r="PNL11" s="73"/>
      <c r="PNM11" s="73"/>
      <c r="PNN11" s="73"/>
      <c r="PNO11" s="73"/>
      <c r="PNP11" s="73"/>
      <c r="PNQ11" s="73"/>
      <c r="PNR11" s="73"/>
      <c r="PNS11" s="73"/>
      <c r="PNT11" s="73"/>
      <c r="PNU11" s="73"/>
      <c r="PNV11" s="73"/>
      <c r="PNW11" s="73"/>
      <c r="PNX11" s="73"/>
      <c r="PNY11" s="73"/>
      <c r="PNZ11" s="73"/>
      <c r="POA11" s="73"/>
      <c r="POB11" s="73"/>
      <c r="POC11" s="73"/>
      <c r="POD11" s="73"/>
      <c r="POE11" s="73"/>
      <c r="POF11" s="73"/>
      <c r="POG11" s="73"/>
      <c r="POH11" s="73"/>
      <c r="POI11" s="73"/>
      <c r="POJ11" s="73"/>
      <c r="POK11" s="73"/>
      <c r="POL11" s="73"/>
      <c r="POM11" s="73"/>
      <c r="PON11" s="73"/>
      <c r="POO11" s="73"/>
      <c r="POP11" s="73"/>
      <c r="POQ11" s="73"/>
      <c r="POR11" s="73"/>
      <c r="POS11" s="73"/>
      <c r="POT11" s="73"/>
      <c r="POU11" s="73"/>
      <c r="POV11" s="73"/>
      <c r="POW11" s="73"/>
      <c r="POX11" s="73"/>
      <c r="POY11" s="73"/>
      <c r="POZ11" s="73"/>
      <c r="PPA11" s="73"/>
      <c r="PPB11" s="73"/>
      <c r="PPC11" s="73"/>
      <c r="PPD11" s="73"/>
      <c r="PPE11" s="73"/>
      <c r="PPF11" s="73"/>
      <c r="PPG11" s="73"/>
      <c r="PPH11" s="73"/>
      <c r="PPI11" s="73"/>
      <c r="PPJ11" s="73"/>
      <c r="PPK11" s="73"/>
      <c r="PPL11" s="73"/>
      <c r="PPM11" s="73"/>
      <c r="PPN11" s="73"/>
      <c r="PPO11" s="73"/>
      <c r="PPP11" s="73"/>
      <c r="PPQ11" s="73"/>
      <c r="PPR11" s="73"/>
      <c r="PPS11" s="73"/>
      <c r="PPT11" s="73"/>
      <c r="PPU11" s="73"/>
      <c r="PPV11" s="73"/>
      <c r="PPW11" s="73"/>
      <c r="PPX11" s="73"/>
      <c r="PPY11" s="73"/>
      <c r="PPZ11" s="73"/>
      <c r="PQA11" s="73"/>
      <c r="PQB11" s="73"/>
      <c r="PQC11" s="73"/>
      <c r="PQD11" s="73"/>
      <c r="PQE11" s="73"/>
      <c r="PQF11" s="73"/>
      <c r="PQG11" s="73"/>
      <c r="PQH11" s="73"/>
      <c r="PQI11" s="73"/>
      <c r="PQJ11" s="73"/>
      <c r="PQK11" s="73"/>
      <c r="PQL11" s="73"/>
      <c r="PQM11" s="73"/>
      <c r="PQN11" s="73"/>
      <c r="PQO11" s="73"/>
      <c r="PQP11" s="73"/>
      <c r="PQQ11" s="73"/>
      <c r="PQR11" s="73"/>
      <c r="PQS11" s="73"/>
      <c r="PQT11" s="73"/>
      <c r="PQU11" s="73"/>
      <c r="PQV11" s="73"/>
      <c r="PQW11" s="73"/>
      <c r="PQX11" s="73"/>
      <c r="PQY11" s="73"/>
      <c r="PQZ11" s="73"/>
      <c r="PRA11" s="73"/>
      <c r="PRB11" s="73"/>
      <c r="PRC11" s="73"/>
      <c r="PRD11" s="73"/>
      <c r="PRE11" s="73"/>
      <c r="PRF11" s="73"/>
      <c r="PRG11" s="73"/>
      <c r="PRH11" s="73"/>
      <c r="PRI11" s="73"/>
      <c r="PRJ11" s="73"/>
      <c r="PRK11" s="73"/>
      <c r="PRL11" s="73"/>
      <c r="PRM11" s="73"/>
      <c r="PRN11" s="73"/>
      <c r="PRO11" s="73"/>
      <c r="PRP11" s="73"/>
      <c r="PRQ11" s="73"/>
      <c r="PRR11" s="73"/>
      <c r="PRS11" s="73"/>
      <c r="PRT11" s="73"/>
      <c r="PRU11" s="73"/>
      <c r="PRV11" s="73"/>
      <c r="PRW11" s="73"/>
      <c r="PRX11" s="73"/>
      <c r="PRY11" s="73"/>
      <c r="PRZ11" s="73"/>
      <c r="PSA11" s="73"/>
      <c r="PSB11" s="73"/>
      <c r="PSC11" s="73"/>
      <c r="PSD11" s="73"/>
      <c r="PSE11" s="73"/>
      <c r="PSF11" s="73"/>
      <c r="PSG11" s="73"/>
      <c r="PSH11" s="73"/>
      <c r="PSI11" s="73"/>
      <c r="PSJ11" s="73"/>
      <c r="PSK11" s="73"/>
      <c r="PSL11" s="73"/>
      <c r="PSM11" s="73"/>
      <c r="PSN11" s="73"/>
      <c r="PSO11" s="73"/>
      <c r="PSP11" s="73"/>
      <c r="PSQ11" s="73"/>
      <c r="PSR11" s="73"/>
      <c r="PSS11" s="73"/>
      <c r="PST11" s="73"/>
      <c r="PSU11" s="73"/>
      <c r="PSV11" s="73"/>
      <c r="PSW11" s="73"/>
      <c r="PSX11" s="73"/>
      <c r="PSY11" s="73"/>
      <c r="PSZ11" s="73"/>
      <c r="PTA11" s="73"/>
      <c r="PTB11" s="73"/>
      <c r="PTC11" s="73"/>
      <c r="PTD11" s="73"/>
      <c r="PTE11" s="73"/>
      <c r="PTF11" s="73"/>
      <c r="PTG11" s="73"/>
      <c r="PTH11" s="73"/>
      <c r="PTI11" s="73"/>
      <c r="PTJ11" s="73"/>
      <c r="PTK11" s="73"/>
      <c r="PTL11" s="73"/>
      <c r="PTM11" s="73"/>
      <c r="PTN11" s="73"/>
      <c r="PTO11" s="73"/>
      <c r="PTP11" s="73"/>
      <c r="PTQ11" s="73"/>
      <c r="PTR11" s="73"/>
      <c r="PTS11" s="73"/>
      <c r="PTT11" s="73"/>
      <c r="PTU11" s="73"/>
      <c r="PTV11" s="73"/>
      <c r="PTW11" s="73"/>
      <c r="PTX11" s="73"/>
      <c r="PTY11" s="73"/>
      <c r="PTZ11" s="73"/>
      <c r="PUA11" s="73"/>
      <c r="PUB11" s="73"/>
      <c r="PUC11" s="73"/>
      <c r="PUD11" s="73"/>
      <c r="PUE11" s="73"/>
      <c r="PUF11" s="73"/>
      <c r="PUG11" s="73"/>
      <c r="PUH11" s="73"/>
      <c r="PUI11" s="73"/>
      <c r="PUJ11" s="73"/>
      <c r="PUK11" s="73"/>
      <c r="PUL11" s="73"/>
      <c r="PUM11" s="73"/>
      <c r="PUN11" s="73"/>
      <c r="PUO11" s="73"/>
      <c r="PUP11" s="73"/>
      <c r="PUQ11" s="73"/>
      <c r="PUR11" s="73"/>
      <c r="PUS11" s="73"/>
      <c r="PUT11" s="73"/>
      <c r="PUU11" s="73"/>
      <c r="PUV11" s="73"/>
      <c r="PUW11" s="73"/>
      <c r="PUX11" s="73"/>
      <c r="PUY11" s="73"/>
      <c r="PUZ11" s="73"/>
      <c r="PVA11" s="73"/>
      <c r="PVB11" s="73"/>
      <c r="PVC11" s="73"/>
      <c r="PVD11" s="73"/>
      <c r="PVE11" s="73"/>
      <c r="PVF11" s="73"/>
      <c r="PVG11" s="73"/>
      <c r="PVH11" s="73"/>
      <c r="PVI11" s="73"/>
      <c r="PVJ11" s="73"/>
      <c r="PVK11" s="73"/>
      <c r="PVL11" s="73"/>
      <c r="PVM11" s="73"/>
      <c r="PVN11" s="73"/>
      <c r="PVO11" s="73"/>
      <c r="PVP11" s="73"/>
      <c r="PVQ11" s="73"/>
      <c r="PVR11" s="73"/>
      <c r="PVS11" s="73"/>
      <c r="PVT11" s="73"/>
      <c r="PVU11" s="73"/>
      <c r="PVV11" s="73"/>
      <c r="PVW11" s="73"/>
      <c r="PVX11" s="73"/>
      <c r="PVY11" s="73"/>
      <c r="PVZ11" s="73"/>
      <c r="PWA11" s="73"/>
      <c r="PWB11" s="73"/>
      <c r="PWC11" s="73"/>
      <c r="PWD11" s="73"/>
      <c r="PWE11" s="73"/>
      <c r="PWF11" s="73"/>
      <c r="PWG11" s="73"/>
      <c r="PWH11" s="73"/>
      <c r="PWI11" s="73"/>
      <c r="PWJ11" s="73"/>
      <c r="PWK11" s="73"/>
      <c r="PWL11" s="73"/>
      <c r="PWM11" s="73"/>
      <c r="PWN11" s="73"/>
      <c r="PWO11" s="73"/>
      <c r="PWP11" s="73"/>
      <c r="PWQ11" s="73"/>
      <c r="PWR11" s="73"/>
      <c r="PWS11" s="73"/>
      <c r="PWT11" s="73"/>
      <c r="PWU11" s="73"/>
      <c r="PWV11" s="73"/>
      <c r="PWW11" s="73"/>
      <c r="PWX11" s="73"/>
      <c r="PWY11" s="73"/>
      <c r="PWZ11" s="73"/>
      <c r="PXA11" s="73"/>
      <c r="PXB11" s="73"/>
      <c r="PXC11" s="73"/>
      <c r="PXD11" s="73"/>
      <c r="PXE11" s="73"/>
      <c r="PXF11" s="73"/>
      <c r="PXG11" s="73"/>
      <c r="PXH11" s="73"/>
      <c r="PXI11" s="73"/>
      <c r="PXJ11" s="73"/>
      <c r="PXK11" s="73"/>
      <c r="PXL11" s="73"/>
      <c r="PXM11" s="73"/>
      <c r="PXN11" s="73"/>
      <c r="PXO11" s="73"/>
      <c r="PXP11" s="73"/>
      <c r="PXQ11" s="73"/>
      <c r="PXR11" s="73"/>
      <c r="PXS11" s="73"/>
      <c r="PXT11" s="73"/>
      <c r="PXU11" s="73"/>
      <c r="PXV11" s="73"/>
      <c r="PXW11" s="73"/>
      <c r="PXX11" s="73"/>
      <c r="PXY11" s="73"/>
      <c r="PXZ11" s="73"/>
      <c r="PYA11" s="73"/>
      <c r="PYB11" s="73"/>
      <c r="PYC11" s="73"/>
      <c r="PYD11" s="73"/>
      <c r="PYE11" s="73"/>
      <c r="PYF11" s="73"/>
      <c r="PYG11" s="73"/>
      <c r="PYH11" s="73"/>
      <c r="PYI11" s="73"/>
      <c r="PYJ11" s="73"/>
      <c r="PYK11" s="73"/>
      <c r="PYL11" s="73"/>
      <c r="PYM11" s="73"/>
      <c r="PYN11" s="73"/>
      <c r="PYO11" s="73"/>
      <c r="PYP11" s="73"/>
      <c r="PYQ11" s="73"/>
      <c r="PYR11" s="73"/>
      <c r="PYS11" s="73"/>
      <c r="PYT11" s="73"/>
      <c r="PYU11" s="73"/>
      <c r="PYV11" s="73"/>
      <c r="PYW11" s="73"/>
      <c r="PYX11" s="73"/>
      <c r="PYY11" s="73"/>
      <c r="PYZ11" s="73"/>
      <c r="PZA11" s="73"/>
      <c r="PZB11" s="73"/>
      <c r="PZC11" s="73"/>
      <c r="PZD11" s="73"/>
      <c r="PZE11" s="73"/>
      <c r="PZF11" s="73"/>
      <c r="PZG11" s="73"/>
      <c r="PZH11" s="73"/>
      <c r="PZI11" s="73"/>
      <c r="PZJ11" s="73"/>
      <c r="PZK11" s="73"/>
      <c r="PZL11" s="73"/>
      <c r="PZM11" s="73"/>
      <c r="PZN11" s="73"/>
      <c r="PZO11" s="73"/>
      <c r="PZP11" s="73"/>
      <c r="PZQ11" s="73"/>
      <c r="PZR11" s="73"/>
      <c r="PZS11" s="73"/>
      <c r="PZT11" s="73"/>
      <c r="PZU11" s="73"/>
      <c r="PZV11" s="73"/>
      <c r="PZW11" s="73"/>
      <c r="PZX11" s="73"/>
      <c r="PZY11" s="73"/>
      <c r="PZZ11" s="73"/>
      <c r="QAA11" s="73"/>
      <c r="QAB11" s="73"/>
      <c r="QAC11" s="73"/>
      <c r="QAD11" s="73"/>
      <c r="QAE11" s="73"/>
      <c r="QAF11" s="73"/>
      <c r="QAG11" s="73"/>
      <c r="QAH11" s="73"/>
      <c r="QAI11" s="73"/>
      <c r="QAJ11" s="73"/>
      <c r="QAK11" s="73"/>
      <c r="QAL11" s="73"/>
      <c r="QAM11" s="73"/>
      <c r="QAN11" s="73"/>
      <c r="QAO11" s="73"/>
      <c r="QAP11" s="73"/>
      <c r="QAQ11" s="73"/>
      <c r="QAR11" s="73"/>
      <c r="QAS11" s="73"/>
      <c r="QAT11" s="73"/>
      <c r="QAU11" s="73"/>
      <c r="QAV11" s="73"/>
      <c r="QAW11" s="73"/>
      <c r="QAX11" s="73"/>
      <c r="QAY11" s="73"/>
      <c r="QAZ11" s="73"/>
      <c r="QBA11" s="73"/>
      <c r="QBB11" s="73"/>
      <c r="QBC11" s="73"/>
      <c r="QBD11" s="73"/>
      <c r="QBE11" s="73"/>
      <c r="QBF11" s="73"/>
      <c r="QBG11" s="73"/>
      <c r="QBH11" s="73"/>
      <c r="QBI11" s="73"/>
      <c r="QBJ11" s="73"/>
      <c r="QBK11" s="73"/>
      <c r="QBL11" s="73"/>
      <c r="QBM11" s="73"/>
      <c r="QBN11" s="73"/>
      <c r="QBO11" s="73"/>
      <c r="QBP11" s="73"/>
      <c r="QBQ11" s="73"/>
      <c r="QBR11" s="73"/>
      <c r="QBS11" s="73"/>
      <c r="QBT11" s="73"/>
      <c r="QBU11" s="73"/>
      <c r="QBV11" s="73"/>
      <c r="QBW11" s="73"/>
      <c r="QBX11" s="73"/>
      <c r="QBY11" s="73"/>
      <c r="QBZ11" s="73"/>
      <c r="QCA11" s="73"/>
      <c r="QCB11" s="73"/>
      <c r="QCC11" s="73"/>
      <c r="QCD11" s="73"/>
      <c r="QCE11" s="73"/>
      <c r="QCF11" s="73"/>
      <c r="QCG11" s="73"/>
      <c r="QCH11" s="73"/>
      <c r="QCI11" s="73"/>
      <c r="QCJ11" s="73"/>
      <c r="QCK11" s="73"/>
      <c r="QCL11" s="73"/>
      <c r="QCM11" s="73"/>
      <c r="QCN11" s="73"/>
      <c r="QCO11" s="73"/>
      <c r="QCP11" s="73"/>
      <c r="QCQ11" s="73"/>
      <c r="QCR11" s="73"/>
      <c r="QCS11" s="73"/>
      <c r="QCT11" s="73"/>
      <c r="QCU11" s="73"/>
      <c r="QCV11" s="73"/>
      <c r="QCW11" s="73"/>
      <c r="QCX11" s="73"/>
      <c r="QCY11" s="73"/>
      <c r="QCZ11" s="73"/>
      <c r="QDA11" s="73"/>
      <c r="QDB11" s="73"/>
      <c r="QDC11" s="73"/>
      <c r="QDD11" s="73"/>
      <c r="QDE11" s="73"/>
      <c r="QDF11" s="73"/>
      <c r="QDG11" s="73"/>
      <c r="QDH11" s="73"/>
      <c r="QDI11" s="73"/>
      <c r="QDJ11" s="73"/>
      <c r="QDK11" s="73"/>
      <c r="QDL11" s="73"/>
      <c r="QDM11" s="73"/>
      <c r="QDN11" s="73"/>
      <c r="QDO11" s="73"/>
      <c r="QDP11" s="73"/>
      <c r="QDQ11" s="73"/>
      <c r="QDR11" s="73"/>
      <c r="QDS11" s="73"/>
      <c r="QDT11" s="73"/>
      <c r="QDU11" s="73"/>
      <c r="QDV11" s="73"/>
      <c r="QDW11" s="73"/>
      <c r="QDX11" s="73"/>
      <c r="QDY11" s="73"/>
      <c r="QDZ11" s="73"/>
      <c r="QEA11" s="73"/>
      <c r="QEB11" s="73"/>
      <c r="QEC11" s="73"/>
      <c r="QED11" s="73"/>
      <c r="QEE11" s="73"/>
      <c r="QEF11" s="73"/>
      <c r="QEG11" s="73"/>
      <c r="QEH11" s="73"/>
      <c r="QEI11" s="73"/>
      <c r="QEJ11" s="73"/>
      <c r="QEK11" s="73"/>
      <c r="QEL11" s="73"/>
      <c r="QEM11" s="73"/>
      <c r="QEN11" s="73"/>
      <c r="QEO11" s="73"/>
      <c r="QEP11" s="73"/>
      <c r="QEQ11" s="73"/>
      <c r="QER11" s="73"/>
      <c r="QES11" s="73"/>
      <c r="QET11" s="73"/>
      <c r="QEU11" s="73"/>
      <c r="QEV11" s="73"/>
      <c r="QEW11" s="73"/>
      <c r="QEX11" s="73"/>
      <c r="QEY11" s="73"/>
      <c r="QEZ11" s="73"/>
      <c r="QFA11" s="73"/>
      <c r="QFB11" s="73"/>
      <c r="QFC11" s="73"/>
      <c r="QFD11" s="73"/>
      <c r="QFE11" s="73"/>
      <c r="QFF11" s="73"/>
      <c r="QFG11" s="73"/>
      <c r="QFH11" s="73"/>
      <c r="QFI11" s="73"/>
      <c r="QFJ11" s="73"/>
      <c r="QFK11" s="73"/>
      <c r="QFL11" s="73"/>
      <c r="QFM11" s="73"/>
      <c r="QFN11" s="73"/>
      <c r="QFO11" s="73"/>
      <c r="QFP11" s="73"/>
      <c r="QFQ11" s="73"/>
      <c r="QFR11" s="73"/>
      <c r="QFS11" s="73"/>
      <c r="QFT11" s="73"/>
      <c r="QFU11" s="73"/>
      <c r="QFV11" s="73"/>
      <c r="QFW11" s="73"/>
      <c r="QFX11" s="73"/>
      <c r="QFY11" s="73"/>
      <c r="QFZ11" s="73"/>
      <c r="QGA11" s="73"/>
      <c r="QGB11" s="73"/>
      <c r="QGC11" s="73"/>
      <c r="QGD11" s="73"/>
      <c r="QGE11" s="73"/>
      <c r="QGF11" s="73"/>
      <c r="QGG11" s="73"/>
      <c r="QGH11" s="73"/>
      <c r="QGI11" s="73"/>
      <c r="QGJ11" s="73"/>
      <c r="QGK11" s="73"/>
      <c r="QGL11" s="73"/>
      <c r="QGM11" s="73"/>
      <c r="QGN11" s="73"/>
      <c r="QGO11" s="73"/>
      <c r="QGP11" s="73"/>
      <c r="QGQ11" s="73"/>
      <c r="QGR11" s="73"/>
      <c r="QGS11" s="73"/>
      <c r="QGT11" s="73"/>
      <c r="QGU11" s="73"/>
      <c r="QGV11" s="73"/>
      <c r="QGW11" s="73"/>
      <c r="QGX11" s="73"/>
      <c r="QGY11" s="73"/>
      <c r="QGZ11" s="73"/>
      <c r="QHA11" s="73"/>
      <c r="QHB11" s="73"/>
      <c r="QHC11" s="73"/>
      <c r="QHD11" s="73"/>
      <c r="QHE11" s="73"/>
      <c r="QHF11" s="73"/>
      <c r="QHG11" s="73"/>
      <c r="QHH11" s="73"/>
      <c r="QHI11" s="73"/>
      <c r="QHJ11" s="73"/>
      <c r="QHK11" s="73"/>
      <c r="QHL11" s="73"/>
      <c r="QHM11" s="73"/>
      <c r="QHN11" s="73"/>
      <c r="QHO11" s="73"/>
      <c r="QHP11" s="73"/>
      <c r="QHQ11" s="73"/>
      <c r="QHR11" s="73"/>
      <c r="QHS11" s="73"/>
      <c r="QHT11" s="73"/>
      <c r="QHU11" s="73"/>
      <c r="QHV11" s="73"/>
      <c r="QHW11" s="73"/>
      <c r="QHX11" s="73"/>
      <c r="QHY11" s="73"/>
      <c r="QHZ11" s="73"/>
      <c r="QIA11" s="73"/>
      <c r="QIB11" s="73"/>
      <c r="QIC11" s="73"/>
      <c r="QID11" s="73"/>
      <c r="QIE11" s="73"/>
      <c r="QIF11" s="73"/>
      <c r="QIG11" s="73"/>
      <c r="QIH11" s="73"/>
      <c r="QII11" s="73"/>
      <c r="QIJ11" s="73"/>
      <c r="QIK11" s="73"/>
      <c r="QIL11" s="73"/>
      <c r="QIM11" s="73"/>
      <c r="QIN11" s="73"/>
      <c r="QIO11" s="73"/>
      <c r="QIP11" s="73"/>
      <c r="QIQ11" s="73"/>
      <c r="QIR11" s="73"/>
      <c r="QIS11" s="73"/>
      <c r="QIT11" s="73"/>
      <c r="QIU11" s="73"/>
      <c r="QIV11" s="73"/>
      <c r="QIW11" s="73"/>
      <c r="QIX11" s="73"/>
      <c r="QIY11" s="73"/>
      <c r="QIZ11" s="73"/>
      <c r="QJA11" s="73"/>
      <c r="QJB11" s="73"/>
      <c r="QJC11" s="73"/>
      <c r="QJD11" s="73"/>
      <c r="QJE11" s="73"/>
      <c r="QJF11" s="73"/>
      <c r="QJG11" s="73"/>
      <c r="QJH11" s="73"/>
      <c r="QJI11" s="73"/>
      <c r="QJJ11" s="73"/>
      <c r="QJK11" s="73"/>
      <c r="QJL11" s="73"/>
      <c r="QJM11" s="73"/>
      <c r="QJN11" s="73"/>
      <c r="QJO11" s="73"/>
      <c r="QJP11" s="73"/>
      <c r="QJQ11" s="73"/>
      <c r="QJR11" s="73"/>
      <c r="QJS11" s="73"/>
      <c r="QJT11" s="73"/>
      <c r="QJU11" s="73"/>
      <c r="QJV11" s="73"/>
      <c r="QJW11" s="73"/>
      <c r="QJX11" s="73"/>
      <c r="QJY11" s="73"/>
      <c r="QJZ11" s="73"/>
      <c r="QKA11" s="73"/>
      <c r="QKB11" s="73"/>
      <c r="QKC11" s="73"/>
      <c r="QKD11" s="73"/>
      <c r="QKE11" s="73"/>
      <c r="QKF11" s="73"/>
      <c r="QKG11" s="73"/>
      <c r="QKH11" s="73"/>
      <c r="QKI11" s="73"/>
      <c r="QKJ11" s="73"/>
      <c r="QKK11" s="73"/>
      <c r="QKL11" s="73"/>
      <c r="QKM11" s="73"/>
      <c r="QKN11" s="73"/>
      <c r="QKO11" s="73"/>
      <c r="QKP11" s="73"/>
      <c r="QKQ11" s="73"/>
      <c r="QKR11" s="73"/>
      <c r="QKS11" s="73"/>
      <c r="QKT11" s="73"/>
      <c r="QKU11" s="73"/>
      <c r="QKV11" s="73"/>
      <c r="QKW11" s="73"/>
      <c r="QKX11" s="73"/>
      <c r="QKY11" s="73"/>
      <c r="QKZ11" s="73"/>
      <c r="QLA11" s="73"/>
      <c r="QLB11" s="73"/>
      <c r="QLC11" s="73"/>
      <c r="QLD11" s="73"/>
      <c r="QLE11" s="73"/>
      <c r="QLF11" s="73"/>
      <c r="QLG11" s="73"/>
      <c r="QLH11" s="73"/>
      <c r="QLI11" s="73"/>
      <c r="QLJ11" s="73"/>
      <c r="QLK11" s="73"/>
      <c r="QLL11" s="73"/>
      <c r="QLM11" s="73"/>
      <c r="QLN11" s="73"/>
      <c r="QLO11" s="73"/>
      <c r="QLP11" s="73"/>
      <c r="QLQ11" s="73"/>
      <c r="QLR11" s="73"/>
      <c r="QLS11" s="73"/>
      <c r="QLT11" s="73"/>
      <c r="QLU11" s="73"/>
      <c r="QLV11" s="73"/>
      <c r="QLW11" s="73"/>
      <c r="QLX11" s="73"/>
      <c r="QLY11" s="73"/>
      <c r="QLZ11" s="73"/>
      <c r="QMA11" s="73"/>
      <c r="QMB11" s="73"/>
      <c r="QMC11" s="73"/>
      <c r="QMD11" s="73"/>
      <c r="QME11" s="73"/>
      <c r="QMF11" s="73"/>
      <c r="QMG11" s="73"/>
      <c r="QMH11" s="73"/>
      <c r="QMI11" s="73"/>
      <c r="QMJ11" s="73"/>
      <c r="QMK11" s="73"/>
      <c r="QML11" s="73"/>
      <c r="QMM11" s="73"/>
      <c r="QMN11" s="73"/>
      <c r="QMO11" s="73"/>
      <c r="QMP11" s="73"/>
      <c r="QMQ11" s="73"/>
      <c r="QMR11" s="73"/>
      <c r="QMS11" s="73"/>
      <c r="QMT11" s="73"/>
      <c r="QMU11" s="73"/>
      <c r="QMV11" s="73"/>
      <c r="QMW11" s="73"/>
      <c r="QMX11" s="73"/>
      <c r="QMY11" s="73"/>
      <c r="QMZ11" s="73"/>
      <c r="QNA11" s="73"/>
      <c r="QNB11" s="73"/>
      <c r="QNC11" s="73"/>
      <c r="QND11" s="73"/>
      <c r="QNE11" s="73"/>
      <c r="QNF11" s="73"/>
      <c r="QNG11" s="73"/>
      <c r="QNH11" s="73"/>
      <c r="QNI11" s="73"/>
      <c r="QNJ11" s="73"/>
      <c r="QNK11" s="73"/>
      <c r="QNL11" s="73"/>
      <c r="QNM11" s="73"/>
      <c r="QNN11" s="73"/>
      <c r="QNO11" s="73"/>
      <c r="QNP11" s="73"/>
      <c r="QNQ11" s="73"/>
      <c r="QNR11" s="73"/>
      <c r="QNS11" s="73"/>
      <c r="QNT11" s="73"/>
      <c r="QNU11" s="73"/>
      <c r="QNV11" s="73"/>
      <c r="QNW11" s="73"/>
      <c r="QNX11" s="73"/>
      <c r="QNY11" s="73"/>
      <c r="QNZ11" s="73"/>
      <c r="QOA11" s="73"/>
      <c r="QOB11" s="73"/>
      <c r="QOC11" s="73"/>
      <c r="QOD11" s="73"/>
      <c r="QOE11" s="73"/>
      <c r="QOF11" s="73"/>
      <c r="QOG11" s="73"/>
      <c r="QOH11" s="73"/>
      <c r="QOI11" s="73"/>
      <c r="QOJ11" s="73"/>
      <c r="QOK11" s="73"/>
      <c r="QOL11" s="73"/>
      <c r="QOM11" s="73"/>
      <c r="QON11" s="73"/>
      <c r="QOO11" s="73"/>
      <c r="QOP11" s="73"/>
      <c r="QOQ11" s="73"/>
      <c r="QOR11" s="73"/>
      <c r="QOS11" s="73"/>
      <c r="QOT11" s="73"/>
      <c r="QOU11" s="73"/>
      <c r="QOV11" s="73"/>
      <c r="QOW11" s="73"/>
      <c r="QOX11" s="73"/>
      <c r="QOY11" s="73"/>
      <c r="QOZ11" s="73"/>
      <c r="QPA11" s="73"/>
      <c r="QPB11" s="73"/>
      <c r="QPC11" s="73"/>
      <c r="QPD11" s="73"/>
      <c r="QPE11" s="73"/>
      <c r="QPF11" s="73"/>
      <c r="QPG11" s="73"/>
      <c r="QPH11" s="73"/>
      <c r="QPI11" s="73"/>
      <c r="QPJ11" s="73"/>
      <c r="QPK11" s="73"/>
      <c r="QPL11" s="73"/>
      <c r="QPM11" s="73"/>
      <c r="QPN11" s="73"/>
      <c r="QPO11" s="73"/>
      <c r="QPP11" s="73"/>
      <c r="QPQ11" s="73"/>
      <c r="QPR11" s="73"/>
      <c r="QPS11" s="73"/>
      <c r="QPT11" s="73"/>
      <c r="QPU11" s="73"/>
      <c r="QPV11" s="73"/>
      <c r="QPW11" s="73"/>
      <c r="QPX11" s="73"/>
      <c r="QPY11" s="73"/>
      <c r="QPZ11" s="73"/>
      <c r="QQA11" s="73"/>
      <c r="QQB11" s="73"/>
      <c r="QQC11" s="73"/>
      <c r="QQD11" s="73"/>
      <c r="QQE11" s="73"/>
      <c r="QQF11" s="73"/>
      <c r="QQG11" s="73"/>
      <c r="QQH11" s="73"/>
      <c r="QQI11" s="73"/>
      <c r="QQJ11" s="73"/>
      <c r="QQK11" s="73"/>
      <c r="QQL11" s="73"/>
      <c r="QQM11" s="73"/>
      <c r="QQN11" s="73"/>
      <c r="QQO11" s="73"/>
      <c r="QQP11" s="73"/>
      <c r="QQQ11" s="73"/>
      <c r="QQR11" s="73"/>
      <c r="QQS11" s="73"/>
      <c r="QQT11" s="73"/>
      <c r="QQU11" s="73"/>
      <c r="QQV11" s="73"/>
      <c r="QQW11" s="73"/>
      <c r="QQX11" s="73"/>
      <c r="QQY11" s="73"/>
      <c r="QQZ11" s="73"/>
      <c r="QRA11" s="73"/>
      <c r="QRB11" s="73"/>
      <c r="QRC11" s="73"/>
      <c r="QRD11" s="73"/>
      <c r="QRE11" s="73"/>
      <c r="QRF11" s="73"/>
      <c r="QRG11" s="73"/>
      <c r="QRH11" s="73"/>
      <c r="QRI11" s="73"/>
      <c r="QRJ11" s="73"/>
      <c r="QRK11" s="73"/>
      <c r="QRL11" s="73"/>
      <c r="QRM11" s="73"/>
      <c r="QRN11" s="73"/>
      <c r="QRO11" s="73"/>
      <c r="QRP11" s="73"/>
      <c r="QRQ11" s="73"/>
      <c r="QRR11" s="73"/>
      <c r="QRS11" s="73"/>
      <c r="QRT11" s="73"/>
      <c r="QRU11" s="73"/>
      <c r="QRV11" s="73"/>
      <c r="QRW11" s="73"/>
      <c r="QRX11" s="73"/>
      <c r="QRY11" s="73"/>
      <c r="QRZ11" s="73"/>
      <c r="QSA11" s="73"/>
      <c r="QSB11" s="73"/>
      <c r="QSC11" s="73"/>
      <c r="QSD11" s="73"/>
      <c r="QSE11" s="73"/>
      <c r="QSF11" s="73"/>
      <c r="QSG11" s="73"/>
      <c r="QSH11" s="73"/>
      <c r="QSI11" s="73"/>
      <c r="QSJ11" s="73"/>
      <c r="QSK11" s="73"/>
      <c r="QSL11" s="73"/>
      <c r="QSM11" s="73"/>
      <c r="QSN11" s="73"/>
      <c r="QSO11" s="73"/>
      <c r="QSP11" s="73"/>
      <c r="QSQ11" s="73"/>
      <c r="QSR11" s="73"/>
      <c r="QSS11" s="73"/>
      <c r="QST11" s="73"/>
      <c r="QSU11" s="73"/>
      <c r="QSV11" s="73"/>
      <c r="QSW11" s="73"/>
      <c r="QSX11" s="73"/>
      <c r="QSY11" s="73"/>
      <c r="QSZ11" s="73"/>
      <c r="QTA11" s="73"/>
      <c r="QTB11" s="73"/>
      <c r="QTC11" s="73"/>
      <c r="QTD11" s="73"/>
      <c r="QTE11" s="73"/>
      <c r="QTF11" s="73"/>
      <c r="QTG11" s="73"/>
      <c r="QTH11" s="73"/>
      <c r="QTI11" s="73"/>
      <c r="QTJ11" s="73"/>
      <c r="QTK11" s="73"/>
      <c r="QTL11" s="73"/>
      <c r="QTM11" s="73"/>
      <c r="QTN11" s="73"/>
      <c r="QTO11" s="73"/>
      <c r="QTP11" s="73"/>
      <c r="QTQ11" s="73"/>
      <c r="QTR11" s="73"/>
      <c r="QTS11" s="73"/>
      <c r="QTT11" s="73"/>
      <c r="QTU11" s="73"/>
      <c r="QTV11" s="73"/>
      <c r="QTW11" s="73"/>
      <c r="QTX11" s="73"/>
      <c r="QTY11" s="73"/>
      <c r="QTZ11" s="73"/>
      <c r="QUA11" s="73"/>
      <c r="QUB11" s="73"/>
      <c r="QUC11" s="73"/>
      <c r="QUD11" s="73"/>
      <c r="QUE11" s="73"/>
      <c r="QUF11" s="73"/>
      <c r="QUG11" s="73"/>
      <c r="QUH11" s="73"/>
      <c r="QUI11" s="73"/>
      <c r="QUJ11" s="73"/>
      <c r="QUK11" s="73"/>
      <c r="QUL11" s="73"/>
      <c r="QUM11" s="73"/>
      <c r="QUN11" s="73"/>
      <c r="QUO11" s="73"/>
      <c r="QUP11" s="73"/>
      <c r="QUQ11" s="73"/>
      <c r="QUR11" s="73"/>
      <c r="QUS11" s="73"/>
      <c r="QUT11" s="73"/>
      <c r="QUU11" s="73"/>
      <c r="QUV11" s="73"/>
      <c r="QUW11" s="73"/>
      <c r="QUX11" s="73"/>
      <c r="QUY11" s="73"/>
      <c r="QUZ11" s="73"/>
      <c r="QVA11" s="73"/>
      <c r="QVB11" s="73"/>
      <c r="QVC11" s="73"/>
      <c r="QVD11" s="73"/>
      <c r="QVE11" s="73"/>
      <c r="QVF11" s="73"/>
      <c r="QVG11" s="73"/>
      <c r="QVH11" s="73"/>
      <c r="QVI11" s="73"/>
      <c r="QVJ11" s="73"/>
      <c r="QVK11" s="73"/>
      <c r="QVL11" s="73"/>
      <c r="QVM11" s="73"/>
      <c r="QVN11" s="73"/>
      <c r="QVO11" s="73"/>
      <c r="QVP11" s="73"/>
      <c r="QVQ11" s="73"/>
      <c r="QVR11" s="73"/>
      <c r="QVS11" s="73"/>
      <c r="QVT11" s="73"/>
      <c r="QVU11" s="73"/>
      <c r="QVV11" s="73"/>
      <c r="QVW11" s="73"/>
      <c r="QVX11" s="73"/>
      <c r="QVY11" s="73"/>
      <c r="QVZ11" s="73"/>
      <c r="QWA11" s="73"/>
      <c r="QWB11" s="73"/>
      <c r="QWC11" s="73"/>
      <c r="QWD11" s="73"/>
      <c r="QWE11" s="73"/>
      <c r="QWF11" s="73"/>
      <c r="QWG11" s="73"/>
      <c r="QWH11" s="73"/>
      <c r="QWI11" s="73"/>
      <c r="QWJ11" s="73"/>
      <c r="QWK11" s="73"/>
      <c r="QWL11" s="73"/>
      <c r="QWM11" s="73"/>
      <c r="QWN11" s="73"/>
      <c r="QWO11" s="73"/>
      <c r="QWP11" s="73"/>
      <c r="QWQ11" s="73"/>
      <c r="QWR11" s="73"/>
      <c r="QWS11" s="73"/>
      <c r="QWT11" s="73"/>
      <c r="QWU11" s="73"/>
      <c r="QWV11" s="73"/>
      <c r="QWW11" s="73"/>
      <c r="QWX11" s="73"/>
      <c r="QWY11" s="73"/>
      <c r="QWZ11" s="73"/>
      <c r="QXA11" s="73"/>
      <c r="QXB11" s="73"/>
      <c r="QXC11" s="73"/>
      <c r="QXD11" s="73"/>
      <c r="QXE11" s="73"/>
      <c r="QXF11" s="73"/>
      <c r="QXG11" s="73"/>
      <c r="QXH11" s="73"/>
      <c r="QXI11" s="73"/>
      <c r="QXJ11" s="73"/>
      <c r="QXK11" s="73"/>
      <c r="QXL11" s="73"/>
      <c r="QXM11" s="73"/>
      <c r="QXN11" s="73"/>
      <c r="QXO11" s="73"/>
      <c r="QXP11" s="73"/>
      <c r="QXQ11" s="73"/>
      <c r="QXR11" s="73"/>
      <c r="QXS11" s="73"/>
      <c r="QXT11" s="73"/>
      <c r="QXU11" s="73"/>
      <c r="QXV11" s="73"/>
      <c r="QXW11" s="73"/>
      <c r="QXX11" s="73"/>
      <c r="QXY11" s="73"/>
      <c r="QXZ11" s="73"/>
      <c r="QYA11" s="73"/>
      <c r="QYB11" s="73"/>
      <c r="QYC11" s="73"/>
      <c r="QYD11" s="73"/>
      <c r="QYE11" s="73"/>
      <c r="QYF11" s="73"/>
      <c r="QYG11" s="73"/>
      <c r="QYH11" s="73"/>
      <c r="QYI11" s="73"/>
      <c r="QYJ11" s="73"/>
      <c r="QYK11" s="73"/>
      <c r="QYL11" s="73"/>
      <c r="QYM11" s="73"/>
      <c r="QYN11" s="73"/>
      <c r="QYO11" s="73"/>
      <c r="QYP11" s="73"/>
      <c r="QYQ11" s="73"/>
      <c r="QYR11" s="73"/>
      <c r="QYS11" s="73"/>
      <c r="QYT11" s="73"/>
      <c r="QYU11" s="73"/>
      <c r="QYV11" s="73"/>
      <c r="QYW11" s="73"/>
      <c r="QYX11" s="73"/>
      <c r="QYY11" s="73"/>
      <c r="QYZ11" s="73"/>
      <c r="QZA11" s="73"/>
      <c r="QZB11" s="73"/>
      <c r="QZC11" s="73"/>
      <c r="QZD11" s="73"/>
      <c r="QZE11" s="73"/>
      <c r="QZF11" s="73"/>
      <c r="QZG11" s="73"/>
      <c r="QZH11" s="73"/>
      <c r="QZI11" s="73"/>
      <c r="QZJ11" s="73"/>
      <c r="QZK11" s="73"/>
      <c r="QZL11" s="73"/>
      <c r="QZM11" s="73"/>
      <c r="QZN11" s="73"/>
      <c r="QZO11" s="73"/>
      <c r="QZP11" s="73"/>
      <c r="QZQ11" s="73"/>
      <c r="QZR11" s="73"/>
      <c r="QZS11" s="73"/>
      <c r="QZT11" s="73"/>
      <c r="QZU11" s="73"/>
      <c r="QZV11" s="73"/>
      <c r="QZW11" s="73"/>
      <c r="QZX11" s="73"/>
      <c r="QZY11" s="73"/>
      <c r="QZZ11" s="73"/>
      <c r="RAA11" s="73"/>
      <c r="RAB11" s="73"/>
      <c r="RAC11" s="73"/>
      <c r="RAD11" s="73"/>
      <c r="RAE11" s="73"/>
      <c r="RAF11" s="73"/>
      <c r="RAG11" s="73"/>
      <c r="RAH11" s="73"/>
      <c r="RAI11" s="73"/>
      <c r="RAJ11" s="73"/>
      <c r="RAK11" s="73"/>
      <c r="RAL11" s="73"/>
      <c r="RAM11" s="73"/>
      <c r="RAN11" s="73"/>
      <c r="RAO11" s="73"/>
      <c r="RAP11" s="73"/>
      <c r="RAQ11" s="73"/>
      <c r="RAR11" s="73"/>
      <c r="RAS11" s="73"/>
      <c r="RAT11" s="73"/>
      <c r="RAU11" s="73"/>
      <c r="RAV11" s="73"/>
      <c r="RAW11" s="73"/>
      <c r="RAX11" s="73"/>
      <c r="RAY11" s="73"/>
      <c r="RAZ11" s="73"/>
      <c r="RBA11" s="73"/>
      <c r="RBB11" s="73"/>
      <c r="RBC11" s="73"/>
      <c r="RBD11" s="73"/>
      <c r="RBE11" s="73"/>
      <c r="RBF11" s="73"/>
      <c r="RBG11" s="73"/>
      <c r="RBH11" s="73"/>
      <c r="RBI11" s="73"/>
      <c r="RBJ11" s="73"/>
      <c r="RBK11" s="73"/>
      <c r="RBL11" s="73"/>
      <c r="RBM11" s="73"/>
      <c r="RBN11" s="73"/>
      <c r="RBO11" s="73"/>
      <c r="RBP11" s="73"/>
      <c r="RBQ11" s="73"/>
      <c r="RBR11" s="73"/>
      <c r="RBS11" s="73"/>
      <c r="RBT11" s="73"/>
      <c r="RBU11" s="73"/>
      <c r="RBV11" s="73"/>
      <c r="RBW11" s="73"/>
      <c r="RBX11" s="73"/>
      <c r="RBY11" s="73"/>
      <c r="RBZ11" s="73"/>
      <c r="RCA11" s="73"/>
      <c r="RCB11" s="73"/>
      <c r="RCC11" s="73"/>
      <c r="RCD11" s="73"/>
      <c r="RCE11" s="73"/>
      <c r="RCF11" s="73"/>
      <c r="RCG11" s="73"/>
      <c r="RCH11" s="73"/>
      <c r="RCI11" s="73"/>
      <c r="RCJ11" s="73"/>
      <c r="RCK11" s="73"/>
      <c r="RCL11" s="73"/>
      <c r="RCM11" s="73"/>
      <c r="RCN11" s="73"/>
      <c r="RCO11" s="73"/>
      <c r="RCP11" s="73"/>
      <c r="RCQ11" s="73"/>
      <c r="RCR11" s="73"/>
      <c r="RCS11" s="73"/>
      <c r="RCT11" s="73"/>
      <c r="RCU11" s="73"/>
      <c r="RCV11" s="73"/>
      <c r="RCW11" s="73"/>
      <c r="RCX11" s="73"/>
      <c r="RCY11" s="73"/>
      <c r="RCZ11" s="73"/>
      <c r="RDA11" s="73"/>
      <c r="RDB11" s="73"/>
      <c r="RDC11" s="73"/>
      <c r="RDD11" s="73"/>
      <c r="RDE11" s="73"/>
      <c r="RDF11" s="73"/>
      <c r="RDG11" s="73"/>
      <c r="RDH11" s="73"/>
      <c r="RDI11" s="73"/>
      <c r="RDJ11" s="73"/>
      <c r="RDK11" s="73"/>
      <c r="RDL11" s="73"/>
      <c r="RDM11" s="73"/>
      <c r="RDN11" s="73"/>
      <c r="RDO11" s="73"/>
      <c r="RDP11" s="73"/>
      <c r="RDQ11" s="73"/>
      <c r="RDR11" s="73"/>
      <c r="RDS11" s="73"/>
      <c r="RDT11" s="73"/>
      <c r="RDU11" s="73"/>
      <c r="RDV11" s="73"/>
      <c r="RDW11" s="73"/>
      <c r="RDX11" s="73"/>
      <c r="RDY11" s="73"/>
      <c r="RDZ11" s="73"/>
      <c r="REA11" s="73"/>
      <c r="REB11" s="73"/>
      <c r="REC11" s="73"/>
      <c r="RED11" s="73"/>
      <c r="REE11" s="73"/>
      <c r="REF11" s="73"/>
      <c r="REG11" s="73"/>
      <c r="REH11" s="73"/>
      <c r="REI11" s="73"/>
      <c r="REJ11" s="73"/>
      <c r="REK11" s="73"/>
      <c r="REL11" s="73"/>
      <c r="REM11" s="73"/>
      <c r="REN11" s="73"/>
      <c r="REO11" s="73"/>
      <c r="REP11" s="73"/>
      <c r="REQ11" s="73"/>
      <c r="RER11" s="73"/>
      <c r="RES11" s="73"/>
      <c r="RET11" s="73"/>
      <c r="REU11" s="73"/>
      <c r="REV11" s="73"/>
      <c r="REW11" s="73"/>
      <c r="REX11" s="73"/>
      <c r="REY11" s="73"/>
      <c r="REZ11" s="73"/>
      <c r="RFA11" s="73"/>
      <c r="RFB11" s="73"/>
      <c r="RFC11" s="73"/>
      <c r="RFD11" s="73"/>
      <c r="RFE11" s="73"/>
      <c r="RFF11" s="73"/>
      <c r="RFG11" s="73"/>
      <c r="RFH11" s="73"/>
      <c r="RFI11" s="73"/>
      <c r="RFJ11" s="73"/>
      <c r="RFK11" s="73"/>
      <c r="RFL11" s="73"/>
      <c r="RFM11" s="73"/>
      <c r="RFN11" s="73"/>
      <c r="RFO11" s="73"/>
      <c r="RFP11" s="73"/>
      <c r="RFQ11" s="73"/>
      <c r="RFR11" s="73"/>
      <c r="RFS11" s="73"/>
      <c r="RFT11" s="73"/>
      <c r="RFU11" s="73"/>
      <c r="RFV11" s="73"/>
      <c r="RFW11" s="73"/>
      <c r="RFX11" s="73"/>
      <c r="RFY11" s="73"/>
      <c r="RFZ11" s="73"/>
      <c r="RGA11" s="73"/>
      <c r="RGB11" s="73"/>
      <c r="RGC11" s="73"/>
      <c r="RGD11" s="73"/>
      <c r="RGE11" s="73"/>
      <c r="RGF11" s="73"/>
      <c r="RGG11" s="73"/>
      <c r="RGH11" s="73"/>
      <c r="RGI11" s="73"/>
      <c r="RGJ11" s="73"/>
      <c r="RGK11" s="73"/>
      <c r="RGL11" s="73"/>
      <c r="RGM11" s="73"/>
      <c r="RGN11" s="73"/>
      <c r="RGO11" s="73"/>
      <c r="RGP11" s="73"/>
      <c r="RGQ11" s="73"/>
      <c r="RGR11" s="73"/>
      <c r="RGS11" s="73"/>
      <c r="RGT11" s="73"/>
      <c r="RGU11" s="73"/>
      <c r="RGV11" s="73"/>
      <c r="RGW11" s="73"/>
      <c r="RGX11" s="73"/>
      <c r="RGY11" s="73"/>
      <c r="RGZ11" s="73"/>
      <c r="RHA11" s="73"/>
      <c r="RHB11" s="73"/>
      <c r="RHC11" s="73"/>
      <c r="RHD11" s="73"/>
      <c r="RHE11" s="73"/>
      <c r="RHF11" s="73"/>
      <c r="RHG11" s="73"/>
      <c r="RHH11" s="73"/>
      <c r="RHI11" s="73"/>
      <c r="RHJ11" s="73"/>
      <c r="RHK11" s="73"/>
      <c r="RHL11" s="73"/>
      <c r="RHM11" s="73"/>
      <c r="RHN11" s="73"/>
      <c r="RHO11" s="73"/>
      <c r="RHP11" s="73"/>
      <c r="RHQ11" s="73"/>
      <c r="RHR11" s="73"/>
      <c r="RHS11" s="73"/>
      <c r="RHT11" s="73"/>
      <c r="RHU11" s="73"/>
      <c r="RHV11" s="73"/>
      <c r="RHW11" s="73"/>
      <c r="RHX11" s="73"/>
      <c r="RHY11" s="73"/>
      <c r="RHZ11" s="73"/>
      <c r="RIA11" s="73"/>
      <c r="RIB11" s="73"/>
      <c r="RIC11" s="73"/>
      <c r="RID11" s="73"/>
      <c r="RIE11" s="73"/>
      <c r="RIF11" s="73"/>
      <c r="RIG11" s="73"/>
      <c r="RIH11" s="73"/>
      <c r="RII11" s="73"/>
      <c r="RIJ11" s="73"/>
      <c r="RIK11" s="73"/>
      <c r="RIL11" s="73"/>
      <c r="RIM11" s="73"/>
      <c r="RIN11" s="73"/>
      <c r="RIO11" s="73"/>
      <c r="RIP11" s="73"/>
      <c r="RIQ11" s="73"/>
      <c r="RIR11" s="73"/>
      <c r="RIS11" s="73"/>
      <c r="RIT11" s="73"/>
      <c r="RIU11" s="73"/>
      <c r="RIV11" s="73"/>
      <c r="RIW11" s="73"/>
      <c r="RIX11" s="73"/>
      <c r="RIY11" s="73"/>
      <c r="RIZ11" s="73"/>
      <c r="RJA11" s="73"/>
      <c r="RJB11" s="73"/>
      <c r="RJC11" s="73"/>
      <c r="RJD11" s="73"/>
      <c r="RJE11" s="73"/>
      <c r="RJF11" s="73"/>
      <c r="RJG11" s="73"/>
      <c r="RJH11" s="73"/>
      <c r="RJI11" s="73"/>
      <c r="RJJ11" s="73"/>
      <c r="RJK11" s="73"/>
      <c r="RJL11" s="73"/>
      <c r="RJM11" s="73"/>
      <c r="RJN11" s="73"/>
      <c r="RJO11" s="73"/>
      <c r="RJP11" s="73"/>
      <c r="RJQ11" s="73"/>
      <c r="RJR11" s="73"/>
      <c r="RJS11" s="73"/>
      <c r="RJT11" s="73"/>
      <c r="RJU11" s="73"/>
      <c r="RJV11" s="73"/>
      <c r="RJW11" s="73"/>
      <c r="RJX11" s="73"/>
      <c r="RJY11" s="73"/>
      <c r="RJZ11" s="73"/>
      <c r="RKA11" s="73"/>
      <c r="RKB11" s="73"/>
      <c r="RKC11" s="73"/>
      <c r="RKD11" s="73"/>
      <c r="RKE11" s="73"/>
      <c r="RKF11" s="73"/>
      <c r="RKG11" s="73"/>
      <c r="RKH11" s="73"/>
      <c r="RKI11" s="73"/>
      <c r="RKJ11" s="73"/>
      <c r="RKK11" s="73"/>
      <c r="RKL11" s="73"/>
      <c r="RKM11" s="73"/>
      <c r="RKN11" s="73"/>
      <c r="RKO11" s="73"/>
      <c r="RKP11" s="73"/>
      <c r="RKQ11" s="73"/>
      <c r="RKR11" s="73"/>
      <c r="RKS11" s="73"/>
      <c r="RKT11" s="73"/>
      <c r="RKU11" s="73"/>
      <c r="RKV11" s="73"/>
      <c r="RKW11" s="73"/>
      <c r="RKX11" s="73"/>
      <c r="RKY11" s="73"/>
      <c r="RKZ11" s="73"/>
      <c r="RLA11" s="73"/>
      <c r="RLB11" s="73"/>
      <c r="RLC11" s="73"/>
      <c r="RLD11" s="73"/>
      <c r="RLE11" s="73"/>
      <c r="RLF11" s="73"/>
      <c r="RLG11" s="73"/>
      <c r="RLH11" s="73"/>
      <c r="RLI11" s="73"/>
      <c r="RLJ11" s="73"/>
      <c r="RLK11" s="73"/>
      <c r="RLL11" s="73"/>
      <c r="RLM11" s="73"/>
      <c r="RLN11" s="73"/>
      <c r="RLO11" s="73"/>
      <c r="RLP11" s="73"/>
      <c r="RLQ11" s="73"/>
      <c r="RLR11" s="73"/>
      <c r="RLS11" s="73"/>
      <c r="RLT11" s="73"/>
      <c r="RLU11" s="73"/>
      <c r="RLV11" s="73"/>
      <c r="RLW11" s="73"/>
      <c r="RLX11" s="73"/>
      <c r="RLY11" s="73"/>
      <c r="RLZ11" s="73"/>
      <c r="RMA11" s="73"/>
      <c r="RMB11" s="73"/>
      <c r="RMC11" s="73"/>
      <c r="RMD11" s="73"/>
      <c r="RME11" s="73"/>
      <c r="RMF11" s="73"/>
      <c r="RMG11" s="73"/>
      <c r="RMH11" s="73"/>
      <c r="RMI11" s="73"/>
      <c r="RMJ11" s="73"/>
      <c r="RMK11" s="73"/>
      <c r="RML11" s="73"/>
      <c r="RMM11" s="73"/>
      <c r="RMN11" s="73"/>
      <c r="RMO11" s="73"/>
      <c r="RMP11" s="73"/>
      <c r="RMQ11" s="73"/>
      <c r="RMR11" s="73"/>
      <c r="RMS11" s="73"/>
      <c r="RMT11" s="73"/>
      <c r="RMU11" s="73"/>
      <c r="RMV11" s="73"/>
      <c r="RMW11" s="73"/>
      <c r="RMX11" s="73"/>
      <c r="RMY11" s="73"/>
      <c r="RMZ11" s="73"/>
      <c r="RNA11" s="73"/>
      <c r="RNB11" s="73"/>
      <c r="RNC11" s="73"/>
      <c r="RND11" s="73"/>
      <c r="RNE11" s="73"/>
      <c r="RNF11" s="73"/>
      <c r="RNG11" s="73"/>
      <c r="RNH11" s="73"/>
      <c r="RNI11" s="73"/>
      <c r="RNJ11" s="73"/>
      <c r="RNK11" s="73"/>
      <c r="RNL11" s="73"/>
      <c r="RNM11" s="73"/>
      <c r="RNN11" s="73"/>
      <c r="RNO11" s="73"/>
      <c r="RNP11" s="73"/>
      <c r="RNQ11" s="73"/>
      <c r="RNR11" s="73"/>
      <c r="RNS11" s="73"/>
      <c r="RNT11" s="73"/>
      <c r="RNU11" s="73"/>
      <c r="RNV11" s="73"/>
      <c r="RNW11" s="73"/>
      <c r="RNX11" s="73"/>
      <c r="RNY11" s="73"/>
      <c r="RNZ11" s="73"/>
      <c r="ROA11" s="73"/>
      <c r="ROB11" s="73"/>
      <c r="ROC11" s="73"/>
      <c r="ROD11" s="73"/>
      <c r="ROE11" s="73"/>
      <c r="ROF11" s="73"/>
      <c r="ROG11" s="73"/>
      <c r="ROH11" s="73"/>
      <c r="ROI11" s="73"/>
      <c r="ROJ11" s="73"/>
      <c r="ROK11" s="73"/>
      <c r="ROL11" s="73"/>
      <c r="ROM11" s="73"/>
      <c r="RON11" s="73"/>
      <c r="ROO11" s="73"/>
      <c r="ROP11" s="73"/>
      <c r="ROQ11" s="73"/>
      <c r="ROR11" s="73"/>
      <c r="ROS11" s="73"/>
      <c r="ROT11" s="73"/>
      <c r="ROU11" s="73"/>
      <c r="ROV11" s="73"/>
      <c r="ROW11" s="73"/>
      <c r="ROX11" s="73"/>
      <c r="ROY11" s="73"/>
      <c r="ROZ11" s="73"/>
      <c r="RPA11" s="73"/>
      <c r="RPB11" s="73"/>
      <c r="RPC11" s="73"/>
      <c r="RPD11" s="73"/>
      <c r="RPE11" s="73"/>
      <c r="RPF11" s="73"/>
      <c r="RPG11" s="73"/>
      <c r="RPH11" s="73"/>
      <c r="RPI11" s="73"/>
      <c r="RPJ11" s="73"/>
      <c r="RPK11" s="73"/>
      <c r="RPL11" s="73"/>
      <c r="RPM11" s="73"/>
      <c r="RPN11" s="73"/>
      <c r="RPO11" s="73"/>
      <c r="RPP11" s="73"/>
      <c r="RPQ11" s="73"/>
      <c r="RPR11" s="73"/>
      <c r="RPS11" s="73"/>
      <c r="RPT11" s="73"/>
      <c r="RPU11" s="73"/>
      <c r="RPV11" s="73"/>
      <c r="RPW11" s="73"/>
      <c r="RPX11" s="73"/>
      <c r="RPY11" s="73"/>
      <c r="RPZ11" s="73"/>
      <c r="RQA11" s="73"/>
      <c r="RQB11" s="73"/>
      <c r="RQC11" s="73"/>
      <c r="RQD11" s="73"/>
      <c r="RQE11" s="73"/>
      <c r="RQF11" s="73"/>
      <c r="RQG11" s="73"/>
      <c r="RQH11" s="73"/>
      <c r="RQI11" s="73"/>
      <c r="RQJ11" s="73"/>
      <c r="RQK11" s="73"/>
      <c r="RQL11" s="73"/>
      <c r="RQM11" s="73"/>
      <c r="RQN11" s="73"/>
      <c r="RQO11" s="73"/>
      <c r="RQP11" s="73"/>
      <c r="RQQ11" s="73"/>
      <c r="RQR11" s="73"/>
      <c r="RQS11" s="73"/>
      <c r="RQT11" s="73"/>
      <c r="RQU11" s="73"/>
      <c r="RQV11" s="73"/>
      <c r="RQW11" s="73"/>
      <c r="RQX11" s="73"/>
      <c r="RQY11" s="73"/>
      <c r="RQZ11" s="73"/>
      <c r="RRA11" s="73"/>
      <c r="RRB11" s="73"/>
      <c r="RRC11" s="73"/>
      <c r="RRD11" s="73"/>
      <c r="RRE11" s="73"/>
      <c r="RRF11" s="73"/>
      <c r="RRG11" s="73"/>
      <c r="RRH11" s="73"/>
      <c r="RRI11" s="73"/>
      <c r="RRJ11" s="73"/>
      <c r="RRK11" s="73"/>
      <c r="RRL11" s="73"/>
      <c r="RRM11" s="73"/>
      <c r="RRN11" s="73"/>
      <c r="RRO11" s="73"/>
      <c r="RRP11" s="73"/>
      <c r="RRQ11" s="73"/>
      <c r="RRR11" s="73"/>
      <c r="RRS11" s="73"/>
      <c r="RRT11" s="73"/>
      <c r="RRU11" s="73"/>
      <c r="RRV11" s="73"/>
      <c r="RRW11" s="73"/>
      <c r="RRX11" s="73"/>
      <c r="RRY11" s="73"/>
      <c r="RRZ11" s="73"/>
      <c r="RSA11" s="73"/>
      <c r="RSB11" s="73"/>
      <c r="RSC11" s="73"/>
      <c r="RSD11" s="73"/>
      <c r="RSE11" s="73"/>
      <c r="RSF11" s="73"/>
      <c r="RSG11" s="73"/>
      <c r="RSH11" s="73"/>
      <c r="RSI11" s="73"/>
      <c r="RSJ11" s="73"/>
      <c r="RSK11" s="73"/>
      <c r="RSL11" s="73"/>
      <c r="RSM11" s="73"/>
      <c r="RSN11" s="73"/>
      <c r="RSO11" s="73"/>
      <c r="RSP11" s="73"/>
      <c r="RSQ11" s="73"/>
      <c r="RSR11" s="73"/>
      <c r="RSS11" s="73"/>
      <c r="RST11" s="73"/>
      <c r="RSU11" s="73"/>
      <c r="RSV11" s="73"/>
      <c r="RSW11" s="73"/>
      <c r="RSX11" s="73"/>
      <c r="RSY11" s="73"/>
      <c r="RSZ11" s="73"/>
      <c r="RTA11" s="73"/>
      <c r="RTB11" s="73"/>
      <c r="RTC11" s="73"/>
      <c r="RTD11" s="73"/>
      <c r="RTE11" s="73"/>
      <c r="RTF11" s="73"/>
      <c r="RTG11" s="73"/>
      <c r="RTH11" s="73"/>
      <c r="RTI11" s="73"/>
      <c r="RTJ11" s="73"/>
      <c r="RTK11" s="73"/>
      <c r="RTL11" s="73"/>
      <c r="RTM11" s="73"/>
      <c r="RTN11" s="73"/>
      <c r="RTO11" s="73"/>
      <c r="RTP11" s="73"/>
      <c r="RTQ11" s="73"/>
      <c r="RTR11" s="73"/>
      <c r="RTS11" s="73"/>
      <c r="RTT11" s="73"/>
      <c r="RTU11" s="73"/>
      <c r="RTV11" s="73"/>
      <c r="RTW11" s="73"/>
      <c r="RTX11" s="73"/>
      <c r="RTY11" s="73"/>
      <c r="RTZ11" s="73"/>
      <c r="RUA11" s="73"/>
      <c r="RUB11" s="73"/>
      <c r="RUC11" s="73"/>
      <c r="RUD11" s="73"/>
      <c r="RUE11" s="73"/>
      <c r="RUF11" s="73"/>
      <c r="RUG11" s="73"/>
      <c r="RUH11" s="73"/>
      <c r="RUI11" s="73"/>
      <c r="RUJ11" s="73"/>
      <c r="RUK11" s="73"/>
      <c r="RUL11" s="73"/>
      <c r="RUM11" s="73"/>
      <c r="RUN11" s="73"/>
      <c r="RUO11" s="73"/>
      <c r="RUP11" s="73"/>
      <c r="RUQ11" s="73"/>
      <c r="RUR11" s="73"/>
      <c r="RUS11" s="73"/>
      <c r="RUT11" s="73"/>
      <c r="RUU11" s="73"/>
      <c r="RUV11" s="73"/>
      <c r="RUW11" s="73"/>
      <c r="RUX11" s="73"/>
      <c r="RUY11" s="73"/>
      <c r="RUZ11" s="73"/>
      <c r="RVA11" s="73"/>
      <c r="RVB11" s="73"/>
      <c r="RVC11" s="73"/>
      <c r="RVD11" s="73"/>
      <c r="RVE11" s="73"/>
      <c r="RVF11" s="73"/>
      <c r="RVG11" s="73"/>
      <c r="RVH11" s="73"/>
      <c r="RVI11" s="73"/>
      <c r="RVJ11" s="73"/>
      <c r="RVK11" s="73"/>
      <c r="RVL11" s="73"/>
      <c r="RVM11" s="73"/>
      <c r="RVN11" s="73"/>
      <c r="RVO11" s="73"/>
      <c r="RVP11" s="73"/>
      <c r="RVQ11" s="73"/>
      <c r="RVR11" s="73"/>
      <c r="RVS11" s="73"/>
      <c r="RVT11" s="73"/>
      <c r="RVU11" s="73"/>
      <c r="RVV11" s="73"/>
      <c r="RVW11" s="73"/>
      <c r="RVX11" s="73"/>
      <c r="RVY11" s="73"/>
      <c r="RVZ11" s="73"/>
      <c r="RWA11" s="73"/>
      <c r="RWB11" s="73"/>
      <c r="RWC11" s="73"/>
      <c r="RWD11" s="73"/>
      <c r="RWE11" s="73"/>
      <c r="RWF11" s="73"/>
      <c r="RWG11" s="73"/>
      <c r="RWH11" s="73"/>
      <c r="RWI11" s="73"/>
      <c r="RWJ11" s="73"/>
      <c r="RWK11" s="73"/>
      <c r="RWL11" s="73"/>
      <c r="RWM11" s="73"/>
      <c r="RWN11" s="73"/>
      <c r="RWO11" s="73"/>
      <c r="RWP11" s="73"/>
      <c r="RWQ11" s="73"/>
      <c r="RWR11" s="73"/>
      <c r="RWS11" s="73"/>
      <c r="RWT11" s="73"/>
      <c r="RWU11" s="73"/>
      <c r="RWV11" s="73"/>
      <c r="RWW11" s="73"/>
      <c r="RWX11" s="73"/>
      <c r="RWY11" s="73"/>
      <c r="RWZ11" s="73"/>
      <c r="RXA11" s="73"/>
      <c r="RXB11" s="73"/>
      <c r="RXC11" s="73"/>
      <c r="RXD11" s="73"/>
      <c r="RXE11" s="73"/>
      <c r="RXF11" s="73"/>
      <c r="RXG11" s="73"/>
      <c r="RXH11" s="73"/>
      <c r="RXI11" s="73"/>
      <c r="RXJ11" s="73"/>
      <c r="RXK11" s="73"/>
      <c r="RXL11" s="73"/>
      <c r="RXM11" s="73"/>
      <c r="RXN11" s="73"/>
      <c r="RXO11" s="73"/>
      <c r="RXP11" s="73"/>
      <c r="RXQ11" s="73"/>
      <c r="RXR11" s="73"/>
      <c r="RXS11" s="73"/>
      <c r="RXT11" s="73"/>
      <c r="RXU11" s="73"/>
      <c r="RXV11" s="73"/>
      <c r="RXW11" s="73"/>
      <c r="RXX11" s="73"/>
      <c r="RXY11" s="73"/>
      <c r="RXZ11" s="73"/>
      <c r="RYA11" s="73"/>
      <c r="RYB11" s="73"/>
      <c r="RYC11" s="73"/>
      <c r="RYD11" s="73"/>
      <c r="RYE11" s="73"/>
      <c r="RYF11" s="73"/>
      <c r="RYG11" s="73"/>
      <c r="RYH11" s="73"/>
      <c r="RYI11" s="73"/>
      <c r="RYJ11" s="73"/>
      <c r="RYK11" s="73"/>
      <c r="RYL11" s="73"/>
      <c r="RYM11" s="73"/>
      <c r="RYN11" s="73"/>
      <c r="RYO11" s="73"/>
      <c r="RYP11" s="73"/>
      <c r="RYQ11" s="73"/>
      <c r="RYR11" s="73"/>
      <c r="RYS11" s="73"/>
      <c r="RYT11" s="73"/>
      <c r="RYU11" s="73"/>
      <c r="RYV11" s="73"/>
      <c r="RYW11" s="73"/>
      <c r="RYX11" s="73"/>
      <c r="RYY11" s="73"/>
      <c r="RYZ11" s="73"/>
      <c r="RZA11" s="73"/>
      <c r="RZB11" s="73"/>
      <c r="RZC11" s="73"/>
      <c r="RZD11" s="73"/>
      <c r="RZE11" s="73"/>
      <c r="RZF11" s="73"/>
      <c r="RZG11" s="73"/>
      <c r="RZH11" s="73"/>
      <c r="RZI11" s="73"/>
      <c r="RZJ11" s="73"/>
      <c r="RZK11" s="73"/>
      <c r="RZL11" s="73"/>
      <c r="RZM11" s="73"/>
      <c r="RZN11" s="73"/>
      <c r="RZO11" s="73"/>
      <c r="RZP11" s="73"/>
      <c r="RZQ11" s="73"/>
      <c r="RZR11" s="73"/>
      <c r="RZS11" s="73"/>
      <c r="RZT11" s="73"/>
      <c r="RZU11" s="73"/>
      <c r="RZV11" s="73"/>
      <c r="RZW11" s="73"/>
      <c r="RZX11" s="73"/>
      <c r="RZY11" s="73"/>
      <c r="RZZ11" s="73"/>
      <c r="SAA11" s="73"/>
      <c r="SAB11" s="73"/>
      <c r="SAC11" s="73"/>
      <c r="SAD11" s="73"/>
      <c r="SAE11" s="73"/>
      <c r="SAF11" s="73"/>
      <c r="SAG11" s="73"/>
      <c r="SAH11" s="73"/>
      <c r="SAI11" s="73"/>
      <c r="SAJ11" s="73"/>
      <c r="SAK11" s="73"/>
      <c r="SAL11" s="73"/>
      <c r="SAM11" s="73"/>
      <c r="SAN11" s="73"/>
      <c r="SAO11" s="73"/>
      <c r="SAP11" s="73"/>
      <c r="SAQ11" s="73"/>
      <c r="SAR11" s="73"/>
      <c r="SAS11" s="73"/>
      <c r="SAT11" s="73"/>
      <c r="SAU11" s="73"/>
      <c r="SAV11" s="73"/>
      <c r="SAW11" s="73"/>
      <c r="SAX11" s="73"/>
      <c r="SAY11" s="73"/>
      <c r="SAZ11" s="73"/>
      <c r="SBA11" s="73"/>
      <c r="SBB11" s="73"/>
      <c r="SBC11" s="73"/>
      <c r="SBD11" s="73"/>
      <c r="SBE11" s="73"/>
      <c r="SBF11" s="73"/>
      <c r="SBG11" s="73"/>
      <c r="SBH11" s="73"/>
      <c r="SBI11" s="73"/>
      <c r="SBJ11" s="73"/>
      <c r="SBK11" s="73"/>
      <c r="SBL11" s="73"/>
      <c r="SBM11" s="73"/>
      <c r="SBN11" s="73"/>
      <c r="SBO11" s="73"/>
      <c r="SBP11" s="73"/>
      <c r="SBQ11" s="73"/>
      <c r="SBR11" s="73"/>
      <c r="SBS11" s="73"/>
      <c r="SBT11" s="73"/>
      <c r="SBU11" s="73"/>
      <c r="SBV11" s="73"/>
      <c r="SBW11" s="73"/>
      <c r="SBX11" s="73"/>
      <c r="SBY11" s="73"/>
      <c r="SBZ11" s="73"/>
      <c r="SCA11" s="73"/>
      <c r="SCB11" s="73"/>
      <c r="SCC11" s="73"/>
      <c r="SCD11" s="73"/>
      <c r="SCE11" s="73"/>
      <c r="SCF11" s="73"/>
      <c r="SCG11" s="73"/>
      <c r="SCH11" s="73"/>
      <c r="SCI11" s="73"/>
      <c r="SCJ11" s="73"/>
      <c r="SCK11" s="73"/>
      <c r="SCL11" s="73"/>
      <c r="SCM11" s="73"/>
      <c r="SCN11" s="73"/>
      <c r="SCO11" s="73"/>
      <c r="SCP11" s="73"/>
      <c r="SCQ11" s="73"/>
      <c r="SCR11" s="73"/>
      <c r="SCS11" s="73"/>
      <c r="SCT11" s="73"/>
      <c r="SCU11" s="73"/>
      <c r="SCV11" s="73"/>
      <c r="SCW11" s="73"/>
      <c r="SCX11" s="73"/>
      <c r="SCY11" s="73"/>
      <c r="SCZ11" s="73"/>
      <c r="SDA11" s="73"/>
      <c r="SDB11" s="73"/>
      <c r="SDC11" s="73"/>
      <c r="SDD11" s="73"/>
      <c r="SDE11" s="73"/>
      <c r="SDF11" s="73"/>
      <c r="SDG11" s="73"/>
      <c r="SDH11" s="73"/>
      <c r="SDI11" s="73"/>
      <c r="SDJ11" s="73"/>
      <c r="SDK11" s="73"/>
      <c r="SDL11" s="73"/>
      <c r="SDM11" s="73"/>
      <c r="SDN11" s="73"/>
      <c r="SDO11" s="73"/>
      <c r="SDP11" s="73"/>
      <c r="SDQ11" s="73"/>
      <c r="SDR11" s="73"/>
      <c r="SDS11" s="73"/>
      <c r="SDT11" s="73"/>
      <c r="SDU11" s="73"/>
      <c r="SDV11" s="73"/>
      <c r="SDW11" s="73"/>
      <c r="SDX11" s="73"/>
      <c r="SDY11" s="73"/>
      <c r="SDZ11" s="73"/>
      <c r="SEA11" s="73"/>
      <c r="SEB11" s="73"/>
      <c r="SEC11" s="73"/>
      <c r="SED11" s="73"/>
      <c r="SEE11" s="73"/>
      <c r="SEF11" s="73"/>
      <c r="SEG11" s="73"/>
      <c r="SEH11" s="73"/>
      <c r="SEI11" s="73"/>
      <c r="SEJ11" s="73"/>
      <c r="SEK11" s="73"/>
      <c r="SEL11" s="73"/>
      <c r="SEM11" s="73"/>
      <c r="SEN11" s="73"/>
      <c r="SEO11" s="73"/>
      <c r="SEP11" s="73"/>
      <c r="SEQ11" s="73"/>
      <c r="SER11" s="73"/>
      <c r="SES11" s="73"/>
      <c r="SET11" s="73"/>
      <c r="SEU11" s="73"/>
      <c r="SEV11" s="73"/>
      <c r="SEW11" s="73"/>
      <c r="SEX11" s="73"/>
      <c r="SEY11" s="73"/>
      <c r="SEZ11" s="73"/>
      <c r="SFA11" s="73"/>
      <c r="SFB11" s="73"/>
      <c r="SFC11" s="73"/>
      <c r="SFD11" s="73"/>
      <c r="SFE11" s="73"/>
      <c r="SFF11" s="73"/>
      <c r="SFG11" s="73"/>
      <c r="SFH11" s="73"/>
      <c r="SFI11" s="73"/>
      <c r="SFJ11" s="73"/>
      <c r="SFK11" s="73"/>
      <c r="SFL11" s="73"/>
      <c r="SFM11" s="73"/>
      <c r="SFN11" s="73"/>
      <c r="SFO11" s="73"/>
      <c r="SFP11" s="73"/>
      <c r="SFQ11" s="73"/>
      <c r="SFR11" s="73"/>
      <c r="SFS11" s="73"/>
      <c r="SFT11" s="73"/>
      <c r="SFU11" s="73"/>
      <c r="SFV11" s="73"/>
      <c r="SFW11" s="73"/>
      <c r="SFX11" s="73"/>
      <c r="SFY11" s="73"/>
      <c r="SFZ11" s="73"/>
      <c r="SGA11" s="73"/>
      <c r="SGB11" s="73"/>
      <c r="SGC11" s="73"/>
      <c r="SGD11" s="73"/>
      <c r="SGE11" s="73"/>
      <c r="SGF11" s="73"/>
      <c r="SGG11" s="73"/>
      <c r="SGH11" s="73"/>
      <c r="SGI11" s="73"/>
      <c r="SGJ11" s="73"/>
      <c r="SGK11" s="73"/>
      <c r="SGL11" s="73"/>
      <c r="SGM11" s="73"/>
      <c r="SGN11" s="73"/>
      <c r="SGO11" s="73"/>
      <c r="SGP11" s="73"/>
      <c r="SGQ11" s="73"/>
      <c r="SGR11" s="73"/>
      <c r="SGS11" s="73"/>
      <c r="SGT11" s="73"/>
      <c r="SGU11" s="73"/>
      <c r="SGV11" s="73"/>
      <c r="SGW11" s="73"/>
      <c r="SGX11" s="73"/>
      <c r="SGY11" s="73"/>
      <c r="SGZ11" s="73"/>
      <c r="SHA11" s="73"/>
      <c r="SHB11" s="73"/>
      <c r="SHC11" s="73"/>
      <c r="SHD11" s="73"/>
      <c r="SHE11" s="73"/>
      <c r="SHF11" s="73"/>
      <c r="SHG11" s="73"/>
      <c r="SHH11" s="73"/>
      <c r="SHI11" s="73"/>
      <c r="SHJ11" s="73"/>
      <c r="SHK11" s="73"/>
      <c r="SHL11" s="73"/>
      <c r="SHM11" s="73"/>
      <c r="SHN11" s="73"/>
      <c r="SHO11" s="73"/>
      <c r="SHP11" s="73"/>
      <c r="SHQ11" s="73"/>
      <c r="SHR11" s="73"/>
      <c r="SHS11" s="73"/>
      <c r="SHT11" s="73"/>
      <c r="SHU11" s="73"/>
      <c r="SHV11" s="73"/>
      <c r="SHW11" s="73"/>
      <c r="SHX11" s="73"/>
      <c r="SHY11" s="73"/>
      <c r="SHZ11" s="73"/>
      <c r="SIA11" s="73"/>
      <c r="SIB11" s="73"/>
      <c r="SIC11" s="73"/>
      <c r="SID11" s="73"/>
      <c r="SIE11" s="73"/>
      <c r="SIF11" s="73"/>
      <c r="SIG11" s="73"/>
      <c r="SIH11" s="73"/>
      <c r="SII11" s="73"/>
      <c r="SIJ11" s="73"/>
      <c r="SIK11" s="73"/>
      <c r="SIL11" s="73"/>
      <c r="SIM11" s="73"/>
      <c r="SIN11" s="73"/>
      <c r="SIO11" s="73"/>
      <c r="SIP11" s="73"/>
      <c r="SIQ11" s="73"/>
      <c r="SIR11" s="73"/>
      <c r="SIS11" s="73"/>
      <c r="SIT11" s="73"/>
      <c r="SIU11" s="73"/>
      <c r="SIV11" s="73"/>
      <c r="SIW11" s="73"/>
      <c r="SIX11" s="73"/>
      <c r="SIY11" s="73"/>
      <c r="SIZ11" s="73"/>
      <c r="SJA11" s="73"/>
      <c r="SJB11" s="73"/>
      <c r="SJC11" s="73"/>
      <c r="SJD11" s="73"/>
      <c r="SJE11" s="73"/>
      <c r="SJF11" s="73"/>
      <c r="SJG11" s="73"/>
      <c r="SJH11" s="73"/>
      <c r="SJI11" s="73"/>
      <c r="SJJ11" s="73"/>
      <c r="SJK11" s="73"/>
      <c r="SJL11" s="73"/>
      <c r="SJM11" s="73"/>
      <c r="SJN11" s="73"/>
      <c r="SJO11" s="73"/>
      <c r="SJP11" s="73"/>
      <c r="SJQ11" s="73"/>
      <c r="SJR11" s="73"/>
      <c r="SJS11" s="73"/>
      <c r="SJT11" s="73"/>
      <c r="SJU11" s="73"/>
      <c r="SJV11" s="73"/>
      <c r="SJW11" s="73"/>
      <c r="SJX11" s="73"/>
      <c r="SJY11" s="73"/>
      <c r="SJZ11" s="73"/>
      <c r="SKA11" s="73"/>
      <c r="SKB11" s="73"/>
      <c r="SKC11" s="73"/>
      <c r="SKD11" s="73"/>
      <c r="SKE11" s="73"/>
      <c r="SKF11" s="73"/>
      <c r="SKG11" s="73"/>
      <c r="SKH11" s="73"/>
      <c r="SKI11" s="73"/>
      <c r="SKJ11" s="73"/>
      <c r="SKK11" s="73"/>
      <c r="SKL11" s="73"/>
      <c r="SKM11" s="73"/>
      <c r="SKN11" s="73"/>
      <c r="SKO11" s="73"/>
      <c r="SKP11" s="73"/>
      <c r="SKQ11" s="73"/>
      <c r="SKR11" s="73"/>
      <c r="SKS11" s="73"/>
      <c r="SKT11" s="73"/>
      <c r="SKU11" s="73"/>
      <c r="SKV11" s="73"/>
      <c r="SKW11" s="73"/>
      <c r="SKX11" s="73"/>
      <c r="SKY11" s="73"/>
      <c r="SKZ11" s="73"/>
      <c r="SLA11" s="73"/>
      <c r="SLB11" s="73"/>
      <c r="SLC11" s="73"/>
      <c r="SLD11" s="73"/>
      <c r="SLE11" s="73"/>
      <c r="SLF11" s="73"/>
      <c r="SLG11" s="73"/>
      <c r="SLH11" s="73"/>
      <c r="SLI11" s="73"/>
      <c r="SLJ11" s="73"/>
      <c r="SLK11" s="73"/>
      <c r="SLL11" s="73"/>
      <c r="SLM11" s="73"/>
      <c r="SLN11" s="73"/>
      <c r="SLO11" s="73"/>
      <c r="SLP11" s="73"/>
      <c r="SLQ11" s="73"/>
      <c r="SLR11" s="73"/>
      <c r="SLS11" s="73"/>
      <c r="SLT11" s="73"/>
      <c r="SLU11" s="73"/>
      <c r="SLV11" s="73"/>
      <c r="SLW11" s="73"/>
      <c r="SLX11" s="73"/>
      <c r="SLY11" s="73"/>
      <c r="SLZ11" s="73"/>
      <c r="SMA11" s="73"/>
      <c r="SMB11" s="73"/>
      <c r="SMC11" s="73"/>
      <c r="SMD11" s="73"/>
      <c r="SME11" s="73"/>
      <c r="SMF11" s="73"/>
      <c r="SMG11" s="73"/>
      <c r="SMH11" s="73"/>
      <c r="SMI11" s="73"/>
      <c r="SMJ11" s="73"/>
      <c r="SMK11" s="73"/>
      <c r="SML11" s="73"/>
      <c r="SMM11" s="73"/>
      <c r="SMN11" s="73"/>
      <c r="SMO11" s="73"/>
      <c r="SMP11" s="73"/>
      <c r="SMQ11" s="73"/>
      <c r="SMR11" s="73"/>
      <c r="SMS11" s="73"/>
      <c r="SMT11" s="73"/>
      <c r="SMU11" s="73"/>
      <c r="SMV11" s="73"/>
      <c r="SMW11" s="73"/>
      <c r="SMX11" s="73"/>
      <c r="SMY11" s="73"/>
      <c r="SMZ11" s="73"/>
      <c r="SNA11" s="73"/>
      <c r="SNB11" s="73"/>
      <c r="SNC11" s="73"/>
      <c r="SND11" s="73"/>
      <c r="SNE11" s="73"/>
      <c r="SNF11" s="73"/>
      <c r="SNG11" s="73"/>
      <c r="SNH11" s="73"/>
      <c r="SNI11" s="73"/>
      <c r="SNJ11" s="73"/>
      <c r="SNK11" s="73"/>
      <c r="SNL11" s="73"/>
      <c r="SNM11" s="73"/>
      <c r="SNN11" s="73"/>
      <c r="SNO11" s="73"/>
      <c r="SNP11" s="73"/>
      <c r="SNQ11" s="73"/>
      <c r="SNR11" s="73"/>
      <c r="SNS11" s="73"/>
      <c r="SNT11" s="73"/>
      <c r="SNU11" s="73"/>
      <c r="SNV11" s="73"/>
      <c r="SNW11" s="73"/>
      <c r="SNX11" s="73"/>
      <c r="SNY11" s="73"/>
      <c r="SNZ11" s="73"/>
      <c r="SOA11" s="73"/>
      <c r="SOB11" s="73"/>
      <c r="SOC11" s="73"/>
      <c r="SOD11" s="73"/>
      <c r="SOE11" s="73"/>
      <c r="SOF11" s="73"/>
      <c r="SOG11" s="73"/>
      <c r="SOH11" s="73"/>
      <c r="SOI11" s="73"/>
      <c r="SOJ11" s="73"/>
      <c r="SOK11" s="73"/>
      <c r="SOL11" s="73"/>
      <c r="SOM11" s="73"/>
      <c r="SON11" s="73"/>
      <c r="SOO11" s="73"/>
      <c r="SOP11" s="73"/>
      <c r="SOQ11" s="73"/>
      <c r="SOR11" s="73"/>
      <c r="SOS11" s="73"/>
      <c r="SOT11" s="73"/>
      <c r="SOU11" s="73"/>
      <c r="SOV11" s="73"/>
      <c r="SOW11" s="73"/>
      <c r="SOX11" s="73"/>
      <c r="SOY11" s="73"/>
      <c r="SOZ11" s="73"/>
      <c r="SPA11" s="73"/>
      <c r="SPB11" s="73"/>
      <c r="SPC11" s="73"/>
      <c r="SPD11" s="73"/>
      <c r="SPE11" s="73"/>
      <c r="SPF11" s="73"/>
      <c r="SPG11" s="73"/>
      <c r="SPH11" s="73"/>
      <c r="SPI11" s="73"/>
      <c r="SPJ11" s="73"/>
      <c r="SPK11" s="73"/>
      <c r="SPL11" s="73"/>
      <c r="SPM11" s="73"/>
      <c r="SPN11" s="73"/>
      <c r="SPO11" s="73"/>
      <c r="SPP11" s="73"/>
      <c r="SPQ11" s="73"/>
      <c r="SPR11" s="73"/>
      <c r="SPS11" s="73"/>
      <c r="SPT11" s="73"/>
      <c r="SPU11" s="73"/>
      <c r="SPV11" s="73"/>
      <c r="SPW11" s="73"/>
      <c r="SPX11" s="73"/>
      <c r="SPY11" s="73"/>
      <c r="SPZ11" s="73"/>
      <c r="SQA11" s="73"/>
      <c r="SQB11" s="73"/>
      <c r="SQC11" s="73"/>
      <c r="SQD11" s="73"/>
      <c r="SQE11" s="73"/>
      <c r="SQF11" s="73"/>
      <c r="SQG11" s="73"/>
      <c r="SQH11" s="73"/>
      <c r="SQI11" s="73"/>
      <c r="SQJ11" s="73"/>
      <c r="SQK11" s="73"/>
      <c r="SQL11" s="73"/>
      <c r="SQM11" s="73"/>
      <c r="SQN11" s="73"/>
      <c r="SQO11" s="73"/>
      <c r="SQP11" s="73"/>
      <c r="SQQ11" s="73"/>
      <c r="SQR11" s="73"/>
      <c r="SQS11" s="73"/>
      <c r="SQT11" s="73"/>
      <c r="SQU11" s="73"/>
      <c r="SQV11" s="73"/>
      <c r="SQW11" s="73"/>
      <c r="SQX11" s="73"/>
      <c r="SQY11" s="73"/>
      <c r="SQZ11" s="73"/>
      <c r="SRA11" s="73"/>
      <c r="SRB11" s="73"/>
      <c r="SRC11" s="73"/>
      <c r="SRD11" s="73"/>
      <c r="SRE11" s="73"/>
      <c r="SRF11" s="73"/>
      <c r="SRG11" s="73"/>
      <c r="SRH11" s="73"/>
      <c r="SRI11" s="73"/>
      <c r="SRJ11" s="73"/>
      <c r="SRK11" s="73"/>
      <c r="SRL11" s="73"/>
      <c r="SRM11" s="73"/>
      <c r="SRN11" s="73"/>
      <c r="SRO11" s="73"/>
      <c r="SRP11" s="73"/>
      <c r="SRQ11" s="73"/>
      <c r="SRR11" s="73"/>
      <c r="SRS11" s="73"/>
      <c r="SRT11" s="73"/>
      <c r="SRU11" s="73"/>
      <c r="SRV11" s="73"/>
      <c r="SRW11" s="73"/>
      <c r="SRX11" s="73"/>
      <c r="SRY11" s="73"/>
      <c r="SRZ11" s="73"/>
      <c r="SSA11" s="73"/>
      <c r="SSB11" s="73"/>
      <c r="SSC11" s="73"/>
      <c r="SSD11" s="73"/>
      <c r="SSE11" s="73"/>
      <c r="SSF11" s="73"/>
      <c r="SSG11" s="73"/>
      <c r="SSH11" s="73"/>
      <c r="SSI11" s="73"/>
      <c r="SSJ11" s="73"/>
      <c r="SSK11" s="73"/>
      <c r="SSL11" s="73"/>
      <c r="SSM11" s="73"/>
      <c r="SSN11" s="73"/>
      <c r="SSO11" s="73"/>
      <c r="SSP11" s="73"/>
      <c r="SSQ11" s="73"/>
      <c r="SSR11" s="73"/>
      <c r="SSS11" s="73"/>
      <c r="SST11" s="73"/>
      <c r="SSU11" s="73"/>
      <c r="SSV11" s="73"/>
      <c r="SSW11" s="73"/>
      <c r="SSX11" s="73"/>
      <c r="SSY11" s="73"/>
      <c r="SSZ11" s="73"/>
      <c r="STA11" s="73"/>
      <c r="STB11" s="73"/>
      <c r="STC11" s="73"/>
      <c r="STD11" s="73"/>
      <c r="STE11" s="73"/>
      <c r="STF11" s="73"/>
      <c r="STG11" s="73"/>
      <c r="STH11" s="73"/>
      <c r="STI11" s="73"/>
      <c r="STJ11" s="73"/>
      <c r="STK11" s="73"/>
      <c r="STL11" s="73"/>
      <c r="STM11" s="73"/>
      <c r="STN11" s="73"/>
      <c r="STO11" s="73"/>
      <c r="STP11" s="73"/>
      <c r="STQ11" s="73"/>
      <c r="STR11" s="73"/>
      <c r="STS11" s="73"/>
      <c r="STT11" s="73"/>
      <c r="STU11" s="73"/>
      <c r="STV11" s="73"/>
      <c r="STW11" s="73"/>
      <c r="STX11" s="73"/>
      <c r="STY11" s="73"/>
      <c r="STZ11" s="73"/>
      <c r="SUA11" s="73"/>
      <c r="SUB11" s="73"/>
      <c r="SUC11" s="73"/>
      <c r="SUD11" s="73"/>
      <c r="SUE11" s="73"/>
      <c r="SUF11" s="73"/>
      <c r="SUG11" s="73"/>
      <c r="SUH11" s="73"/>
      <c r="SUI11" s="73"/>
      <c r="SUJ11" s="73"/>
      <c r="SUK11" s="73"/>
      <c r="SUL11" s="73"/>
      <c r="SUM11" s="73"/>
      <c r="SUN11" s="73"/>
      <c r="SUO11" s="73"/>
      <c r="SUP11" s="73"/>
      <c r="SUQ11" s="73"/>
      <c r="SUR11" s="73"/>
      <c r="SUS11" s="73"/>
      <c r="SUT11" s="73"/>
      <c r="SUU11" s="73"/>
      <c r="SUV11" s="73"/>
      <c r="SUW11" s="73"/>
      <c r="SUX11" s="73"/>
      <c r="SUY11" s="73"/>
      <c r="SUZ11" s="73"/>
      <c r="SVA11" s="73"/>
      <c r="SVB11" s="73"/>
      <c r="SVC11" s="73"/>
      <c r="SVD11" s="73"/>
      <c r="SVE11" s="73"/>
      <c r="SVF11" s="73"/>
      <c r="SVG11" s="73"/>
      <c r="SVH11" s="73"/>
      <c r="SVI11" s="73"/>
      <c r="SVJ11" s="73"/>
      <c r="SVK11" s="73"/>
      <c r="SVL11" s="73"/>
      <c r="SVM11" s="73"/>
      <c r="SVN11" s="73"/>
      <c r="SVO11" s="73"/>
      <c r="SVP11" s="73"/>
      <c r="SVQ11" s="73"/>
      <c r="SVR11" s="73"/>
      <c r="SVS11" s="73"/>
      <c r="SVT11" s="73"/>
      <c r="SVU11" s="73"/>
      <c r="SVV11" s="73"/>
      <c r="SVW11" s="73"/>
      <c r="SVX11" s="73"/>
      <c r="SVY11" s="73"/>
      <c r="SVZ11" s="73"/>
      <c r="SWA11" s="73"/>
      <c r="SWB11" s="73"/>
      <c r="SWC11" s="73"/>
      <c r="SWD11" s="73"/>
      <c r="SWE11" s="73"/>
      <c r="SWF11" s="73"/>
      <c r="SWG11" s="73"/>
      <c r="SWH11" s="73"/>
      <c r="SWI11" s="73"/>
      <c r="SWJ11" s="73"/>
      <c r="SWK11" s="73"/>
      <c r="SWL11" s="73"/>
      <c r="SWM11" s="73"/>
      <c r="SWN11" s="73"/>
      <c r="SWO11" s="73"/>
      <c r="SWP11" s="73"/>
      <c r="SWQ11" s="73"/>
      <c r="SWR11" s="73"/>
      <c r="SWS11" s="73"/>
      <c r="SWT11" s="73"/>
      <c r="SWU11" s="73"/>
      <c r="SWV11" s="73"/>
      <c r="SWW11" s="73"/>
      <c r="SWX11" s="73"/>
      <c r="SWY11" s="73"/>
      <c r="SWZ11" s="73"/>
      <c r="SXA11" s="73"/>
      <c r="SXB11" s="73"/>
      <c r="SXC11" s="73"/>
      <c r="SXD11" s="73"/>
      <c r="SXE11" s="73"/>
      <c r="SXF11" s="73"/>
      <c r="SXG11" s="73"/>
      <c r="SXH11" s="73"/>
      <c r="SXI11" s="73"/>
      <c r="SXJ11" s="73"/>
      <c r="SXK11" s="73"/>
      <c r="SXL11" s="73"/>
      <c r="SXM11" s="73"/>
      <c r="SXN11" s="73"/>
      <c r="SXO11" s="73"/>
      <c r="SXP11" s="73"/>
      <c r="SXQ11" s="73"/>
      <c r="SXR11" s="73"/>
      <c r="SXS11" s="73"/>
      <c r="SXT11" s="73"/>
      <c r="SXU11" s="73"/>
      <c r="SXV11" s="73"/>
      <c r="SXW11" s="73"/>
      <c r="SXX11" s="73"/>
      <c r="SXY11" s="73"/>
      <c r="SXZ11" s="73"/>
      <c r="SYA11" s="73"/>
      <c r="SYB11" s="73"/>
      <c r="SYC11" s="73"/>
      <c r="SYD11" s="73"/>
      <c r="SYE11" s="73"/>
      <c r="SYF11" s="73"/>
      <c r="SYG11" s="73"/>
      <c r="SYH11" s="73"/>
      <c r="SYI11" s="73"/>
      <c r="SYJ11" s="73"/>
      <c r="SYK11" s="73"/>
      <c r="SYL11" s="73"/>
      <c r="SYM11" s="73"/>
      <c r="SYN11" s="73"/>
      <c r="SYO11" s="73"/>
      <c r="SYP11" s="73"/>
      <c r="SYQ11" s="73"/>
      <c r="SYR11" s="73"/>
      <c r="SYS11" s="73"/>
      <c r="SYT11" s="73"/>
      <c r="SYU11" s="73"/>
      <c r="SYV11" s="73"/>
      <c r="SYW11" s="73"/>
      <c r="SYX11" s="73"/>
      <c r="SYY11" s="73"/>
      <c r="SYZ11" s="73"/>
      <c r="SZA11" s="73"/>
      <c r="SZB11" s="73"/>
      <c r="SZC11" s="73"/>
      <c r="SZD11" s="73"/>
      <c r="SZE11" s="73"/>
      <c r="SZF11" s="73"/>
      <c r="SZG11" s="73"/>
      <c r="SZH11" s="73"/>
      <c r="SZI11" s="73"/>
      <c r="SZJ11" s="73"/>
      <c r="SZK11" s="73"/>
      <c r="SZL11" s="73"/>
      <c r="SZM11" s="73"/>
      <c r="SZN11" s="73"/>
      <c r="SZO11" s="73"/>
      <c r="SZP11" s="73"/>
      <c r="SZQ11" s="73"/>
      <c r="SZR11" s="73"/>
      <c r="SZS11" s="73"/>
      <c r="SZT11" s="73"/>
      <c r="SZU11" s="73"/>
      <c r="SZV11" s="73"/>
      <c r="SZW11" s="73"/>
      <c r="SZX11" s="73"/>
      <c r="SZY11" s="73"/>
      <c r="SZZ11" s="73"/>
      <c r="TAA11" s="73"/>
      <c r="TAB11" s="73"/>
      <c r="TAC11" s="73"/>
      <c r="TAD11" s="73"/>
      <c r="TAE11" s="73"/>
      <c r="TAF11" s="73"/>
      <c r="TAG11" s="73"/>
      <c r="TAH11" s="73"/>
      <c r="TAI11" s="73"/>
      <c r="TAJ11" s="73"/>
      <c r="TAK11" s="73"/>
      <c r="TAL11" s="73"/>
      <c r="TAM11" s="73"/>
      <c r="TAN11" s="73"/>
      <c r="TAO11" s="73"/>
      <c r="TAP11" s="73"/>
      <c r="TAQ11" s="73"/>
      <c r="TAR11" s="73"/>
      <c r="TAS11" s="73"/>
      <c r="TAT11" s="73"/>
      <c r="TAU11" s="73"/>
      <c r="TAV11" s="73"/>
      <c r="TAW11" s="73"/>
      <c r="TAX11" s="73"/>
      <c r="TAY11" s="73"/>
      <c r="TAZ11" s="73"/>
      <c r="TBA11" s="73"/>
      <c r="TBB11" s="73"/>
      <c r="TBC11" s="73"/>
      <c r="TBD11" s="73"/>
      <c r="TBE11" s="73"/>
      <c r="TBF11" s="73"/>
      <c r="TBG11" s="73"/>
      <c r="TBH11" s="73"/>
      <c r="TBI11" s="73"/>
      <c r="TBJ11" s="73"/>
      <c r="TBK11" s="73"/>
      <c r="TBL11" s="73"/>
      <c r="TBM11" s="73"/>
      <c r="TBN11" s="73"/>
      <c r="TBO11" s="73"/>
      <c r="TBP11" s="73"/>
      <c r="TBQ11" s="73"/>
      <c r="TBR11" s="73"/>
      <c r="TBS11" s="73"/>
      <c r="TBT11" s="73"/>
      <c r="TBU11" s="73"/>
      <c r="TBV11" s="73"/>
      <c r="TBW11" s="73"/>
      <c r="TBX11" s="73"/>
      <c r="TBY11" s="73"/>
      <c r="TBZ11" s="73"/>
      <c r="TCA11" s="73"/>
      <c r="TCB11" s="73"/>
      <c r="TCC11" s="73"/>
      <c r="TCD11" s="73"/>
      <c r="TCE11" s="73"/>
      <c r="TCF11" s="73"/>
      <c r="TCG11" s="73"/>
      <c r="TCH11" s="73"/>
      <c r="TCI11" s="73"/>
      <c r="TCJ11" s="73"/>
      <c r="TCK11" s="73"/>
      <c r="TCL11" s="73"/>
      <c r="TCM11" s="73"/>
      <c r="TCN11" s="73"/>
      <c r="TCO11" s="73"/>
      <c r="TCP11" s="73"/>
      <c r="TCQ11" s="73"/>
      <c r="TCR11" s="73"/>
      <c r="TCS11" s="73"/>
      <c r="TCT11" s="73"/>
      <c r="TCU11" s="73"/>
      <c r="TCV11" s="73"/>
      <c r="TCW11" s="73"/>
      <c r="TCX11" s="73"/>
      <c r="TCY11" s="73"/>
      <c r="TCZ11" s="73"/>
      <c r="TDA11" s="73"/>
      <c r="TDB11" s="73"/>
      <c r="TDC11" s="73"/>
      <c r="TDD11" s="73"/>
      <c r="TDE11" s="73"/>
      <c r="TDF11" s="73"/>
      <c r="TDG11" s="73"/>
      <c r="TDH11" s="73"/>
      <c r="TDI11" s="73"/>
      <c r="TDJ11" s="73"/>
      <c r="TDK11" s="73"/>
      <c r="TDL11" s="73"/>
      <c r="TDM11" s="73"/>
      <c r="TDN11" s="73"/>
      <c r="TDO11" s="73"/>
      <c r="TDP11" s="73"/>
      <c r="TDQ11" s="73"/>
      <c r="TDR11" s="73"/>
      <c r="TDS11" s="73"/>
      <c r="TDT11" s="73"/>
      <c r="TDU11" s="73"/>
      <c r="TDV11" s="73"/>
      <c r="TDW11" s="73"/>
      <c r="TDX11" s="73"/>
      <c r="TDY11" s="73"/>
      <c r="TDZ11" s="73"/>
      <c r="TEA11" s="73"/>
      <c r="TEB11" s="73"/>
      <c r="TEC11" s="73"/>
      <c r="TED11" s="73"/>
      <c r="TEE11" s="73"/>
      <c r="TEF11" s="73"/>
      <c r="TEG11" s="73"/>
      <c r="TEH11" s="73"/>
      <c r="TEI11" s="73"/>
      <c r="TEJ11" s="73"/>
      <c r="TEK11" s="73"/>
      <c r="TEL11" s="73"/>
      <c r="TEM11" s="73"/>
      <c r="TEN11" s="73"/>
      <c r="TEO11" s="73"/>
      <c r="TEP11" s="73"/>
      <c r="TEQ11" s="73"/>
      <c r="TER11" s="73"/>
      <c r="TES11" s="73"/>
      <c r="TET11" s="73"/>
      <c r="TEU11" s="73"/>
      <c r="TEV11" s="73"/>
      <c r="TEW11" s="73"/>
      <c r="TEX11" s="73"/>
      <c r="TEY11" s="73"/>
      <c r="TEZ11" s="73"/>
      <c r="TFA11" s="73"/>
      <c r="TFB11" s="73"/>
      <c r="TFC11" s="73"/>
      <c r="TFD11" s="73"/>
      <c r="TFE11" s="73"/>
      <c r="TFF11" s="73"/>
      <c r="TFG11" s="73"/>
      <c r="TFH11" s="73"/>
      <c r="TFI11" s="73"/>
      <c r="TFJ11" s="73"/>
      <c r="TFK11" s="73"/>
      <c r="TFL11" s="73"/>
      <c r="TFM11" s="73"/>
      <c r="TFN11" s="73"/>
      <c r="TFO11" s="73"/>
      <c r="TFP11" s="73"/>
      <c r="TFQ11" s="73"/>
      <c r="TFR11" s="73"/>
      <c r="TFS11" s="73"/>
      <c r="TFT11" s="73"/>
      <c r="TFU11" s="73"/>
      <c r="TFV11" s="73"/>
      <c r="TFW11" s="73"/>
      <c r="TFX11" s="73"/>
      <c r="TFY11" s="73"/>
      <c r="TFZ11" s="73"/>
      <c r="TGA11" s="73"/>
      <c r="TGB11" s="73"/>
      <c r="TGC11" s="73"/>
      <c r="TGD11" s="73"/>
      <c r="TGE11" s="73"/>
      <c r="TGF11" s="73"/>
      <c r="TGG11" s="73"/>
      <c r="TGH11" s="73"/>
      <c r="TGI11" s="73"/>
      <c r="TGJ11" s="73"/>
      <c r="TGK11" s="73"/>
      <c r="TGL11" s="73"/>
      <c r="TGM11" s="73"/>
      <c r="TGN11" s="73"/>
      <c r="TGO11" s="73"/>
      <c r="TGP11" s="73"/>
      <c r="TGQ11" s="73"/>
      <c r="TGR11" s="73"/>
      <c r="TGS11" s="73"/>
      <c r="TGT11" s="73"/>
      <c r="TGU11" s="73"/>
      <c r="TGV11" s="73"/>
      <c r="TGW11" s="73"/>
      <c r="TGX11" s="73"/>
      <c r="TGY11" s="73"/>
      <c r="TGZ11" s="73"/>
      <c r="THA11" s="73"/>
      <c r="THB11" s="73"/>
      <c r="THC11" s="73"/>
      <c r="THD11" s="73"/>
      <c r="THE11" s="73"/>
      <c r="THF11" s="73"/>
      <c r="THG11" s="73"/>
      <c r="THH11" s="73"/>
      <c r="THI11" s="73"/>
      <c r="THJ11" s="73"/>
      <c r="THK11" s="73"/>
      <c r="THL11" s="73"/>
      <c r="THM11" s="73"/>
      <c r="THN11" s="73"/>
      <c r="THO11" s="73"/>
      <c r="THP11" s="73"/>
      <c r="THQ11" s="73"/>
      <c r="THR11" s="73"/>
      <c r="THS11" s="73"/>
      <c r="THT11" s="73"/>
      <c r="THU11" s="73"/>
      <c r="THV11" s="73"/>
      <c r="THW11" s="73"/>
      <c r="THX11" s="73"/>
      <c r="THY11" s="73"/>
      <c r="THZ11" s="73"/>
      <c r="TIA11" s="73"/>
      <c r="TIB11" s="73"/>
      <c r="TIC11" s="73"/>
      <c r="TID11" s="73"/>
      <c r="TIE11" s="73"/>
      <c r="TIF11" s="73"/>
      <c r="TIG11" s="73"/>
      <c r="TIH11" s="73"/>
      <c r="TII11" s="73"/>
      <c r="TIJ11" s="73"/>
      <c r="TIK11" s="73"/>
      <c r="TIL11" s="73"/>
      <c r="TIM11" s="73"/>
      <c r="TIN11" s="73"/>
      <c r="TIO11" s="73"/>
      <c r="TIP11" s="73"/>
      <c r="TIQ11" s="73"/>
      <c r="TIR11" s="73"/>
      <c r="TIS11" s="73"/>
      <c r="TIT11" s="73"/>
      <c r="TIU11" s="73"/>
      <c r="TIV11" s="73"/>
      <c r="TIW11" s="73"/>
      <c r="TIX11" s="73"/>
      <c r="TIY11" s="73"/>
      <c r="TIZ11" s="73"/>
      <c r="TJA11" s="73"/>
      <c r="TJB11" s="73"/>
      <c r="TJC11" s="73"/>
      <c r="TJD11" s="73"/>
      <c r="TJE11" s="73"/>
      <c r="TJF11" s="73"/>
      <c r="TJG11" s="73"/>
      <c r="TJH11" s="73"/>
      <c r="TJI11" s="73"/>
      <c r="TJJ11" s="73"/>
      <c r="TJK11" s="73"/>
      <c r="TJL11" s="73"/>
      <c r="TJM11" s="73"/>
      <c r="TJN11" s="73"/>
      <c r="TJO11" s="73"/>
      <c r="TJP11" s="73"/>
      <c r="TJQ11" s="73"/>
      <c r="TJR11" s="73"/>
      <c r="TJS11" s="73"/>
      <c r="TJT11" s="73"/>
      <c r="TJU11" s="73"/>
      <c r="TJV11" s="73"/>
      <c r="TJW11" s="73"/>
      <c r="TJX11" s="73"/>
      <c r="TJY11" s="73"/>
      <c r="TJZ11" s="73"/>
      <c r="TKA11" s="73"/>
      <c r="TKB11" s="73"/>
      <c r="TKC11" s="73"/>
      <c r="TKD11" s="73"/>
      <c r="TKE11" s="73"/>
      <c r="TKF11" s="73"/>
      <c r="TKG11" s="73"/>
      <c r="TKH11" s="73"/>
      <c r="TKI11" s="73"/>
      <c r="TKJ11" s="73"/>
      <c r="TKK11" s="73"/>
      <c r="TKL11" s="73"/>
      <c r="TKM11" s="73"/>
      <c r="TKN11" s="73"/>
      <c r="TKO11" s="73"/>
      <c r="TKP11" s="73"/>
      <c r="TKQ11" s="73"/>
      <c r="TKR11" s="73"/>
      <c r="TKS11" s="73"/>
      <c r="TKT11" s="73"/>
      <c r="TKU11" s="73"/>
      <c r="TKV11" s="73"/>
      <c r="TKW11" s="73"/>
      <c r="TKX11" s="73"/>
      <c r="TKY11" s="73"/>
      <c r="TKZ11" s="73"/>
      <c r="TLA11" s="73"/>
      <c r="TLB11" s="73"/>
      <c r="TLC11" s="73"/>
      <c r="TLD11" s="73"/>
      <c r="TLE11" s="73"/>
      <c r="TLF11" s="73"/>
      <c r="TLG11" s="73"/>
      <c r="TLH11" s="73"/>
      <c r="TLI11" s="73"/>
      <c r="TLJ11" s="73"/>
      <c r="TLK11" s="73"/>
      <c r="TLL11" s="73"/>
      <c r="TLM11" s="73"/>
      <c r="TLN11" s="73"/>
      <c r="TLO11" s="73"/>
      <c r="TLP11" s="73"/>
      <c r="TLQ11" s="73"/>
      <c r="TLR11" s="73"/>
      <c r="TLS11" s="73"/>
      <c r="TLT11" s="73"/>
      <c r="TLU11" s="73"/>
      <c r="TLV11" s="73"/>
      <c r="TLW11" s="73"/>
      <c r="TLX11" s="73"/>
      <c r="TLY11" s="73"/>
      <c r="TLZ11" s="73"/>
      <c r="TMA11" s="73"/>
      <c r="TMB11" s="73"/>
      <c r="TMC11" s="73"/>
      <c r="TMD11" s="73"/>
      <c r="TME11" s="73"/>
      <c r="TMF11" s="73"/>
      <c r="TMG11" s="73"/>
      <c r="TMH11" s="73"/>
      <c r="TMI11" s="73"/>
      <c r="TMJ11" s="73"/>
      <c r="TMK11" s="73"/>
      <c r="TML11" s="73"/>
      <c r="TMM11" s="73"/>
      <c r="TMN11" s="73"/>
      <c r="TMO11" s="73"/>
      <c r="TMP11" s="73"/>
      <c r="TMQ11" s="73"/>
      <c r="TMR11" s="73"/>
      <c r="TMS11" s="73"/>
      <c r="TMT11" s="73"/>
      <c r="TMU11" s="73"/>
      <c r="TMV11" s="73"/>
      <c r="TMW11" s="73"/>
      <c r="TMX11" s="73"/>
      <c r="TMY11" s="73"/>
      <c r="TMZ11" s="73"/>
      <c r="TNA11" s="73"/>
      <c r="TNB11" s="73"/>
      <c r="TNC11" s="73"/>
      <c r="TND11" s="73"/>
      <c r="TNE11" s="73"/>
      <c r="TNF11" s="73"/>
      <c r="TNG11" s="73"/>
      <c r="TNH11" s="73"/>
      <c r="TNI11" s="73"/>
      <c r="TNJ11" s="73"/>
      <c r="TNK11" s="73"/>
      <c r="TNL11" s="73"/>
      <c r="TNM11" s="73"/>
      <c r="TNN11" s="73"/>
      <c r="TNO11" s="73"/>
      <c r="TNP11" s="73"/>
      <c r="TNQ11" s="73"/>
      <c r="TNR11" s="73"/>
      <c r="TNS11" s="73"/>
      <c r="TNT11" s="73"/>
      <c r="TNU11" s="73"/>
      <c r="TNV11" s="73"/>
      <c r="TNW11" s="73"/>
      <c r="TNX11" s="73"/>
      <c r="TNY11" s="73"/>
      <c r="TNZ11" s="73"/>
      <c r="TOA11" s="73"/>
      <c r="TOB11" s="73"/>
      <c r="TOC11" s="73"/>
      <c r="TOD11" s="73"/>
      <c r="TOE11" s="73"/>
      <c r="TOF11" s="73"/>
      <c r="TOG11" s="73"/>
      <c r="TOH11" s="73"/>
      <c r="TOI11" s="73"/>
      <c r="TOJ11" s="73"/>
      <c r="TOK11" s="73"/>
      <c r="TOL11" s="73"/>
      <c r="TOM11" s="73"/>
      <c r="TON11" s="73"/>
      <c r="TOO11" s="73"/>
      <c r="TOP11" s="73"/>
      <c r="TOQ11" s="73"/>
      <c r="TOR11" s="73"/>
      <c r="TOS11" s="73"/>
      <c r="TOT11" s="73"/>
      <c r="TOU11" s="73"/>
      <c r="TOV11" s="73"/>
      <c r="TOW11" s="73"/>
      <c r="TOX11" s="73"/>
      <c r="TOY11" s="73"/>
      <c r="TOZ11" s="73"/>
      <c r="TPA11" s="73"/>
      <c r="TPB11" s="73"/>
      <c r="TPC11" s="73"/>
      <c r="TPD11" s="73"/>
      <c r="TPE11" s="73"/>
      <c r="TPF11" s="73"/>
      <c r="TPG11" s="73"/>
      <c r="TPH11" s="73"/>
      <c r="TPI11" s="73"/>
      <c r="TPJ11" s="73"/>
      <c r="TPK11" s="73"/>
      <c r="TPL11" s="73"/>
      <c r="TPM11" s="73"/>
      <c r="TPN11" s="73"/>
      <c r="TPO11" s="73"/>
      <c r="TPP11" s="73"/>
      <c r="TPQ11" s="73"/>
      <c r="TPR11" s="73"/>
      <c r="TPS11" s="73"/>
      <c r="TPT11" s="73"/>
      <c r="TPU11" s="73"/>
      <c r="TPV11" s="73"/>
      <c r="TPW11" s="73"/>
      <c r="TPX11" s="73"/>
      <c r="TPY11" s="73"/>
      <c r="TPZ11" s="73"/>
      <c r="TQA11" s="73"/>
      <c r="TQB11" s="73"/>
      <c r="TQC11" s="73"/>
      <c r="TQD11" s="73"/>
      <c r="TQE11" s="73"/>
      <c r="TQF11" s="73"/>
      <c r="TQG11" s="73"/>
      <c r="TQH11" s="73"/>
      <c r="TQI11" s="73"/>
      <c r="TQJ11" s="73"/>
      <c r="TQK11" s="73"/>
      <c r="TQL11" s="73"/>
      <c r="TQM11" s="73"/>
      <c r="TQN11" s="73"/>
      <c r="TQO11" s="73"/>
      <c r="TQP11" s="73"/>
      <c r="TQQ11" s="73"/>
      <c r="TQR11" s="73"/>
      <c r="TQS11" s="73"/>
      <c r="TQT11" s="73"/>
      <c r="TQU11" s="73"/>
      <c r="TQV11" s="73"/>
      <c r="TQW11" s="73"/>
      <c r="TQX11" s="73"/>
      <c r="TQY11" s="73"/>
      <c r="TQZ11" s="73"/>
      <c r="TRA11" s="73"/>
      <c r="TRB11" s="73"/>
      <c r="TRC11" s="73"/>
      <c r="TRD11" s="73"/>
      <c r="TRE11" s="73"/>
      <c r="TRF11" s="73"/>
      <c r="TRG11" s="73"/>
      <c r="TRH11" s="73"/>
      <c r="TRI11" s="73"/>
      <c r="TRJ11" s="73"/>
      <c r="TRK11" s="73"/>
      <c r="TRL11" s="73"/>
      <c r="TRM11" s="73"/>
      <c r="TRN11" s="73"/>
      <c r="TRO11" s="73"/>
      <c r="TRP11" s="73"/>
      <c r="TRQ11" s="73"/>
      <c r="TRR11" s="73"/>
      <c r="TRS11" s="73"/>
      <c r="TRT11" s="73"/>
      <c r="TRU11" s="73"/>
      <c r="TRV11" s="73"/>
      <c r="TRW11" s="73"/>
      <c r="TRX11" s="73"/>
      <c r="TRY11" s="73"/>
      <c r="TRZ11" s="73"/>
      <c r="TSA11" s="73"/>
      <c r="TSB11" s="73"/>
      <c r="TSC11" s="73"/>
      <c r="TSD11" s="73"/>
      <c r="TSE11" s="73"/>
      <c r="TSF11" s="73"/>
      <c r="TSG11" s="73"/>
      <c r="TSH11" s="73"/>
      <c r="TSI11" s="73"/>
      <c r="TSJ11" s="73"/>
      <c r="TSK11" s="73"/>
      <c r="TSL11" s="73"/>
      <c r="TSM11" s="73"/>
      <c r="TSN11" s="73"/>
      <c r="TSO11" s="73"/>
      <c r="TSP11" s="73"/>
      <c r="TSQ11" s="73"/>
      <c r="TSR11" s="73"/>
      <c r="TSS11" s="73"/>
      <c r="TST11" s="73"/>
      <c r="TSU11" s="73"/>
      <c r="TSV11" s="73"/>
      <c r="TSW11" s="73"/>
      <c r="TSX11" s="73"/>
      <c r="TSY11" s="73"/>
      <c r="TSZ11" s="73"/>
      <c r="TTA11" s="73"/>
      <c r="TTB11" s="73"/>
      <c r="TTC11" s="73"/>
      <c r="TTD11" s="73"/>
      <c r="TTE11" s="73"/>
      <c r="TTF11" s="73"/>
      <c r="TTG11" s="73"/>
      <c r="TTH11" s="73"/>
      <c r="TTI11" s="73"/>
      <c r="TTJ11" s="73"/>
      <c r="TTK11" s="73"/>
      <c r="TTL11" s="73"/>
      <c r="TTM11" s="73"/>
      <c r="TTN11" s="73"/>
      <c r="TTO11" s="73"/>
      <c r="TTP11" s="73"/>
      <c r="TTQ11" s="73"/>
      <c r="TTR11" s="73"/>
      <c r="TTS11" s="73"/>
      <c r="TTT11" s="73"/>
      <c r="TTU11" s="73"/>
      <c r="TTV11" s="73"/>
      <c r="TTW11" s="73"/>
      <c r="TTX11" s="73"/>
      <c r="TTY11" s="73"/>
      <c r="TTZ11" s="73"/>
      <c r="TUA11" s="73"/>
      <c r="TUB11" s="73"/>
      <c r="TUC11" s="73"/>
      <c r="TUD11" s="73"/>
      <c r="TUE11" s="73"/>
      <c r="TUF11" s="73"/>
      <c r="TUG11" s="73"/>
      <c r="TUH11" s="73"/>
      <c r="TUI11" s="73"/>
      <c r="TUJ11" s="73"/>
      <c r="TUK11" s="73"/>
      <c r="TUL11" s="73"/>
      <c r="TUM11" s="73"/>
      <c r="TUN11" s="73"/>
      <c r="TUO11" s="73"/>
      <c r="TUP11" s="73"/>
      <c r="TUQ11" s="73"/>
      <c r="TUR11" s="73"/>
      <c r="TUS11" s="73"/>
      <c r="TUT11" s="73"/>
      <c r="TUU11" s="73"/>
      <c r="TUV11" s="73"/>
      <c r="TUW11" s="73"/>
      <c r="TUX11" s="73"/>
      <c r="TUY11" s="73"/>
      <c r="TUZ11" s="73"/>
      <c r="TVA11" s="73"/>
      <c r="TVB11" s="73"/>
      <c r="TVC11" s="73"/>
      <c r="TVD11" s="73"/>
      <c r="TVE11" s="73"/>
      <c r="TVF11" s="73"/>
      <c r="TVG11" s="73"/>
      <c r="TVH11" s="73"/>
      <c r="TVI11" s="73"/>
      <c r="TVJ11" s="73"/>
      <c r="TVK11" s="73"/>
      <c r="TVL11" s="73"/>
      <c r="TVM11" s="73"/>
      <c r="TVN11" s="73"/>
      <c r="TVO11" s="73"/>
      <c r="TVP11" s="73"/>
      <c r="TVQ11" s="73"/>
      <c r="TVR11" s="73"/>
      <c r="TVS11" s="73"/>
      <c r="TVT11" s="73"/>
      <c r="TVU11" s="73"/>
      <c r="TVV11" s="73"/>
      <c r="TVW11" s="73"/>
      <c r="TVX11" s="73"/>
      <c r="TVY11" s="73"/>
      <c r="TVZ11" s="73"/>
      <c r="TWA11" s="73"/>
      <c r="TWB11" s="73"/>
      <c r="TWC11" s="73"/>
      <c r="TWD11" s="73"/>
      <c r="TWE11" s="73"/>
      <c r="TWF11" s="73"/>
      <c r="TWG11" s="73"/>
      <c r="TWH11" s="73"/>
      <c r="TWI11" s="73"/>
      <c r="TWJ11" s="73"/>
      <c r="TWK11" s="73"/>
      <c r="TWL11" s="73"/>
      <c r="TWM11" s="73"/>
      <c r="TWN11" s="73"/>
      <c r="TWO11" s="73"/>
      <c r="TWP11" s="73"/>
      <c r="TWQ11" s="73"/>
      <c r="TWR11" s="73"/>
      <c r="TWS11" s="73"/>
      <c r="TWT11" s="73"/>
      <c r="TWU11" s="73"/>
      <c r="TWV11" s="73"/>
      <c r="TWW11" s="73"/>
      <c r="TWX11" s="73"/>
      <c r="TWY11" s="73"/>
      <c r="TWZ11" s="73"/>
      <c r="TXA11" s="73"/>
      <c r="TXB11" s="73"/>
      <c r="TXC11" s="73"/>
      <c r="TXD11" s="73"/>
      <c r="TXE11" s="73"/>
      <c r="TXF11" s="73"/>
      <c r="TXG11" s="73"/>
      <c r="TXH11" s="73"/>
      <c r="TXI11" s="73"/>
      <c r="TXJ11" s="73"/>
      <c r="TXK11" s="73"/>
      <c r="TXL11" s="73"/>
      <c r="TXM11" s="73"/>
      <c r="TXN11" s="73"/>
      <c r="TXO11" s="73"/>
      <c r="TXP11" s="73"/>
      <c r="TXQ11" s="73"/>
      <c r="TXR11" s="73"/>
      <c r="TXS11" s="73"/>
      <c r="TXT11" s="73"/>
      <c r="TXU11" s="73"/>
      <c r="TXV11" s="73"/>
      <c r="TXW11" s="73"/>
      <c r="TXX11" s="73"/>
      <c r="TXY11" s="73"/>
      <c r="TXZ11" s="73"/>
      <c r="TYA11" s="73"/>
      <c r="TYB11" s="73"/>
      <c r="TYC11" s="73"/>
      <c r="TYD11" s="73"/>
      <c r="TYE11" s="73"/>
      <c r="TYF11" s="73"/>
      <c r="TYG11" s="73"/>
      <c r="TYH11" s="73"/>
      <c r="TYI11" s="73"/>
      <c r="TYJ11" s="73"/>
      <c r="TYK11" s="73"/>
      <c r="TYL11" s="73"/>
      <c r="TYM11" s="73"/>
      <c r="TYN11" s="73"/>
      <c r="TYO11" s="73"/>
      <c r="TYP11" s="73"/>
      <c r="TYQ11" s="73"/>
      <c r="TYR11" s="73"/>
      <c r="TYS11" s="73"/>
      <c r="TYT11" s="73"/>
      <c r="TYU11" s="73"/>
      <c r="TYV11" s="73"/>
      <c r="TYW11" s="73"/>
      <c r="TYX11" s="73"/>
      <c r="TYY11" s="73"/>
      <c r="TYZ11" s="73"/>
      <c r="TZA11" s="73"/>
      <c r="TZB11" s="73"/>
      <c r="TZC11" s="73"/>
      <c r="TZD11" s="73"/>
      <c r="TZE11" s="73"/>
      <c r="TZF11" s="73"/>
      <c r="TZG11" s="73"/>
      <c r="TZH11" s="73"/>
      <c r="TZI11" s="73"/>
      <c r="TZJ11" s="73"/>
      <c r="TZK11" s="73"/>
      <c r="TZL11" s="73"/>
      <c r="TZM11" s="73"/>
      <c r="TZN11" s="73"/>
      <c r="TZO11" s="73"/>
      <c r="TZP11" s="73"/>
      <c r="TZQ11" s="73"/>
      <c r="TZR11" s="73"/>
      <c r="TZS11" s="73"/>
      <c r="TZT11" s="73"/>
      <c r="TZU11" s="73"/>
      <c r="TZV11" s="73"/>
      <c r="TZW11" s="73"/>
      <c r="TZX11" s="73"/>
      <c r="TZY11" s="73"/>
      <c r="TZZ11" s="73"/>
      <c r="UAA11" s="73"/>
      <c r="UAB11" s="73"/>
      <c r="UAC11" s="73"/>
      <c r="UAD11" s="73"/>
      <c r="UAE11" s="73"/>
      <c r="UAF11" s="73"/>
      <c r="UAG11" s="73"/>
      <c r="UAH11" s="73"/>
      <c r="UAI11" s="73"/>
      <c r="UAJ11" s="73"/>
      <c r="UAK11" s="73"/>
      <c r="UAL11" s="73"/>
      <c r="UAM11" s="73"/>
      <c r="UAN11" s="73"/>
      <c r="UAO11" s="73"/>
      <c r="UAP11" s="73"/>
      <c r="UAQ11" s="73"/>
      <c r="UAR11" s="73"/>
      <c r="UAS11" s="73"/>
      <c r="UAT11" s="73"/>
      <c r="UAU11" s="73"/>
      <c r="UAV11" s="73"/>
      <c r="UAW11" s="73"/>
      <c r="UAX11" s="73"/>
      <c r="UAY11" s="73"/>
      <c r="UAZ11" s="73"/>
      <c r="UBA11" s="73"/>
      <c r="UBB11" s="73"/>
      <c r="UBC11" s="73"/>
      <c r="UBD11" s="73"/>
      <c r="UBE11" s="73"/>
      <c r="UBF11" s="73"/>
      <c r="UBG11" s="73"/>
      <c r="UBH11" s="73"/>
      <c r="UBI11" s="73"/>
      <c r="UBJ11" s="73"/>
      <c r="UBK11" s="73"/>
      <c r="UBL11" s="73"/>
      <c r="UBM11" s="73"/>
      <c r="UBN11" s="73"/>
      <c r="UBO11" s="73"/>
      <c r="UBP11" s="73"/>
      <c r="UBQ11" s="73"/>
      <c r="UBR11" s="73"/>
      <c r="UBS11" s="73"/>
      <c r="UBT11" s="73"/>
      <c r="UBU11" s="73"/>
      <c r="UBV11" s="73"/>
      <c r="UBW11" s="73"/>
      <c r="UBX11" s="73"/>
      <c r="UBY11" s="73"/>
      <c r="UBZ11" s="73"/>
      <c r="UCA11" s="73"/>
      <c r="UCB11" s="73"/>
      <c r="UCC11" s="73"/>
      <c r="UCD11" s="73"/>
      <c r="UCE11" s="73"/>
      <c r="UCF11" s="73"/>
      <c r="UCG11" s="73"/>
      <c r="UCH11" s="73"/>
      <c r="UCI11" s="73"/>
      <c r="UCJ11" s="73"/>
      <c r="UCK11" s="73"/>
      <c r="UCL11" s="73"/>
      <c r="UCM11" s="73"/>
      <c r="UCN11" s="73"/>
      <c r="UCO11" s="73"/>
      <c r="UCP11" s="73"/>
      <c r="UCQ11" s="73"/>
      <c r="UCR11" s="73"/>
      <c r="UCS11" s="73"/>
      <c r="UCT11" s="73"/>
      <c r="UCU11" s="73"/>
      <c r="UCV11" s="73"/>
      <c r="UCW11" s="73"/>
      <c r="UCX11" s="73"/>
      <c r="UCY11" s="73"/>
      <c r="UCZ11" s="73"/>
      <c r="UDA11" s="73"/>
      <c r="UDB11" s="73"/>
      <c r="UDC11" s="73"/>
      <c r="UDD11" s="73"/>
      <c r="UDE11" s="73"/>
      <c r="UDF11" s="73"/>
      <c r="UDG11" s="73"/>
      <c r="UDH11" s="73"/>
      <c r="UDI11" s="73"/>
      <c r="UDJ11" s="73"/>
      <c r="UDK11" s="73"/>
      <c r="UDL11" s="73"/>
      <c r="UDM11" s="73"/>
      <c r="UDN11" s="73"/>
      <c r="UDO11" s="73"/>
      <c r="UDP11" s="73"/>
      <c r="UDQ11" s="73"/>
      <c r="UDR11" s="73"/>
      <c r="UDS11" s="73"/>
      <c r="UDT11" s="73"/>
      <c r="UDU11" s="73"/>
      <c r="UDV11" s="73"/>
      <c r="UDW11" s="73"/>
      <c r="UDX11" s="73"/>
      <c r="UDY11" s="73"/>
      <c r="UDZ11" s="73"/>
      <c r="UEA11" s="73"/>
      <c r="UEB11" s="73"/>
      <c r="UEC11" s="73"/>
      <c r="UED11" s="73"/>
      <c r="UEE11" s="73"/>
      <c r="UEF11" s="73"/>
      <c r="UEG11" s="73"/>
      <c r="UEH11" s="73"/>
      <c r="UEI11" s="73"/>
      <c r="UEJ11" s="73"/>
      <c r="UEK11" s="73"/>
      <c r="UEL11" s="73"/>
      <c r="UEM11" s="73"/>
      <c r="UEN11" s="73"/>
      <c r="UEO11" s="73"/>
      <c r="UEP11" s="73"/>
      <c r="UEQ11" s="73"/>
      <c r="UER11" s="73"/>
      <c r="UES11" s="73"/>
      <c r="UET11" s="73"/>
      <c r="UEU11" s="73"/>
      <c r="UEV11" s="73"/>
      <c r="UEW11" s="73"/>
      <c r="UEX11" s="73"/>
      <c r="UEY11" s="73"/>
      <c r="UEZ11" s="73"/>
      <c r="UFA11" s="73"/>
      <c r="UFB11" s="73"/>
      <c r="UFC11" s="73"/>
      <c r="UFD11" s="73"/>
      <c r="UFE11" s="73"/>
      <c r="UFF11" s="73"/>
      <c r="UFG11" s="73"/>
      <c r="UFH11" s="73"/>
      <c r="UFI11" s="73"/>
      <c r="UFJ11" s="73"/>
      <c r="UFK11" s="73"/>
      <c r="UFL11" s="73"/>
      <c r="UFM11" s="73"/>
      <c r="UFN11" s="73"/>
      <c r="UFO11" s="73"/>
      <c r="UFP11" s="73"/>
      <c r="UFQ11" s="73"/>
      <c r="UFR11" s="73"/>
      <c r="UFS11" s="73"/>
      <c r="UFT11" s="73"/>
      <c r="UFU11" s="73"/>
      <c r="UFV11" s="73"/>
      <c r="UFW11" s="73"/>
      <c r="UFX11" s="73"/>
      <c r="UFY11" s="73"/>
      <c r="UFZ11" s="73"/>
      <c r="UGA11" s="73"/>
      <c r="UGB11" s="73"/>
      <c r="UGC11" s="73"/>
      <c r="UGD11" s="73"/>
      <c r="UGE11" s="73"/>
      <c r="UGF11" s="73"/>
      <c r="UGG11" s="73"/>
      <c r="UGH11" s="73"/>
      <c r="UGI11" s="73"/>
      <c r="UGJ11" s="73"/>
      <c r="UGK11" s="73"/>
      <c r="UGL11" s="73"/>
      <c r="UGM11" s="73"/>
      <c r="UGN11" s="73"/>
      <c r="UGO11" s="73"/>
      <c r="UGP11" s="73"/>
      <c r="UGQ11" s="73"/>
      <c r="UGR11" s="73"/>
      <c r="UGS11" s="73"/>
      <c r="UGT11" s="73"/>
      <c r="UGU11" s="73"/>
      <c r="UGV11" s="73"/>
      <c r="UGW11" s="73"/>
      <c r="UGX11" s="73"/>
      <c r="UGY11" s="73"/>
      <c r="UGZ11" s="73"/>
      <c r="UHA11" s="73"/>
      <c r="UHB11" s="73"/>
      <c r="UHC11" s="73"/>
      <c r="UHD11" s="73"/>
      <c r="UHE11" s="73"/>
      <c r="UHF11" s="73"/>
      <c r="UHG11" s="73"/>
      <c r="UHH11" s="73"/>
      <c r="UHI11" s="73"/>
      <c r="UHJ11" s="73"/>
      <c r="UHK11" s="73"/>
      <c r="UHL11" s="73"/>
      <c r="UHM11" s="73"/>
      <c r="UHN11" s="73"/>
      <c r="UHO11" s="73"/>
      <c r="UHP11" s="73"/>
      <c r="UHQ11" s="73"/>
      <c r="UHR11" s="73"/>
      <c r="UHS11" s="73"/>
      <c r="UHT11" s="73"/>
      <c r="UHU11" s="73"/>
      <c r="UHV11" s="73"/>
      <c r="UHW11" s="73"/>
      <c r="UHX11" s="73"/>
      <c r="UHY11" s="73"/>
      <c r="UHZ11" s="73"/>
      <c r="UIA11" s="73"/>
      <c r="UIB11" s="73"/>
      <c r="UIC11" s="73"/>
      <c r="UID11" s="73"/>
      <c r="UIE11" s="73"/>
      <c r="UIF11" s="73"/>
      <c r="UIG11" s="73"/>
      <c r="UIH11" s="73"/>
      <c r="UII11" s="73"/>
      <c r="UIJ11" s="73"/>
      <c r="UIK11" s="73"/>
      <c r="UIL11" s="73"/>
      <c r="UIM11" s="73"/>
      <c r="UIN11" s="73"/>
      <c r="UIO11" s="73"/>
      <c r="UIP11" s="73"/>
      <c r="UIQ11" s="73"/>
      <c r="UIR11" s="73"/>
      <c r="UIS11" s="73"/>
      <c r="UIT11" s="73"/>
      <c r="UIU11" s="73"/>
      <c r="UIV11" s="73"/>
      <c r="UIW11" s="73"/>
      <c r="UIX11" s="73"/>
      <c r="UIY11" s="73"/>
      <c r="UIZ11" s="73"/>
      <c r="UJA11" s="73"/>
      <c r="UJB11" s="73"/>
      <c r="UJC11" s="73"/>
      <c r="UJD11" s="73"/>
      <c r="UJE11" s="73"/>
      <c r="UJF11" s="73"/>
      <c r="UJG11" s="73"/>
      <c r="UJH11" s="73"/>
      <c r="UJI11" s="73"/>
      <c r="UJJ11" s="73"/>
      <c r="UJK11" s="73"/>
      <c r="UJL11" s="73"/>
      <c r="UJM11" s="73"/>
      <c r="UJN11" s="73"/>
      <c r="UJO11" s="73"/>
      <c r="UJP11" s="73"/>
      <c r="UJQ11" s="73"/>
      <c r="UJR11" s="73"/>
      <c r="UJS11" s="73"/>
      <c r="UJT11" s="73"/>
      <c r="UJU11" s="73"/>
      <c r="UJV11" s="73"/>
      <c r="UJW11" s="73"/>
      <c r="UJX11" s="73"/>
      <c r="UJY11" s="73"/>
      <c r="UJZ11" s="73"/>
      <c r="UKA11" s="73"/>
      <c r="UKB11" s="73"/>
      <c r="UKC11" s="73"/>
      <c r="UKD11" s="73"/>
      <c r="UKE11" s="73"/>
      <c r="UKF11" s="73"/>
      <c r="UKG11" s="73"/>
      <c r="UKH11" s="73"/>
      <c r="UKI11" s="73"/>
      <c r="UKJ11" s="73"/>
      <c r="UKK11" s="73"/>
      <c r="UKL11" s="73"/>
      <c r="UKM11" s="73"/>
      <c r="UKN11" s="73"/>
      <c r="UKO11" s="73"/>
      <c r="UKP11" s="73"/>
      <c r="UKQ11" s="73"/>
      <c r="UKR11" s="73"/>
      <c r="UKS11" s="73"/>
      <c r="UKT11" s="73"/>
      <c r="UKU11" s="73"/>
      <c r="UKV11" s="73"/>
      <c r="UKW11" s="73"/>
      <c r="UKX11" s="73"/>
      <c r="UKY11" s="73"/>
      <c r="UKZ11" s="73"/>
      <c r="ULA11" s="73"/>
      <c r="ULB11" s="73"/>
      <c r="ULC11" s="73"/>
      <c r="ULD11" s="73"/>
      <c r="ULE11" s="73"/>
      <c r="ULF11" s="73"/>
      <c r="ULG11" s="73"/>
      <c r="ULH11" s="73"/>
      <c r="ULI11" s="73"/>
      <c r="ULJ11" s="73"/>
      <c r="ULK11" s="73"/>
      <c r="ULL11" s="73"/>
      <c r="ULM11" s="73"/>
      <c r="ULN11" s="73"/>
      <c r="ULO11" s="73"/>
      <c r="ULP11" s="73"/>
      <c r="ULQ11" s="73"/>
      <c r="ULR11" s="73"/>
      <c r="ULS11" s="73"/>
      <c r="ULT11" s="73"/>
      <c r="ULU11" s="73"/>
      <c r="ULV11" s="73"/>
      <c r="ULW11" s="73"/>
      <c r="ULX11" s="73"/>
      <c r="ULY11" s="73"/>
      <c r="ULZ11" s="73"/>
      <c r="UMA11" s="73"/>
      <c r="UMB11" s="73"/>
      <c r="UMC11" s="73"/>
      <c r="UMD11" s="73"/>
      <c r="UME11" s="73"/>
      <c r="UMF11" s="73"/>
      <c r="UMG11" s="73"/>
      <c r="UMH11" s="73"/>
      <c r="UMI11" s="73"/>
      <c r="UMJ11" s="73"/>
      <c r="UMK11" s="73"/>
      <c r="UML11" s="73"/>
      <c r="UMM11" s="73"/>
      <c r="UMN11" s="73"/>
      <c r="UMO11" s="73"/>
      <c r="UMP11" s="73"/>
      <c r="UMQ11" s="73"/>
      <c r="UMR11" s="73"/>
      <c r="UMS11" s="73"/>
      <c r="UMT11" s="73"/>
      <c r="UMU11" s="73"/>
      <c r="UMV11" s="73"/>
      <c r="UMW11" s="73"/>
      <c r="UMX11" s="73"/>
      <c r="UMY11" s="73"/>
      <c r="UMZ11" s="73"/>
      <c r="UNA11" s="73"/>
      <c r="UNB11" s="73"/>
      <c r="UNC11" s="73"/>
      <c r="UND11" s="73"/>
      <c r="UNE11" s="73"/>
      <c r="UNF11" s="73"/>
      <c r="UNG11" s="73"/>
      <c r="UNH11" s="73"/>
      <c r="UNI11" s="73"/>
      <c r="UNJ11" s="73"/>
      <c r="UNK11" s="73"/>
      <c r="UNL11" s="73"/>
      <c r="UNM11" s="73"/>
      <c r="UNN11" s="73"/>
      <c r="UNO11" s="73"/>
      <c r="UNP11" s="73"/>
      <c r="UNQ11" s="73"/>
      <c r="UNR11" s="73"/>
      <c r="UNS11" s="73"/>
      <c r="UNT11" s="73"/>
      <c r="UNU11" s="73"/>
      <c r="UNV11" s="73"/>
      <c r="UNW11" s="73"/>
      <c r="UNX11" s="73"/>
      <c r="UNY11" s="73"/>
      <c r="UNZ11" s="73"/>
      <c r="UOA11" s="73"/>
      <c r="UOB11" s="73"/>
      <c r="UOC11" s="73"/>
      <c r="UOD11" s="73"/>
      <c r="UOE11" s="73"/>
      <c r="UOF11" s="73"/>
      <c r="UOG11" s="73"/>
      <c r="UOH11" s="73"/>
      <c r="UOI11" s="73"/>
      <c r="UOJ11" s="73"/>
      <c r="UOK11" s="73"/>
      <c r="UOL11" s="73"/>
      <c r="UOM11" s="73"/>
      <c r="UON11" s="73"/>
      <c r="UOO11" s="73"/>
      <c r="UOP11" s="73"/>
      <c r="UOQ11" s="73"/>
      <c r="UOR11" s="73"/>
      <c r="UOS11" s="73"/>
      <c r="UOT11" s="73"/>
      <c r="UOU11" s="73"/>
      <c r="UOV11" s="73"/>
      <c r="UOW11" s="73"/>
      <c r="UOX11" s="73"/>
      <c r="UOY11" s="73"/>
      <c r="UOZ11" s="73"/>
      <c r="UPA11" s="73"/>
      <c r="UPB11" s="73"/>
      <c r="UPC11" s="73"/>
      <c r="UPD11" s="73"/>
      <c r="UPE11" s="73"/>
      <c r="UPF11" s="73"/>
      <c r="UPG11" s="73"/>
      <c r="UPH11" s="73"/>
      <c r="UPI11" s="73"/>
      <c r="UPJ11" s="73"/>
      <c r="UPK11" s="73"/>
      <c r="UPL11" s="73"/>
      <c r="UPM11" s="73"/>
      <c r="UPN11" s="73"/>
      <c r="UPO11" s="73"/>
      <c r="UPP11" s="73"/>
      <c r="UPQ11" s="73"/>
      <c r="UPR11" s="73"/>
      <c r="UPS11" s="73"/>
      <c r="UPT11" s="73"/>
      <c r="UPU11" s="73"/>
      <c r="UPV11" s="73"/>
      <c r="UPW11" s="73"/>
      <c r="UPX11" s="73"/>
      <c r="UPY11" s="73"/>
      <c r="UPZ11" s="73"/>
      <c r="UQA11" s="73"/>
      <c r="UQB11" s="73"/>
      <c r="UQC11" s="73"/>
      <c r="UQD11" s="73"/>
      <c r="UQE11" s="73"/>
      <c r="UQF11" s="73"/>
      <c r="UQG11" s="73"/>
      <c r="UQH11" s="73"/>
      <c r="UQI11" s="73"/>
      <c r="UQJ11" s="73"/>
      <c r="UQK11" s="73"/>
      <c r="UQL11" s="73"/>
      <c r="UQM11" s="73"/>
      <c r="UQN11" s="73"/>
      <c r="UQO11" s="73"/>
      <c r="UQP11" s="73"/>
      <c r="UQQ11" s="73"/>
      <c r="UQR11" s="73"/>
      <c r="UQS11" s="73"/>
      <c r="UQT11" s="73"/>
      <c r="UQU11" s="73"/>
      <c r="UQV11" s="73"/>
      <c r="UQW11" s="73"/>
      <c r="UQX11" s="73"/>
      <c r="UQY11" s="73"/>
      <c r="UQZ11" s="73"/>
      <c r="URA11" s="73"/>
      <c r="URB11" s="73"/>
      <c r="URC11" s="73"/>
      <c r="URD11" s="73"/>
      <c r="URE11" s="73"/>
      <c r="URF11" s="73"/>
      <c r="URG11" s="73"/>
      <c r="URH11" s="73"/>
      <c r="URI11" s="73"/>
      <c r="URJ11" s="73"/>
      <c r="URK11" s="73"/>
      <c r="URL11" s="73"/>
      <c r="URM11" s="73"/>
      <c r="URN11" s="73"/>
      <c r="URO11" s="73"/>
      <c r="URP11" s="73"/>
      <c r="URQ11" s="73"/>
      <c r="URR11" s="73"/>
      <c r="URS11" s="73"/>
      <c r="URT11" s="73"/>
      <c r="URU11" s="73"/>
      <c r="URV11" s="73"/>
      <c r="URW11" s="73"/>
      <c r="URX11" s="73"/>
      <c r="URY11" s="73"/>
      <c r="URZ11" s="73"/>
      <c r="USA11" s="73"/>
      <c r="USB11" s="73"/>
      <c r="USC11" s="73"/>
      <c r="USD11" s="73"/>
      <c r="USE11" s="73"/>
      <c r="USF11" s="73"/>
      <c r="USG11" s="73"/>
      <c r="USH11" s="73"/>
      <c r="USI11" s="73"/>
      <c r="USJ11" s="73"/>
      <c r="USK11" s="73"/>
      <c r="USL11" s="73"/>
      <c r="USM11" s="73"/>
      <c r="USN11" s="73"/>
      <c r="USO11" s="73"/>
      <c r="USP11" s="73"/>
      <c r="USQ11" s="73"/>
      <c r="USR11" s="73"/>
      <c r="USS11" s="73"/>
      <c r="UST11" s="73"/>
      <c r="USU11" s="73"/>
      <c r="USV11" s="73"/>
      <c r="USW11" s="73"/>
      <c r="USX11" s="73"/>
      <c r="USY11" s="73"/>
      <c r="USZ11" s="73"/>
      <c r="UTA11" s="73"/>
      <c r="UTB11" s="73"/>
      <c r="UTC11" s="73"/>
      <c r="UTD11" s="73"/>
      <c r="UTE11" s="73"/>
      <c r="UTF11" s="73"/>
      <c r="UTG11" s="73"/>
      <c r="UTH11" s="73"/>
      <c r="UTI11" s="73"/>
      <c r="UTJ11" s="73"/>
      <c r="UTK11" s="73"/>
      <c r="UTL11" s="73"/>
      <c r="UTM11" s="73"/>
      <c r="UTN11" s="73"/>
      <c r="UTO11" s="73"/>
      <c r="UTP11" s="73"/>
      <c r="UTQ11" s="73"/>
      <c r="UTR11" s="73"/>
      <c r="UTS11" s="73"/>
      <c r="UTT11" s="73"/>
      <c r="UTU11" s="73"/>
      <c r="UTV11" s="73"/>
      <c r="UTW11" s="73"/>
      <c r="UTX11" s="73"/>
      <c r="UTY11" s="73"/>
      <c r="UTZ11" s="73"/>
      <c r="UUA11" s="73"/>
      <c r="UUB11" s="73"/>
      <c r="UUC11" s="73"/>
      <c r="UUD11" s="73"/>
      <c r="UUE11" s="73"/>
      <c r="UUF11" s="73"/>
      <c r="UUG11" s="73"/>
      <c r="UUH11" s="73"/>
      <c r="UUI11" s="73"/>
      <c r="UUJ11" s="73"/>
      <c r="UUK11" s="73"/>
      <c r="UUL11" s="73"/>
      <c r="UUM11" s="73"/>
      <c r="UUN11" s="73"/>
      <c r="UUO11" s="73"/>
      <c r="UUP11" s="73"/>
      <c r="UUQ11" s="73"/>
      <c r="UUR11" s="73"/>
      <c r="UUS11" s="73"/>
      <c r="UUT11" s="73"/>
      <c r="UUU11" s="73"/>
      <c r="UUV11" s="73"/>
      <c r="UUW11" s="73"/>
      <c r="UUX11" s="73"/>
      <c r="UUY11" s="73"/>
      <c r="UUZ11" s="73"/>
      <c r="UVA11" s="73"/>
      <c r="UVB11" s="73"/>
      <c r="UVC11" s="73"/>
      <c r="UVD11" s="73"/>
      <c r="UVE11" s="73"/>
      <c r="UVF11" s="73"/>
      <c r="UVG11" s="73"/>
      <c r="UVH11" s="73"/>
      <c r="UVI11" s="73"/>
      <c r="UVJ11" s="73"/>
      <c r="UVK11" s="73"/>
      <c r="UVL11" s="73"/>
      <c r="UVM11" s="73"/>
      <c r="UVN11" s="73"/>
      <c r="UVO11" s="73"/>
      <c r="UVP11" s="73"/>
      <c r="UVQ11" s="73"/>
      <c r="UVR11" s="73"/>
      <c r="UVS11" s="73"/>
      <c r="UVT11" s="73"/>
      <c r="UVU11" s="73"/>
      <c r="UVV11" s="73"/>
      <c r="UVW11" s="73"/>
      <c r="UVX11" s="73"/>
      <c r="UVY11" s="73"/>
      <c r="UVZ11" s="73"/>
      <c r="UWA11" s="73"/>
      <c r="UWB11" s="73"/>
      <c r="UWC11" s="73"/>
      <c r="UWD11" s="73"/>
      <c r="UWE11" s="73"/>
      <c r="UWF11" s="73"/>
      <c r="UWG11" s="73"/>
      <c r="UWH11" s="73"/>
      <c r="UWI11" s="73"/>
      <c r="UWJ11" s="73"/>
      <c r="UWK11" s="73"/>
      <c r="UWL11" s="73"/>
      <c r="UWM11" s="73"/>
      <c r="UWN11" s="73"/>
      <c r="UWO11" s="73"/>
      <c r="UWP11" s="73"/>
      <c r="UWQ11" s="73"/>
      <c r="UWR11" s="73"/>
      <c r="UWS11" s="73"/>
      <c r="UWT11" s="73"/>
      <c r="UWU11" s="73"/>
      <c r="UWV11" s="73"/>
      <c r="UWW11" s="73"/>
      <c r="UWX11" s="73"/>
      <c r="UWY11" s="73"/>
      <c r="UWZ11" s="73"/>
      <c r="UXA11" s="73"/>
      <c r="UXB11" s="73"/>
      <c r="UXC11" s="73"/>
      <c r="UXD11" s="73"/>
      <c r="UXE11" s="73"/>
      <c r="UXF11" s="73"/>
      <c r="UXG11" s="73"/>
      <c r="UXH11" s="73"/>
      <c r="UXI11" s="73"/>
      <c r="UXJ11" s="73"/>
      <c r="UXK11" s="73"/>
      <c r="UXL11" s="73"/>
      <c r="UXM11" s="73"/>
      <c r="UXN11" s="73"/>
      <c r="UXO11" s="73"/>
      <c r="UXP11" s="73"/>
      <c r="UXQ11" s="73"/>
      <c r="UXR11" s="73"/>
      <c r="UXS11" s="73"/>
      <c r="UXT11" s="73"/>
      <c r="UXU11" s="73"/>
      <c r="UXV11" s="73"/>
      <c r="UXW11" s="73"/>
      <c r="UXX11" s="73"/>
      <c r="UXY11" s="73"/>
      <c r="UXZ11" s="73"/>
      <c r="UYA11" s="73"/>
      <c r="UYB11" s="73"/>
      <c r="UYC11" s="73"/>
      <c r="UYD11" s="73"/>
      <c r="UYE11" s="73"/>
      <c r="UYF11" s="73"/>
      <c r="UYG11" s="73"/>
      <c r="UYH11" s="73"/>
      <c r="UYI11" s="73"/>
      <c r="UYJ11" s="73"/>
      <c r="UYK11" s="73"/>
      <c r="UYL11" s="73"/>
      <c r="UYM11" s="73"/>
      <c r="UYN11" s="73"/>
      <c r="UYO11" s="73"/>
      <c r="UYP11" s="73"/>
      <c r="UYQ11" s="73"/>
      <c r="UYR11" s="73"/>
      <c r="UYS11" s="73"/>
      <c r="UYT11" s="73"/>
      <c r="UYU11" s="73"/>
      <c r="UYV11" s="73"/>
      <c r="UYW11" s="73"/>
      <c r="UYX11" s="73"/>
      <c r="UYY11" s="73"/>
      <c r="UYZ11" s="73"/>
      <c r="UZA11" s="73"/>
      <c r="UZB11" s="73"/>
      <c r="UZC11" s="73"/>
      <c r="UZD11" s="73"/>
      <c r="UZE11" s="73"/>
      <c r="UZF11" s="73"/>
      <c r="UZG11" s="73"/>
      <c r="UZH11" s="73"/>
      <c r="UZI11" s="73"/>
      <c r="UZJ11" s="73"/>
      <c r="UZK11" s="73"/>
      <c r="UZL11" s="73"/>
      <c r="UZM11" s="73"/>
      <c r="UZN11" s="73"/>
      <c r="UZO11" s="73"/>
      <c r="UZP11" s="73"/>
      <c r="UZQ11" s="73"/>
      <c r="UZR11" s="73"/>
      <c r="UZS11" s="73"/>
      <c r="UZT11" s="73"/>
      <c r="UZU11" s="73"/>
      <c r="UZV11" s="73"/>
      <c r="UZW11" s="73"/>
      <c r="UZX11" s="73"/>
      <c r="UZY11" s="73"/>
      <c r="UZZ11" s="73"/>
      <c r="VAA11" s="73"/>
      <c r="VAB11" s="73"/>
      <c r="VAC11" s="73"/>
      <c r="VAD11" s="73"/>
      <c r="VAE11" s="73"/>
      <c r="VAF11" s="73"/>
      <c r="VAG11" s="73"/>
      <c r="VAH11" s="73"/>
      <c r="VAI11" s="73"/>
      <c r="VAJ11" s="73"/>
      <c r="VAK11" s="73"/>
      <c r="VAL11" s="73"/>
      <c r="VAM11" s="73"/>
      <c r="VAN11" s="73"/>
      <c r="VAO11" s="73"/>
      <c r="VAP11" s="73"/>
      <c r="VAQ11" s="73"/>
      <c r="VAR11" s="73"/>
      <c r="VAS11" s="73"/>
      <c r="VAT11" s="73"/>
      <c r="VAU11" s="73"/>
      <c r="VAV11" s="73"/>
      <c r="VAW11" s="73"/>
      <c r="VAX11" s="73"/>
      <c r="VAY11" s="73"/>
      <c r="VAZ11" s="73"/>
      <c r="VBA11" s="73"/>
      <c r="VBB11" s="73"/>
      <c r="VBC11" s="73"/>
      <c r="VBD11" s="73"/>
      <c r="VBE11" s="73"/>
      <c r="VBF11" s="73"/>
      <c r="VBG11" s="73"/>
      <c r="VBH11" s="73"/>
      <c r="VBI11" s="73"/>
      <c r="VBJ11" s="73"/>
      <c r="VBK11" s="73"/>
      <c r="VBL11" s="73"/>
      <c r="VBM11" s="73"/>
      <c r="VBN11" s="73"/>
      <c r="VBO11" s="73"/>
      <c r="VBP11" s="73"/>
      <c r="VBQ11" s="73"/>
      <c r="VBR11" s="73"/>
      <c r="VBS11" s="73"/>
      <c r="VBT11" s="73"/>
      <c r="VBU11" s="73"/>
      <c r="VBV11" s="73"/>
      <c r="VBW11" s="73"/>
      <c r="VBX11" s="73"/>
      <c r="VBY11" s="73"/>
      <c r="VBZ11" s="73"/>
      <c r="VCA11" s="73"/>
      <c r="VCB11" s="73"/>
      <c r="VCC11" s="73"/>
      <c r="VCD11" s="73"/>
      <c r="VCE11" s="73"/>
      <c r="VCF11" s="73"/>
      <c r="VCG11" s="73"/>
      <c r="VCH11" s="73"/>
      <c r="VCI11" s="73"/>
      <c r="VCJ11" s="73"/>
      <c r="VCK11" s="73"/>
      <c r="VCL11" s="73"/>
      <c r="VCM11" s="73"/>
      <c r="VCN11" s="73"/>
      <c r="VCO11" s="73"/>
      <c r="VCP11" s="73"/>
      <c r="VCQ11" s="73"/>
      <c r="VCR11" s="73"/>
      <c r="VCS11" s="73"/>
      <c r="VCT11" s="73"/>
      <c r="VCU11" s="73"/>
      <c r="VCV11" s="73"/>
      <c r="VCW11" s="73"/>
      <c r="VCX11" s="73"/>
      <c r="VCY11" s="73"/>
      <c r="VCZ11" s="73"/>
      <c r="VDA11" s="73"/>
      <c r="VDB11" s="73"/>
      <c r="VDC11" s="73"/>
      <c r="VDD11" s="73"/>
      <c r="VDE11" s="73"/>
      <c r="VDF11" s="73"/>
      <c r="VDG11" s="73"/>
      <c r="VDH11" s="73"/>
      <c r="VDI11" s="73"/>
      <c r="VDJ11" s="73"/>
      <c r="VDK11" s="73"/>
      <c r="VDL11" s="73"/>
      <c r="VDM11" s="73"/>
      <c r="VDN11" s="73"/>
      <c r="VDO11" s="73"/>
      <c r="VDP11" s="73"/>
      <c r="VDQ11" s="73"/>
      <c r="VDR11" s="73"/>
      <c r="VDS11" s="73"/>
      <c r="VDT11" s="73"/>
      <c r="VDU11" s="73"/>
      <c r="VDV11" s="73"/>
      <c r="VDW11" s="73"/>
      <c r="VDX11" s="73"/>
      <c r="VDY11" s="73"/>
      <c r="VDZ11" s="73"/>
      <c r="VEA11" s="73"/>
      <c r="VEB11" s="73"/>
      <c r="VEC11" s="73"/>
      <c r="VED11" s="73"/>
      <c r="VEE11" s="73"/>
      <c r="VEF11" s="73"/>
      <c r="VEG11" s="73"/>
      <c r="VEH11" s="73"/>
      <c r="VEI11" s="73"/>
      <c r="VEJ11" s="73"/>
      <c r="VEK11" s="73"/>
      <c r="VEL11" s="73"/>
      <c r="VEM11" s="73"/>
      <c r="VEN11" s="73"/>
      <c r="VEO11" s="73"/>
      <c r="VEP11" s="73"/>
      <c r="VEQ11" s="73"/>
      <c r="VER11" s="73"/>
      <c r="VES11" s="73"/>
      <c r="VET11" s="73"/>
      <c r="VEU11" s="73"/>
      <c r="VEV11" s="73"/>
      <c r="VEW11" s="73"/>
      <c r="VEX11" s="73"/>
      <c r="VEY11" s="73"/>
      <c r="VEZ11" s="73"/>
      <c r="VFA11" s="73"/>
      <c r="VFB11" s="73"/>
      <c r="VFC11" s="73"/>
      <c r="VFD11" s="73"/>
      <c r="VFE11" s="73"/>
      <c r="VFF11" s="73"/>
      <c r="VFG11" s="73"/>
      <c r="VFH11" s="73"/>
      <c r="VFI11" s="73"/>
      <c r="VFJ11" s="73"/>
      <c r="VFK11" s="73"/>
      <c r="VFL11" s="73"/>
      <c r="VFM11" s="73"/>
      <c r="VFN11" s="73"/>
      <c r="VFO11" s="73"/>
      <c r="VFP11" s="73"/>
      <c r="VFQ11" s="73"/>
      <c r="VFR11" s="73"/>
      <c r="VFS11" s="73"/>
      <c r="VFT11" s="73"/>
      <c r="VFU11" s="73"/>
      <c r="VFV11" s="73"/>
      <c r="VFW11" s="73"/>
      <c r="VFX11" s="73"/>
      <c r="VFY11" s="73"/>
      <c r="VFZ11" s="73"/>
      <c r="VGA11" s="73"/>
      <c r="VGB11" s="73"/>
      <c r="VGC11" s="73"/>
      <c r="VGD11" s="73"/>
      <c r="VGE11" s="73"/>
      <c r="VGF11" s="73"/>
      <c r="VGG11" s="73"/>
      <c r="VGH11" s="73"/>
      <c r="VGI11" s="73"/>
      <c r="VGJ11" s="73"/>
      <c r="VGK11" s="73"/>
      <c r="VGL11" s="73"/>
      <c r="VGM11" s="73"/>
      <c r="VGN11" s="73"/>
      <c r="VGO11" s="73"/>
      <c r="VGP11" s="73"/>
      <c r="VGQ11" s="73"/>
      <c r="VGR11" s="73"/>
      <c r="VGS11" s="73"/>
      <c r="VGT11" s="73"/>
      <c r="VGU11" s="73"/>
      <c r="VGV11" s="73"/>
      <c r="VGW11" s="73"/>
      <c r="VGX11" s="73"/>
      <c r="VGY11" s="73"/>
      <c r="VGZ11" s="73"/>
      <c r="VHA11" s="73"/>
      <c r="VHB11" s="73"/>
      <c r="VHC11" s="73"/>
      <c r="VHD11" s="73"/>
      <c r="VHE11" s="73"/>
      <c r="VHF11" s="73"/>
      <c r="VHG11" s="73"/>
      <c r="VHH11" s="73"/>
      <c r="VHI11" s="73"/>
      <c r="VHJ11" s="73"/>
      <c r="VHK11" s="73"/>
      <c r="VHL11" s="73"/>
      <c r="VHM11" s="73"/>
      <c r="VHN11" s="73"/>
      <c r="VHO11" s="73"/>
      <c r="VHP11" s="73"/>
      <c r="VHQ11" s="73"/>
      <c r="VHR11" s="73"/>
      <c r="VHS11" s="73"/>
      <c r="VHT11" s="73"/>
      <c r="VHU11" s="73"/>
      <c r="VHV11" s="73"/>
      <c r="VHW11" s="73"/>
      <c r="VHX11" s="73"/>
      <c r="VHY11" s="73"/>
      <c r="VHZ11" s="73"/>
      <c r="VIA11" s="73"/>
      <c r="VIB11" s="73"/>
      <c r="VIC11" s="73"/>
      <c r="VID11" s="73"/>
      <c r="VIE11" s="73"/>
      <c r="VIF11" s="73"/>
      <c r="VIG11" s="73"/>
      <c r="VIH11" s="73"/>
      <c r="VII11" s="73"/>
      <c r="VIJ11" s="73"/>
      <c r="VIK11" s="73"/>
      <c r="VIL11" s="73"/>
      <c r="VIM11" s="73"/>
      <c r="VIN11" s="73"/>
      <c r="VIO11" s="73"/>
      <c r="VIP11" s="73"/>
      <c r="VIQ11" s="73"/>
      <c r="VIR11" s="73"/>
      <c r="VIS11" s="73"/>
      <c r="VIT11" s="73"/>
      <c r="VIU11" s="73"/>
      <c r="VIV11" s="73"/>
      <c r="VIW11" s="73"/>
      <c r="VIX11" s="73"/>
      <c r="VIY11" s="73"/>
      <c r="VIZ11" s="73"/>
      <c r="VJA11" s="73"/>
      <c r="VJB11" s="73"/>
      <c r="VJC11" s="73"/>
      <c r="VJD11" s="73"/>
      <c r="VJE11" s="73"/>
      <c r="VJF11" s="73"/>
      <c r="VJG11" s="73"/>
      <c r="VJH11" s="73"/>
      <c r="VJI11" s="73"/>
      <c r="VJJ11" s="73"/>
      <c r="VJK11" s="73"/>
      <c r="VJL11" s="73"/>
      <c r="VJM11" s="73"/>
      <c r="VJN11" s="73"/>
      <c r="VJO11" s="73"/>
      <c r="VJP11" s="73"/>
      <c r="VJQ11" s="73"/>
      <c r="VJR11" s="73"/>
      <c r="VJS11" s="73"/>
      <c r="VJT11" s="73"/>
      <c r="VJU11" s="73"/>
      <c r="VJV11" s="73"/>
      <c r="VJW11" s="73"/>
      <c r="VJX11" s="73"/>
      <c r="VJY11" s="73"/>
      <c r="VJZ11" s="73"/>
      <c r="VKA11" s="73"/>
      <c r="VKB11" s="73"/>
      <c r="VKC11" s="73"/>
      <c r="VKD11" s="73"/>
      <c r="VKE11" s="73"/>
      <c r="VKF11" s="73"/>
      <c r="VKG11" s="73"/>
      <c r="VKH11" s="73"/>
      <c r="VKI11" s="73"/>
      <c r="VKJ11" s="73"/>
      <c r="VKK11" s="73"/>
      <c r="VKL11" s="73"/>
      <c r="VKM11" s="73"/>
      <c r="VKN11" s="73"/>
      <c r="VKO11" s="73"/>
      <c r="VKP11" s="73"/>
      <c r="VKQ11" s="73"/>
      <c r="VKR11" s="73"/>
      <c r="VKS11" s="73"/>
      <c r="VKT11" s="73"/>
      <c r="VKU11" s="73"/>
      <c r="VKV11" s="73"/>
      <c r="VKW11" s="73"/>
      <c r="VKX11" s="73"/>
      <c r="VKY11" s="73"/>
      <c r="VKZ11" s="73"/>
      <c r="VLA11" s="73"/>
      <c r="VLB11" s="73"/>
      <c r="VLC11" s="73"/>
      <c r="VLD11" s="73"/>
      <c r="VLE11" s="73"/>
      <c r="VLF11" s="73"/>
      <c r="VLG11" s="73"/>
      <c r="VLH11" s="73"/>
      <c r="VLI11" s="73"/>
      <c r="VLJ11" s="73"/>
      <c r="VLK11" s="73"/>
      <c r="VLL11" s="73"/>
      <c r="VLM11" s="73"/>
      <c r="VLN11" s="73"/>
      <c r="VLO11" s="73"/>
      <c r="VLP11" s="73"/>
      <c r="VLQ11" s="73"/>
      <c r="VLR11" s="73"/>
      <c r="VLS11" s="73"/>
      <c r="VLT11" s="73"/>
      <c r="VLU11" s="73"/>
      <c r="VLV11" s="73"/>
      <c r="VLW11" s="73"/>
      <c r="VLX11" s="73"/>
      <c r="VLY11" s="73"/>
      <c r="VLZ11" s="73"/>
      <c r="VMA11" s="73"/>
      <c r="VMB11" s="73"/>
      <c r="VMC11" s="73"/>
      <c r="VMD11" s="73"/>
      <c r="VME11" s="73"/>
      <c r="VMF11" s="73"/>
      <c r="VMG11" s="73"/>
      <c r="VMH11" s="73"/>
      <c r="VMI11" s="73"/>
      <c r="VMJ11" s="73"/>
      <c r="VMK11" s="73"/>
      <c r="VML11" s="73"/>
      <c r="VMM11" s="73"/>
      <c r="VMN11" s="73"/>
      <c r="VMO11" s="73"/>
      <c r="VMP11" s="73"/>
      <c r="VMQ11" s="73"/>
      <c r="VMR11" s="73"/>
      <c r="VMS11" s="73"/>
      <c r="VMT11" s="73"/>
      <c r="VMU11" s="73"/>
      <c r="VMV11" s="73"/>
      <c r="VMW11" s="73"/>
      <c r="VMX11" s="73"/>
      <c r="VMY11" s="73"/>
      <c r="VMZ11" s="73"/>
      <c r="VNA11" s="73"/>
      <c r="VNB11" s="73"/>
      <c r="VNC11" s="73"/>
      <c r="VND11" s="73"/>
      <c r="VNE11" s="73"/>
      <c r="VNF11" s="73"/>
      <c r="VNG11" s="73"/>
      <c r="VNH11" s="73"/>
      <c r="VNI11" s="73"/>
      <c r="VNJ11" s="73"/>
      <c r="VNK11" s="73"/>
      <c r="VNL11" s="73"/>
      <c r="VNM11" s="73"/>
      <c r="VNN11" s="73"/>
      <c r="VNO11" s="73"/>
      <c r="VNP11" s="73"/>
      <c r="VNQ11" s="73"/>
      <c r="VNR11" s="73"/>
      <c r="VNS11" s="73"/>
      <c r="VNT11" s="73"/>
      <c r="VNU11" s="73"/>
      <c r="VNV11" s="73"/>
      <c r="VNW11" s="73"/>
      <c r="VNX11" s="73"/>
      <c r="VNY11" s="73"/>
      <c r="VNZ11" s="73"/>
      <c r="VOA11" s="73"/>
      <c r="VOB11" s="73"/>
      <c r="VOC11" s="73"/>
      <c r="VOD11" s="73"/>
      <c r="VOE11" s="73"/>
      <c r="VOF11" s="73"/>
      <c r="VOG11" s="73"/>
      <c r="VOH11" s="73"/>
      <c r="VOI11" s="73"/>
      <c r="VOJ11" s="73"/>
      <c r="VOK11" s="73"/>
      <c r="VOL11" s="73"/>
      <c r="VOM11" s="73"/>
      <c r="VON11" s="73"/>
      <c r="VOO11" s="73"/>
      <c r="VOP11" s="73"/>
      <c r="VOQ11" s="73"/>
      <c r="VOR11" s="73"/>
      <c r="VOS11" s="73"/>
      <c r="VOT11" s="73"/>
      <c r="VOU11" s="73"/>
      <c r="VOV11" s="73"/>
      <c r="VOW11" s="73"/>
      <c r="VOX11" s="73"/>
      <c r="VOY11" s="73"/>
      <c r="VOZ11" s="73"/>
      <c r="VPA11" s="73"/>
      <c r="VPB11" s="73"/>
      <c r="VPC11" s="73"/>
      <c r="VPD11" s="73"/>
      <c r="VPE11" s="73"/>
      <c r="VPF11" s="73"/>
      <c r="VPG11" s="73"/>
      <c r="VPH11" s="73"/>
      <c r="VPI11" s="73"/>
      <c r="VPJ11" s="73"/>
      <c r="VPK11" s="73"/>
      <c r="VPL11" s="73"/>
      <c r="VPM11" s="73"/>
      <c r="VPN11" s="73"/>
      <c r="VPO11" s="73"/>
      <c r="VPP11" s="73"/>
      <c r="VPQ11" s="73"/>
      <c r="VPR11" s="73"/>
      <c r="VPS11" s="73"/>
      <c r="VPT11" s="73"/>
      <c r="VPU11" s="73"/>
      <c r="VPV11" s="73"/>
      <c r="VPW11" s="73"/>
      <c r="VPX11" s="73"/>
      <c r="VPY11" s="73"/>
      <c r="VPZ11" s="73"/>
      <c r="VQA11" s="73"/>
      <c r="VQB11" s="73"/>
      <c r="VQC11" s="73"/>
      <c r="VQD11" s="73"/>
      <c r="VQE11" s="73"/>
      <c r="VQF11" s="73"/>
      <c r="VQG11" s="73"/>
      <c r="VQH11" s="73"/>
      <c r="VQI11" s="73"/>
      <c r="VQJ11" s="73"/>
      <c r="VQK11" s="73"/>
      <c r="VQL11" s="73"/>
      <c r="VQM11" s="73"/>
      <c r="VQN11" s="73"/>
      <c r="VQO11" s="73"/>
      <c r="VQP11" s="73"/>
      <c r="VQQ11" s="73"/>
      <c r="VQR11" s="73"/>
      <c r="VQS11" s="73"/>
      <c r="VQT11" s="73"/>
      <c r="VQU11" s="73"/>
      <c r="VQV11" s="73"/>
      <c r="VQW11" s="73"/>
      <c r="VQX11" s="73"/>
      <c r="VQY11" s="73"/>
      <c r="VQZ11" s="73"/>
      <c r="VRA11" s="73"/>
      <c r="VRB11" s="73"/>
      <c r="VRC11" s="73"/>
      <c r="VRD11" s="73"/>
      <c r="VRE11" s="73"/>
      <c r="VRF11" s="73"/>
      <c r="VRG11" s="73"/>
      <c r="VRH11" s="73"/>
      <c r="VRI11" s="73"/>
      <c r="VRJ11" s="73"/>
      <c r="VRK11" s="73"/>
      <c r="VRL11" s="73"/>
      <c r="VRM11" s="73"/>
      <c r="VRN11" s="73"/>
      <c r="VRO11" s="73"/>
      <c r="VRP11" s="73"/>
      <c r="VRQ11" s="73"/>
      <c r="VRR11" s="73"/>
      <c r="VRS11" s="73"/>
      <c r="VRT11" s="73"/>
      <c r="VRU11" s="73"/>
      <c r="VRV11" s="73"/>
      <c r="VRW11" s="73"/>
      <c r="VRX11" s="73"/>
      <c r="VRY11" s="73"/>
      <c r="VRZ11" s="73"/>
      <c r="VSA11" s="73"/>
      <c r="VSB11" s="73"/>
      <c r="VSC11" s="73"/>
      <c r="VSD11" s="73"/>
      <c r="VSE11" s="73"/>
      <c r="VSF11" s="73"/>
      <c r="VSG11" s="73"/>
      <c r="VSH11" s="73"/>
      <c r="VSI11" s="73"/>
      <c r="VSJ11" s="73"/>
      <c r="VSK11" s="73"/>
      <c r="VSL11" s="73"/>
      <c r="VSM11" s="73"/>
      <c r="VSN11" s="73"/>
      <c r="VSO11" s="73"/>
      <c r="VSP11" s="73"/>
      <c r="VSQ11" s="73"/>
      <c r="VSR11" s="73"/>
      <c r="VSS11" s="73"/>
      <c r="VST11" s="73"/>
      <c r="VSU11" s="73"/>
      <c r="VSV11" s="73"/>
      <c r="VSW11" s="73"/>
      <c r="VSX11" s="73"/>
      <c r="VSY11" s="73"/>
      <c r="VSZ11" s="73"/>
      <c r="VTA11" s="73"/>
      <c r="VTB11" s="73"/>
      <c r="VTC11" s="73"/>
      <c r="VTD11" s="73"/>
      <c r="VTE11" s="73"/>
      <c r="VTF11" s="73"/>
      <c r="VTG11" s="73"/>
      <c r="VTH11" s="73"/>
      <c r="VTI11" s="73"/>
      <c r="VTJ11" s="73"/>
      <c r="VTK11" s="73"/>
      <c r="VTL11" s="73"/>
      <c r="VTM11" s="73"/>
      <c r="VTN11" s="73"/>
      <c r="VTO11" s="73"/>
      <c r="VTP11" s="73"/>
      <c r="VTQ11" s="73"/>
      <c r="VTR11" s="73"/>
      <c r="VTS11" s="73"/>
      <c r="VTT11" s="73"/>
      <c r="VTU11" s="73"/>
      <c r="VTV11" s="73"/>
      <c r="VTW11" s="73"/>
      <c r="VTX11" s="73"/>
      <c r="VTY11" s="73"/>
      <c r="VTZ11" s="73"/>
      <c r="VUA11" s="73"/>
      <c r="VUB11" s="73"/>
      <c r="VUC11" s="73"/>
      <c r="VUD11" s="73"/>
      <c r="VUE11" s="73"/>
      <c r="VUF11" s="73"/>
      <c r="VUG11" s="73"/>
      <c r="VUH11" s="73"/>
      <c r="VUI11" s="73"/>
      <c r="VUJ11" s="73"/>
      <c r="VUK11" s="73"/>
      <c r="VUL11" s="73"/>
      <c r="VUM11" s="73"/>
      <c r="VUN11" s="73"/>
      <c r="VUO11" s="73"/>
      <c r="VUP11" s="73"/>
      <c r="VUQ11" s="73"/>
      <c r="VUR11" s="73"/>
      <c r="VUS11" s="73"/>
      <c r="VUT11" s="73"/>
      <c r="VUU11" s="73"/>
      <c r="VUV11" s="73"/>
      <c r="VUW11" s="73"/>
      <c r="VUX11" s="73"/>
      <c r="VUY11" s="73"/>
      <c r="VUZ11" s="73"/>
      <c r="VVA11" s="73"/>
      <c r="VVB11" s="73"/>
      <c r="VVC11" s="73"/>
      <c r="VVD11" s="73"/>
      <c r="VVE11" s="73"/>
      <c r="VVF11" s="73"/>
      <c r="VVG11" s="73"/>
      <c r="VVH11" s="73"/>
      <c r="VVI11" s="73"/>
      <c r="VVJ11" s="73"/>
      <c r="VVK11" s="73"/>
      <c r="VVL11" s="73"/>
      <c r="VVM11" s="73"/>
      <c r="VVN11" s="73"/>
      <c r="VVO11" s="73"/>
      <c r="VVP11" s="73"/>
      <c r="VVQ11" s="73"/>
      <c r="VVR11" s="73"/>
      <c r="VVS11" s="73"/>
      <c r="VVT11" s="73"/>
      <c r="VVU11" s="73"/>
      <c r="VVV11" s="73"/>
      <c r="VVW11" s="73"/>
      <c r="VVX11" s="73"/>
      <c r="VVY11" s="73"/>
      <c r="VVZ11" s="73"/>
      <c r="VWA11" s="73"/>
      <c r="VWB11" s="73"/>
      <c r="VWC11" s="73"/>
      <c r="VWD11" s="73"/>
      <c r="VWE11" s="73"/>
      <c r="VWF11" s="73"/>
      <c r="VWG11" s="73"/>
      <c r="VWH11" s="73"/>
      <c r="VWI11" s="73"/>
      <c r="VWJ11" s="73"/>
      <c r="VWK11" s="73"/>
      <c r="VWL11" s="73"/>
      <c r="VWM11" s="73"/>
      <c r="VWN11" s="73"/>
      <c r="VWO11" s="73"/>
      <c r="VWP11" s="73"/>
      <c r="VWQ11" s="73"/>
      <c r="VWR11" s="73"/>
      <c r="VWS11" s="73"/>
      <c r="VWT11" s="73"/>
      <c r="VWU11" s="73"/>
      <c r="VWV11" s="73"/>
      <c r="VWW11" s="73"/>
      <c r="VWX11" s="73"/>
      <c r="VWY11" s="73"/>
      <c r="VWZ11" s="73"/>
      <c r="VXA11" s="73"/>
      <c r="VXB11" s="73"/>
      <c r="VXC11" s="73"/>
      <c r="VXD11" s="73"/>
      <c r="VXE11" s="73"/>
      <c r="VXF11" s="73"/>
      <c r="VXG11" s="73"/>
      <c r="VXH11" s="73"/>
      <c r="VXI11" s="73"/>
      <c r="VXJ11" s="73"/>
      <c r="VXK11" s="73"/>
      <c r="VXL11" s="73"/>
      <c r="VXM11" s="73"/>
      <c r="VXN11" s="73"/>
      <c r="VXO11" s="73"/>
      <c r="VXP11" s="73"/>
      <c r="VXQ11" s="73"/>
      <c r="VXR11" s="73"/>
      <c r="VXS11" s="73"/>
      <c r="VXT11" s="73"/>
      <c r="VXU11" s="73"/>
      <c r="VXV11" s="73"/>
      <c r="VXW11" s="73"/>
      <c r="VXX11" s="73"/>
      <c r="VXY11" s="73"/>
      <c r="VXZ11" s="73"/>
      <c r="VYA11" s="73"/>
      <c r="VYB11" s="73"/>
      <c r="VYC11" s="73"/>
      <c r="VYD11" s="73"/>
      <c r="VYE11" s="73"/>
      <c r="VYF11" s="73"/>
      <c r="VYG11" s="73"/>
      <c r="VYH11" s="73"/>
      <c r="VYI11" s="73"/>
      <c r="VYJ11" s="73"/>
      <c r="VYK11" s="73"/>
      <c r="VYL11" s="73"/>
      <c r="VYM11" s="73"/>
      <c r="VYN11" s="73"/>
      <c r="VYO11" s="73"/>
      <c r="VYP11" s="73"/>
      <c r="VYQ11" s="73"/>
      <c r="VYR11" s="73"/>
      <c r="VYS11" s="73"/>
      <c r="VYT11" s="73"/>
      <c r="VYU11" s="73"/>
      <c r="VYV11" s="73"/>
      <c r="VYW11" s="73"/>
      <c r="VYX11" s="73"/>
      <c r="VYY11" s="73"/>
      <c r="VYZ11" s="73"/>
      <c r="VZA11" s="73"/>
      <c r="VZB11" s="73"/>
      <c r="VZC11" s="73"/>
      <c r="VZD11" s="73"/>
      <c r="VZE11" s="73"/>
      <c r="VZF11" s="73"/>
      <c r="VZG11" s="73"/>
      <c r="VZH11" s="73"/>
      <c r="VZI11" s="73"/>
      <c r="VZJ11" s="73"/>
      <c r="VZK11" s="73"/>
      <c r="VZL11" s="73"/>
      <c r="VZM11" s="73"/>
      <c r="VZN11" s="73"/>
      <c r="VZO11" s="73"/>
      <c r="VZP11" s="73"/>
      <c r="VZQ11" s="73"/>
      <c r="VZR11" s="73"/>
      <c r="VZS11" s="73"/>
      <c r="VZT11" s="73"/>
      <c r="VZU11" s="73"/>
      <c r="VZV11" s="73"/>
      <c r="VZW11" s="73"/>
      <c r="VZX11" s="73"/>
      <c r="VZY11" s="73"/>
      <c r="VZZ11" s="73"/>
      <c r="WAA11" s="73"/>
      <c r="WAB11" s="73"/>
      <c r="WAC11" s="73"/>
      <c r="WAD11" s="73"/>
      <c r="WAE11" s="73"/>
      <c r="WAF11" s="73"/>
      <c r="WAG11" s="73"/>
      <c r="WAH11" s="73"/>
      <c r="WAI11" s="73"/>
      <c r="WAJ11" s="73"/>
      <c r="WAK11" s="73"/>
      <c r="WAL11" s="73"/>
      <c r="WAM11" s="73"/>
      <c r="WAN11" s="73"/>
      <c r="WAO11" s="73"/>
      <c r="WAP11" s="73"/>
      <c r="WAQ11" s="73"/>
      <c r="WAR11" s="73"/>
      <c r="WAS11" s="73"/>
      <c r="WAT11" s="73"/>
      <c r="WAU11" s="73"/>
      <c r="WAV11" s="73"/>
      <c r="WAW11" s="73"/>
      <c r="WAX11" s="73"/>
      <c r="WAY11" s="73"/>
      <c r="WAZ11" s="73"/>
      <c r="WBA11" s="73"/>
      <c r="WBB11" s="73"/>
      <c r="WBC11" s="73"/>
      <c r="WBD11" s="73"/>
      <c r="WBE11" s="73"/>
      <c r="WBF11" s="73"/>
      <c r="WBG11" s="73"/>
      <c r="WBH11" s="73"/>
      <c r="WBI11" s="73"/>
      <c r="WBJ11" s="73"/>
      <c r="WBK11" s="73"/>
      <c r="WBL11" s="73"/>
      <c r="WBM11" s="73"/>
      <c r="WBN11" s="73"/>
      <c r="WBO11" s="73"/>
      <c r="WBP11" s="73"/>
      <c r="WBQ11" s="73"/>
      <c r="WBR11" s="73"/>
      <c r="WBS11" s="73"/>
      <c r="WBT11" s="73"/>
      <c r="WBU11" s="73"/>
      <c r="WBV11" s="73"/>
      <c r="WBW11" s="73"/>
      <c r="WBX11" s="73"/>
      <c r="WBY11" s="73"/>
      <c r="WBZ11" s="73"/>
      <c r="WCA11" s="73"/>
      <c r="WCB11" s="73"/>
      <c r="WCC11" s="73"/>
      <c r="WCD11" s="73"/>
      <c r="WCE11" s="73"/>
      <c r="WCF11" s="73"/>
      <c r="WCG11" s="73"/>
      <c r="WCH11" s="73"/>
      <c r="WCI11" s="73"/>
      <c r="WCJ11" s="73"/>
      <c r="WCK11" s="73"/>
      <c r="WCL11" s="73"/>
      <c r="WCM11" s="73"/>
      <c r="WCN11" s="73"/>
      <c r="WCO11" s="73"/>
      <c r="WCP11" s="73"/>
      <c r="WCQ11" s="73"/>
      <c r="WCR11" s="73"/>
      <c r="WCS11" s="73"/>
      <c r="WCT11" s="73"/>
      <c r="WCU11" s="73"/>
      <c r="WCV11" s="73"/>
      <c r="WCW11" s="73"/>
      <c r="WCX11" s="73"/>
      <c r="WCY11" s="73"/>
      <c r="WCZ11" s="73"/>
      <c r="WDA11" s="73"/>
      <c r="WDB11" s="73"/>
      <c r="WDC11" s="73"/>
      <c r="WDD11" s="73"/>
      <c r="WDE11" s="73"/>
      <c r="WDF11" s="73"/>
      <c r="WDG11" s="73"/>
      <c r="WDH11" s="73"/>
      <c r="WDI11" s="73"/>
      <c r="WDJ11" s="73"/>
      <c r="WDK11" s="73"/>
      <c r="WDL11" s="73"/>
      <c r="WDM11" s="73"/>
      <c r="WDN11" s="73"/>
      <c r="WDO11" s="73"/>
      <c r="WDP11" s="73"/>
      <c r="WDQ11" s="73"/>
      <c r="WDR11" s="73"/>
      <c r="WDS11" s="73"/>
      <c r="WDT11" s="73"/>
      <c r="WDU11" s="73"/>
      <c r="WDV11" s="73"/>
      <c r="WDW11" s="73"/>
      <c r="WDX11" s="73"/>
      <c r="WDY11" s="73"/>
      <c r="WDZ11" s="73"/>
      <c r="WEA11" s="73"/>
      <c r="WEB11" s="73"/>
      <c r="WEC11" s="73"/>
      <c r="WED11" s="73"/>
      <c r="WEE11" s="73"/>
      <c r="WEF11" s="73"/>
      <c r="WEG11" s="73"/>
      <c r="WEH11" s="73"/>
      <c r="WEI11" s="73"/>
      <c r="WEJ11" s="73"/>
      <c r="WEK11" s="73"/>
      <c r="WEL11" s="73"/>
      <c r="WEM11" s="73"/>
      <c r="WEN11" s="73"/>
      <c r="WEO11" s="73"/>
      <c r="WEP11" s="73"/>
      <c r="WEQ11" s="73"/>
      <c r="WER11" s="73"/>
      <c r="WES11" s="73"/>
      <c r="WET11" s="73"/>
      <c r="WEU11" s="73"/>
      <c r="WEV11" s="73"/>
      <c r="WEW11" s="73"/>
      <c r="WEX11" s="73"/>
      <c r="WEY11" s="73"/>
      <c r="WEZ11" s="73"/>
      <c r="WFA11" s="73"/>
      <c r="WFB11" s="73"/>
      <c r="WFC11" s="73"/>
      <c r="WFD11" s="73"/>
      <c r="WFE11" s="73"/>
      <c r="WFF11" s="73"/>
      <c r="WFG11" s="73"/>
      <c r="WFH11" s="73"/>
      <c r="WFI11" s="73"/>
      <c r="WFJ11" s="73"/>
      <c r="WFK11" s="73"/>
      <c r="WFL11" s="73"/>
      <c r="WFM11" s="73"/>
      <c r="WFN11" s="73"/>
      <c r="WFO11" s="73"/>
      <c r="WFP11" s="73"/>
      <c r="WFQ11" s="73"/>
      <c r="WFR11" s="73"/>
      <c r="WFS11" s="73"/>
      <c r="WFT11" s="73"/>
      <c r="WFU11" s="73"/>
      <c r="WFV11" s="73"/>
      <c r="WFW11" s="73"/>
      <c r="WFX11" s="73"/>
      <c r="WFY11" s="73"/>
      <c r="WFZ11" s="73"/>
      <c r="WGA11" s="73"/>
      <c r="WGB11" s="73"/>
      <c r="WGC11" s="73"/>
      <c r="WGD11" s="73"/>
      <c r="WGE11" s="73"/>
      <c r="WGF11" s="73"/>
      <c r="WGG11" s="73"/>
      <c r="WGH11" s="73"/>
      <c r="WGI11" s="73"/>
      <c r="WGJ11" s="73"/>
      <c r="WGK11" s="73"/>
      <c r="WGL11" s="73"/>
      <c r="WGM11" s="73"/>
      <c r="WGN11" s="73"/>
      <c r="WGO11" s="73"/>
      <c r="WGP11" s="73"/>
      <c r="WGQ11" s="73"/>
      <c r="WGR11" s="73"/>
      <c r="WGS11" s="73"/>
      <c r="WGT11" s="73"/>
      <c r="WGU11" s="73"/>
      <c r="WGV11" s="73"/>
      <c r="WGW11" s="73"/>
      <c r="WGX11" s="73"/>
      <c r="WGY11" s="73"/>
      <c r="WGZ11" s="73"/>
      <c r="WHA11" s="73"/>
      <c r="WHB11" s="73"/>
      <c r="WHC11" s="73"/>
      <c r="WHD11" s="73"/>
      <c r="WHE11" s="73"/>
      <c r="WHF11" s="73"/>
      <c r="WHG11" s="73"/>
      <c r="WHH11" s="73"/>
      <c r="WHI11" s="73"/>
      <c r="WHJ11" s="73"/>
      <c r="WHK11" s="73"/>
      <c r="WHL11" s="73"/>
      <c r="WHM11" s="73"/>
      <c r="WHN11" s="73"/>
      <c r="WHO11" s="73"/>
      <c r="WHP11" s="73"/>
      <c r="WHQ11" s="73"/>
      <c r="WHR11" s="73"/>
      <c r="WHS11" s="73"/>
      <c r="WHT11" s="73"/>
      <c r="WHU11" s="73"/>
      <c r="WHV11" s="73"/>
      <c r="WHW11" s="73"/>
      <c r="WHX11" s="73"/>
      <c r="WHY11" s="73"/>
      <c r="WHZ11" s="73"/>
      <c r="WIA11" s="73"/>
      <c r="WIB11" s="73"/>
      <c r="WIC11" s="73"/>
      <c r="WID11" s="73"/>
      <c r="WIE11" s="73"/>
      <c r="WIF11" s="73"/>
      <c r="WIG11" s="73"/>
      <c r="WIH11" s="73"/>
      <c r="WII11" s="73"/>
      <c r="WIJ11" s="73"/>
      <c r="WIK11" s="73"/>
      <c r="WIL11" s="73"/>
      <c r="WIM11" s="73"/>
      <c r="WIN11" s="73"/>
      <c r="WIO11" s="73"/>
      <c r="WIP11" s="73"/>
      <c r="WIQ11" s="73"/>
      <c r="WIR11" s="73"/>
      <c r="WIS11" s="73"/>
      <c r="WIT11" s="73"/>
      <c r="WIU11" s="73"/>
      <c r="WIV11" s="73"/>
      <c r="WIW11" s="73"/>
      <c r="WIX11" s="73"/>
      <c r="WIY11" s="73"/>
      <c r="WIZ11" s="73"/>
      <c r="WJA11" s="73"/>
      <c r="WJB11" s="73"/>
      <c r="WJC11" s="73"/>
      <c r="WJD11" s="73"/>
      <c r="WJE11" s="73"/>
      <c r="WJF11" s="73"/>
      <c r="WJG11" s="73"/>
      <c r="WJH11" s="73"/>
      <c r="WJI11" s="73"/>
      <c r="WJJ11" s="73"/>
      <c r="WJK11" s="73"/>
      <c r="WJL11" s="73"/>
      <c r="WJM11" s="73"/>
      <c r="WJN11" s="73"/>
      <c r="WJO11" s="73"/>
      <c r="WJP11" s="73"/>
      <c r="WJQ11" s="73"/>
      <c r="WJR11" s="73"/>
      <c r="WJS11" s="73"/>
      <c r="WJT11" s="73"/>
      <c r="WJU11" s="73"/>
      <c r="WJV11" s="73"/>
      <c r="WJW11" s="73"/>
      <c r="WJX11" s="73"/>
      <c r="WJY11" s="73"/>
      <c r="WJZ11" s="73"/>
      <c r="WKA11" s="73"/>
      <c r="WKB11" s="73"/>
      <c r="WKC11" s="73"/>
      <c r="WKD11" s="73"/>
      <c r="WKE11" s="73"/>
      <c r="WKF11" s="73"/>
      <c r="WKG11" s="73"/>
      <c r="WKH11" s="73"/>
      <c r="WKI11" s="73"/>
      <c r="WKJ11" s="73"/>
      <c r="WKK11" s="73"/>
      <c r="WKL11" s="73"/>
      <c r="WKM11" s="73"/>
      <c r="WKN11" s="73"/>
      <c r="WKO11" s="73"/>
      <c r="WKP11" s="73"/>
      <c r="WKQ11" s="73"/>
      <c r="WKR11" s="73"/>
      <c r="WKS11" s="73"/>
      <c r="WKT11" s="73"/>
      <c r="WKU11" s="73"/>
      <c r="WKV11" s="73"/>
      <c r="WKW11" s="73"/>
      <c r="WKX11" s="73"/>
      <c r="WKY11" s="73"/>
      <c r="WKZ11" s="73"/>
      <c r="WLA11" s="73"/>
      <c r="WLB11" s="73"/>
      <c r="WLC11" s="73"/>
      <c r="WLD11" s="73"/>
      <c r="WLE11" s="73"/>
      <c r="WLF11" s="73"/>
      <c r="WLG11" s="73"/>
      <c r="WLH11" s="73"/>
      <c r="WLI11" s="73"/>
      <c r="WLJ11" s="73"/>
      <c r="WLK11" s="73"/>
      <c r="WLL11" s="73"/>
      <c r="WLM11" s="73"/>
      <c r="WLN11" s="73"/>
      <c r="WLO11" s="73"/>
      <c r="WLP11" s="73"/>
      <c r="WLQ11" s="73"/>
      <c r="WLR11" s="73"/>
      <c r="WLS11" s="73"/>
      <c r="WLT11" s="73"/>
      <c r="WLU11" s="73"/>
      <c r="WLV11" s="73"/>
      <c r="WLW11" s="73"/>
      <c r="WLX11" s="73"/>
      <c r="WLY11" s="73"/>
      <c r="WLZ11" s="73"/>
      <c r="WMA11" s="73"/>
      <c r="WMB11" s="73"/>
      <c r="WMC11" s="73"/>
      <c r="WMD11" s="73"/>
      <c r="WME11" s="73"/>
      <c r="WMF11" s="73"/>
      <c r="WMG11" s="73"/>
      <c r="WMH11" s="73"/>
      <c r="WMI11" s="73"/>
      <c r="WMJ11" s="73"/>
      <c r="WMK11" s="73"/>
      <c r="WML11" s="73"/>
      <c r="WMM11" s="73"/>
      <c r="WMN11" s="73"/>
      <c r="WMO11" s="73"/>
      <c r="WMP11" s="73"/>
      <c r="WMQ11" s="73"/>
      <c r="WMR11" s="73"/>
      <c r="WMS11" s="73"/>
      <c r="WMT11" s="73"/>
      <c r="WMU11" s="73"/>
      <c r="WMV11" s="73"/>
      <c r="WMW11" s="73"/>
      <c r="WMX11" s="73"/>
      <c r="WMY11" s="73"/>
      <c r="WMZ11" s="73"/>
      <c r="WNA11" s="73"/>
      <c r="WNB11" s="73"/>
      <c r="WNC11" s="73"/>
      <c r="WND11" s="73"/>
      <c r="WNE11" s="73"/>
      <c r="WNF11" s="73"/>
      <c r="WNG11" s="73"/>
      <c r="WNH11" s="73"/>
      <c r="WNI11" s="73"/>
      <c r="WNJ11" s="73"/>
      <c r="WNK11" s="73"/>
      <c r="WNL11" s="73"/>
      <c r="WNM11" s="73"/>
      <c r="WNN11" s="73"/>
      <c r="WNO11" s="73"/>
      <c r="WNP11" s="73"/>
      <c r="WNQ11" s="73"/>
      <c r="WNR11" s="73"/>
      <c r="WNS11" s="73"/>
      <c r="WNT11" s="73"/>
      <c r="WNU11" s="73"/>
      <c r="WNV11" s="73"/>
      <c r="WNW11" s="73"/>
      <c r="WNX11" s="73"/>
      <c r="WNY11" s="73"/>
      <c r="WNZ11" s="73"/>
      <c r="WOA11" s="73"/>
      <c r="WOB11" s="73"/>
      <c r="WOC11" s="73"/>
      <c r="WOD11" s="73"/>
      <c r="WOE11" s="73"/>
      <c r="WOF11" s="73"/>
      <c r="WOG11" s="73"/>
      <c r="WOH11" s="73"/>
      <c r="WOI11" s="73"/>
      <c r="WOJ11" s="73"/>
      <c r="WOK11" s="73"/>
      <c r="WOL11" s="73"/>
      <c r="WOM11" s="73"/>
      <c r="WON11" s="73"/>
      <c r="WOO11" s="73"/>
      <c r="WOP11" s="73"/>
      <c r="WOQ11" s="73"/>
      <c r="WOR11" s="73"/>
      <c r="WOS11" s="73"/>
      <c r="WOT11" s="73"/>
      <c r="WOU11" s="73"/>
      <c r="WOV11" s="73"/>
      <c r="WOW11" s="73"/>
      <c r="WOX11" s="73"/>
      <c r="WOY11" s="73"/>
      <c r="WOZ11" s="73"/>
      <c r="WPA11" s="73"/>
      <c r="WPB11" s="73"/>
      <c r="WPC11" s="73"/>
      <c r="WPD11" s="73"/>
      <c r="WPE11" s="73"/>
      <c r="WPF11" s="73"/>
      <c r="WPG11" s="73"/>
      <c r="WPH11" s="73"/>
      <c r="WPI11" s="73"/>
      <c r="WPJ11" s="73"/>
      <c r="WPK11" s="73"/>
      <c r="WPL11" s="73"/>
      <c r="WPM11" s="73"/>
      <c r="WPN11" s="73"/>
      <c r="WPO11" s="73"/>
      <c r="WPP11" s="73"/>
      <c r="WPQ11" s="73"/>
      <c r="WPR11" s="73"/>
      <c r="WPS11" s="73"/>
      <c r="WPT11" s="73"/>
      <c r="WPU11" s="73"/>
      <c r="WPV11" s="73"/>
      <c r="WPW11" s="73"/>
      <c r="WPX11" s="73"/>
      <c r="WPY11" s="73"/>
      <c r="WPZ11" s="73"/>
      <c r="WQA11" s="73"/>
      <c r="WQB11" s="73"/>
      <c r="WQC11" s="73"/>
      <c r="WQD11" s="73"/>
      <c r="WQE11" s="73"/>
      <c r="WQF11" s="73"/>
      <c r="WQG11" s="73"/>
      <c r="WQH11" s="73"/>
      <c r="WQI11" s="73"/>
      <c r="WQJ11" s="73"/>
      <c r="WQK11" s="73"/>
      <c r="WQL11" s="73"/>
      <c r="WQM11" s="73"/>
      <c r="WQN11" s="73"/>
      <c r="WQO11" s="73"/>
      <c r="WQP11" s="73"/>
      <c r="WQQ11" s="73"/>
      <c r="WQR11" s="73"/>
      <c r="WQS11" s="73"/>
      <c r="WQT11" s="73"/>
      <c r="WQU11" s="73"/>
      <c r="WQV11" s="73"/>
      <c r="WQW11" s="73"/>
      <c r="WQX11" s="73"/>
      <c r="WQY11" s="73"/>
      <c r="WQZ11" s="73"/>
      <c r="WRA11" s="73"/>
      <c r="WRB11" s="73"/>
      <c r="WRC11" s="73"/>
      <c r="WRD11" s="73"/>
      <c r="WRE11" s="73"/>
      <c r="WRF11" s="73"/>
      <c r="WRG11" s="73"/>
      <c r="WRH11" s="73"/>
      <c r="WRI11" s="73"/>
      <c r="WRJ11" s="73"/>
      <c r="WRK11" s="73"/>
      <c r="WRL11" s="73"/>
      <c r="WRM11" s="73"/>
      <c r="WRN11" s="73"/>
      <c r="WRO11" s="73"/>
      <c r="WRP11" s="73"/>
      <c r="WRQ11" s="73"/>
      <c r="WRR11" s="73"/>
      <c r="WRS11" s="73"/>
      <c r="WRT11" s="73"/>
      <c r="WRU11" s="73"/>
      <c r="WRV11" s="73"/>
      <c r="WRW11" s="73"/>
      <c r="WRX11" s="73"/>
      <c r="WRY11" s="73"/>
      <c r="WRZ11" s="73"/>
      <c r="WSA11" s="73"/>
      <c r="WSB11" s="73"/>
      <c r="WSC11" s="73"/>
      <c r="WSD11" s="73"/>
      <c r="WSE11" s="73"/>
      <c r="WSF11" s="73"/>
      <c r="WSG11" s="73"/>
      <c r="WSH11" s="73"/>
      <c r="WSI11" s="73"/>
      <c r="WSJ11" s="73"/>
      <c r="WSK11" s="73"/>
      <c r="WSL11" s="73"/>
      <c r="WSM11" s="73"/>
      <c r="WSN11" s="73"/>
      <c r="WSO11" s="73"/>
      <c r="WSP11" s="73"/>
      <c r="WSQ11" s="73"/>
      <c r="WSR11" s="73"/>
      <c r="WSS11" s="73"/>
      <c r="WST11" s="73"/>
      <c r="WSU11" s="73"/>
      <c r="WSV11" s="73"/>
      <c r="WSW11" s="73"/>
      <c r="WSX11" s="73"/>
      <c r="WSY11" s="73"/>
      <c r="WSZ11" s="73"/>
      <c r="WTA11" s="73"/>
      <c r="WTB11" s="73"/>
      <c r="WTC11" s="73"/>
      <c r="WTD11" s="73"/>
      <c r="WTE11" s="73"/>
      <c r="WTF11" s="73"/>
      <c r="WTG11" s="73"/>
      <c r="WTH11" s="73"/>
      <c r="WTI11" s="73"/>
      <c r="WTJ11" s="73"/>
      <c r="WTK11" s="73"/>
      <c r="WTL11" s="73"/>
      <c r="WTM11" s="73"/>
      <c r="WTN11" s="73"/>
      <c r="WTO11" s="73"/>
      <c r="WTP11" s="73"/>
      <c r="WTQ11" s="73"/>
      <c r="WTR11" s="73"/>
      <c r="WTS11" s="73"/>
      <c r="WTT11" s="73"/>
      <c r="WTU11" s="73"/>
      <c r="WTV11" s="73"/>
      <c r="WTW11" s="73"/>
      <c r="WTX11" s="73"/>
      <c r="WTY11" s="73"/>
      <c r="WTZ11" s="73"/>
      <c r="WUA11" s="73"/>
      <c r="WUB11" s="73"/>
      <c r="WUC11" s="73"/>
      <c r="WUD11" s="73"/>
      <c r="WUE11" s="73"/>
      <c r="WUF11" s="73"/>
      <c r="WUG11" s="73"/>
      <c r="WUH11" s="73"/>
      <c r="WUI11" s="73"/>
      <c r="WUJ11" s="73"/>
      <c r="WUK11" s="73"/>
      <c r="WUL11" s="73"/>
      <c r="WUM11" s="73"/>
      <c r="WUN11" s="73"/>
      <c r="WUO11" s="73"/>
      <c r="WUP11" s="73"/>
      <c r="WUQ11" s="73"/>
      <c r="WUR11" s="73"/>
      <c r="WUS11" s="73"/>
      <c r="WUT11" s="73"/>
      <c r="WUU11" s="73"/>
      <c r="WUV11" s="73"/>
      <c r="WUW11" s="73"/>
      <c r="WUX11" s="73"/>
      <c r="WUY11" s="73"/>
      <c r="WUZ11" s="73"/>
      <c r="WVA11" s="73"/>
      <c r="WVB11" s="73"/>
      <c r="WVC11" s="73"/>
      <c r="WVD11" s="73"/>
      <c r="WVE11" s="73"/>
      <c r="WVF11" s="73"/>
      <c r="WVG11" s="73"/>
      <c r="WVH11" s="73"/>
      <c r="WVI11" s="73"/>
      <c r="WVJ11" s="73"/>
      <c r="WVK11" s="73"/>
      <c r="WVL11" s="73"/>
      <c r="WVM11" s="73"/>
      <c r="WVN11" s="73"/>
      <c r="WVO11" s="73"/>
      <c r="WVP11" s="73"/>
      <c r="WVQ11" s="73"/>
      <c r="WVR11" s="73"/>
      <c r="WVS11" s="73"/>
      <c r="WVT11" s="73"/>
      <c r="WVU11" s="73"/>
      <c r="WVV11" s="73"/>
      <c r="WVW11" s="73"/>
      <c r="WVX11" s="73"/>
      <c r="WVY11" s="73"/>
      <c r="WVZ11" s="73"/>
      <c r="WWA11" s="73"/>
      <c r="WWB11" s="73"/>
      <c r="WWC11" s="73"/>
      <c r="WWD11" s="73"/>
      <c r="WWE11" s="73"/>
      <c r="WWF11" s="73"/>
      <c r="WWG11" s="73"/>
      <c r="WWH11" s="73"/>
      <c r="WWI11" s="73"/>
      <c r="WWJ11" s="73"/>
      <c r="WWK11" s="73"/>
      <c r="WWL11" s="73"/>
      <c r="WWM11" s="73"/>
      <c r="WWN11" s="73"/>
      <c r="WWO11" s="73"/>
      <c r="WWP11" s="73"/>
      <c r="WWQ11" s="73"/>
      <c r="WWR11" s="73"/>
      <c r="WWS11" s="73"/>
      <c r="WWT11" s="73"/>
      <c r="WWU11" s="73"/>
      <c r="WWV11" s="73"/>
      <c r="WWW11" s="73"/>
      <c r="WWX11" s="73"/>
      <c r="WWY11" s="73"/>
      <c r="WWZ11" s="73"/>
      <c r="WXA11" s="73"/>
      <c r="WXB11" s="73"/>
      <c r="WXC11" s="73"/>
      <c r="WXD11" s="73"/>
      <c r="WXE11" s="73"/>
      <c r="WXF11" s="73"/>
      <c r="WXG11" s="73"/>
      <c r="WXH11" s="73"/>
      <c r="WXI11" s="73"/>
      <c r="WXJ11" s="73"/>
      <c r="WXK11" s="73"/>
      <c r="WXL11" s="73"/>
      <c r="WXM11" s="73"/>
      <c r="WXN11" s="73"/>
      <c r="WXO11" s="73"/>
      <c r="WXP11" s="73"/>
      <c r="WXQ11" s="73"/>
      <c r="WXR11" s="73"/>
      <c r="WXS11" s="73"/>
      <c r="WXT11" s="73"/>
      <c r="WXU11" s="73"/>
      <c r="WXV11" s="73"/>
      <c r="WXW11" s="73"/>
      <c r="WXX11" s="73"/>
      <c r="WXY11" s="73"/>
      <c r="WXZ11" s="73"/>
      <c r="WYA11" s="73"/>
      <c r="WYB11" s="73"/>
      <c r="WYC11" s="73"/>
      <c r="WYD11" s="73"/>
      <c r="WYE11" s="73"/>
      <c r="WYF11" s="73"/>
      <c r="WYG11" s="73"/>
      <c r="WYH11" s="73"/>
      <c r="WYI11" s="73"/>
      <c r="WYJ11" s="73"/>
      <c r="WYK11" s="73"/>
      <c r="WYL11" s="73"/>
      <c r="WYM11" s="73"/>
      <c r="WYN11" s="73"/>
      <c r="WYO11" s="73"/>
      <c r="WYP11" s="73"/>
      <c r="WYQ11" s="73"/>
      <c r="WYR11" s="73"/>
      <c r="WYS11" s="73"/>
      <c r="WYT11" s="73"/>
      <c r="WYU11" s="73"/>
      <c r="WYV11" s="73"/>
      <c r="WYW11" s="73"/>
      <c r="WYX11" s="73"/>
      <c r="WYY11" s="73"/>
      <c r="WYZ11" s="73"/>
      <c r="WZA11" s="73"/>
      <c r="WZB11" s="73"/>
      <c r="WZC11" s="73"/>
      <c r="WZD11" s="73"/>
      <c r="WZE11" s="73"/>
      <c r="WZF11" s="73"/>
      <c r="WZG11" s="73"/>
      <c r="WZH11" s="73"/>
      <c r="WZI11" s="73"/>
      <c r="WZJ11" s="73"/>
      <c r="WZK11" s="73"/>
      <c r="WZL11" s="73"/>
      <c r="WZM11" s="73"/>
      <c r="WZN11" s="73"/>
      <c r="WZO11" s="73"/>
      <c r="WZP11" s="73"/>
      <c r="WZQ11" s="73"/>
      <c r="WZR11" s="73"/>
      <c r="WZS11" s="73"/>
      <c r="WZT11" s="73"/>
      <c r="WZU11" s="73"/>
      <c r="WZV11" s="73"/>
      <c r="WZW11" s="73"/>
      <c r="WZX11" s="73"/>
      <c r="WZY11" s="73"/>
      <c r="WZZ11" s="73"/>
      <c r="XAA11" s="73"/>
      <c r="XAB11" s="73"/>
      <c r="XAC11" s="73"/>
      <c r="XAD11" s="73"/>
      <c r="XAE11" s="73"/>
      <c r="XAF11" s="73"/>
      <c r="XAG11" s="73"/>
      <c r="XAH11" s="73"/>
      <c r="XAI11" s="73"/>
      <c r="XAJ11" s="73"/>
      <c r="XAK11" s="73"/>
      <c r="XAL11" s="73"/>
      <c r="XAM11" s="73"/>
      <c r="XAN11" s="73"/>
      <c r="XAO11" s="73"/>
      <c r="XAP11" s="73"/>
      <c r="XAQ11" s="73"/>
      <c r="XAR11" s="73"/>
      <c r="XAS11" s="73"/>
      <c r="XAT11" s="73"/>
      <c r="XAU11" s="73"/>
      <c r="XAV11" s="73"/>
      <c r="XAW11" s="73"/>
      <c r="XAX11" s="73"/>
      <c r="XAY11" s="73"/>
      <c r="XAZ11" s="73"/>
      <c r="XBA11" s="73"/>
      <c r="XBB11" s="73"/>
      <c r="XBC11" s="73"/>
      <c r="XBD11" s="73"/>
      <c r="XBE11" s="73"/>
      <c r="XBF11" s="73"/>
      <c r="XBG11" s="73"/>
      <c r="XBH11" s="73"/>
      <c r="XBI11" s="73"/>
      <c r="XBJ11" s="73"/>
      <c r="XBK11" s="73"/>
      <c r="XBL11" s="73"/>
      <c r="XBM11" s="73"/>
      <c r="XBN11" s="73"/>
      <c r="XBO11" s="73"/>
      <c r="XBP11" s="73"/>
      <c r="XBQ11" s="73"/>
      <c r="XBR11" s="73"/>
      <c r="XBS11" s="73"/>
      <c r="XBT11" s="73"/>
      <c r="XBU11" s="73"/>
      <c r="XBV11" s="73"/>
      <c r="XBW11" s="73"/>
      <c r="XBX11" s="73"/>
      <c r="XBY11" s="73"/>
      <c r="XBZ11" s="73"/>
      <c r="XCA11" s="73"/>
      <c r="XCB11" s="73"/>
      <c r="XCC11" s="73"/>
      <c r="XCD11" s="73"/>
      <c r="XCE11" s="73"/>
      <c r="XCF11" s="73"/>
      <c r="XCG11" s="73"/>
      <c r="XCH11" s="73"/>
      <c r="XCI11" s="73"/>
      <c r="XCJ11" s="73"/>
      <c r="XCK11" s="73"/>
      <c r="XCL11" s="73"/>
      <c r="XCM11" s="73"/>
      <c r="XCN11" s="73"/>
      <c r="XCO11" s="73"/>
      <c r="XCP11" s="73"/>
      <c r="XCQ11" s="73"/>
      <c r="XCR11" s="73"/>
      <c r="XCS11" s="73"/>
      <c r="XCT11" s="73"/>
      <c r="XCU11" s="73"/>
      <c r="XCV11" s="73"/>
      <c r="XCW11" s="73"/>
      <c r="XCX11" s="73"/>
      <c r="XCY11" s="73"/>
      <c r="XCZ11" s="73"/>
      <c r="XDA11" s="73"/>
      <c r="XDB11" s="73"/>
      <c r="XDC11" s="73"/>
      <c r="XDD11" s="73"/>
      <c r="XDE11" s="73"/>
      <c r="XDF11" s="73"/>
      <c r="XDG11" s="73"/>
      <c r="XDH11" s="73"/>
      <c r="XDI11" s="73"/>
      <c r="XDJ11" s="73"/>
      <c r="XDK11" s="73"/>
      <c r="XDL11" s="73"/>
      <c r="XDM11" s="73"/>
      <c r="XDN11" s="73"/>
      <c r="XDO11" s="73"/>
      <c r="XDP11" s="73"/>
      <c r="XDQ11" s="73"/>
      <c r="XDR11" s="73"/>
      <c r="XDS11" s="73"/>
      <c r="XDT11" s="73"/>
      <c r="XDU11" s="73"/>
      <c r="XDV11" s="73"/>
      <c r="XDW11" s="73"/>
      <c r="XDX11" s="73"/>
      <c r="XDY11" s="73"/>
      <c r="XDZ11" s="73"/>
      <c r="XEA11" s="73"/>
      <c r="XEB11" s="73"/>
      <c r="XEC11" s="73"/>
      <c r="XED11" s="73"/>
      <c r="XEE11" s="73"/>
      <c r="XEF11" s="73"/>
      <c r="XEG11" s="73"/>
      <c r="XEH11" s="73"/>
      <c r="XEI11" s="73"/>
      <c r="XEJ11" s="73"/>
      <c r="XEK11" s="73"/>
      <c r="XEL11" s="73"/>
      <c r="XEM11" s="73"/>
      <c r="XEN11" s="73"/>
      <c r="XEO11" s="73"/>
      <c r="XEP11" s="73"/>
      <c r="XEQ11" s="73"/>
      <c r="XER11" s="73"/>
      <c r="XES11" s="73"/>
      <c r="XET11" s="73"/>
      <c r="XEU11" s="73"/>
      <c r="XEV11" s="73"/>
      <c r="XEW11" s="73"/>
      <c r="XEX11" s="73"/>
      <c r="XEY11" s="73"/>
      <c r="XEZ11" s="73"/>
      <c r="XFA11" s="73"/>
      <c r="XFB11" s="73"/>
      <c r="XFC11" s="73"/>
      <c r="XFD11" s="73"/>
    </row>
    <row r="12" spans="1:16384" s="72" customFormat="1" ht="24.75" customHeight="1" x14ac:dyDescent="0.2">
      <c r="A12" s="144">
        <v>3</v>
      </c>
      <c r="B12" s="122" t="s">
        <v>205</v>
      </c>
      <c r="C12" s="123">
        <v>42009</v>
      </c>
      <c r="D12" s="4">
        <v>2</v>
      </c>
      <c r="E12" s="128" t="s">
        <v>93</v>
      </c>
      <c r="F12" s="4" t="s">
        <v>825</v>
      </c>
      <c r="G12" s="4" t="s">
        <v>185</v>
      </c>
      <c r="H12" s="129">
        <v>42012</v>
      </c>
      <c r="I12" s="4" t="s">
        <v>187</v>
      </c>
      <c r="J12" s="4" t="s">
        <v>103</v>
      </c>
      <c r="K12" s="50" t="s">
        <v>449</v>
      </c>
      <c r="L12" s="129">
        <v>42012</v>
      </c>
      <c r="M12" s="50" t="s">
        <v>826</v>
      </c>
      <c r="N12" s="130" t="s">
        <v>185</v>
      </c>
      <c r="O12" s="129">
        <v>42013</v>
      </c>
      <c r="P12" s="124">
        <f t="shared" si="0"/>
        <v>4</v>
      </c>
      <c r="Q12" s="50" t="s">
        <v>450</v>
      </c>
      <c r="R12" s="4" t="s">
        <v>17</v>
      </c>
      <c r="S12" s="50" t="s">
        <v>191</v>
      </c>
      <c r="T12" s="50" t="s">
        <v>101</v>
      </c>
      <c r="U12" s="129">
        <v>42014</v>
      </c>
      <c r="V12" s="126" t="s">
        <v>186</v>
      </c>
      <c r="W12" s="127">
        <f t="shared" si="1"/>
        <v>0</v>
      </c>
      <c r="X12" s="127" t="str">
        <f t="shared" si="2"/>
        <v>Correcto</v>
      </c>
      <c r="Y12" s="34"/>
      <c r="Z12" s="34"/>
      <c r="AA12" s="34"/>
    </row>
    <row r="13" spans="1:16384" s="72" customFormat="1" ht="24.75" customHeight="1" x14ac:dyDescent="0.2">
      <c r="A13" s="144">
        <v>4</v>
      </c>
      <c r="B13" s="122" t="s">
        <v>206</v>
      </c>
      <c r="C13" s="123">
        <v>42009</v>
      </c>
      <c r="D13" s="4">
        <v>4</v>
      </c>
      <c r="E13" s="128" t="s">
        <v>93</v>
      </c>
      <c r="F13" s="4" t="s">
        <v>825</v>
      </c>
      <c r="G13" s="4" t="s">
        <v>185</v>
      </c>
      <c r="H13" s="129">
        <v>42012</v>
      </c>
      <c r="I13" s="4" t="s">
        <v>187</v>
      </c>
      <c r="J13" s="4" t="s">
        <v>103</v>
      </c>
      <c r="K13" s="50" t="s">
        <v>451</v>
      </c>
      <c r="L13" s="129">
        <v>42012</v>
      </c>
      <c r="M13" s="50" t="s">
        <v>826</v>
      </c>
      <c r="N13" s="130" t="s">
        <v>185</v>
      </c>
      <c r="O13" s="129">
        <v>42013</v>
      </c>
      <c r="P13" s="124">
        <f t="shared" si="0"/>
        <v>4</v>
      </c>
      <c r="Q13" s="50" t="s">
        <v>452</v>
      </c>
      <c r="R13" s="4" t="s">
        <v>17</v>
      </c>
      <c r="S13" s="4" t="s">
        <v>192</v>
      </c>
      <c r="T13" s="50" t="s">
        <v>101</v>
      </c>
      <c r="U13" s="129">
        <v>42014</v>
      </c>
      <c r="V13" s="126" t="s">
        <v>186</v>
      </c>
      <c r="W13" s="127">
        <f t="shared" si="1"/>
        <v>0</v>
      </c>
      <c r="X13" s="127" t="str">
        <f t="shared" si="2"/>
        <v>Correcto</v>
      </c>
      <c r="Y13" s="34"/>
      <c r="Z13" s="34"/>
      <c r="AA13" s="34"/>
    </row>
    <row r="14" spans="1:16384" s="72" customFormat="1" ht="24.75" customHeight="1" x14ac:dyDescent="0.2">
      <c r="A14" s="4">
        <v>5</v>
      </c>
      <c r="B14" s="122" t="s">
        <v>207</v>
      </c>
      <c r="C14" s="123">
        <v>42009</v>
      </c>
      <c r="D14" s="4">
        <v>3</v>
      </c>
      <c r="E14" s="128" t="s">
        <v>93</v>
      </c>
      <c r="F14" s="4" t="s">
        <v>825</v>
      </c>
      <c r="G14" s="4" t="s">
        <v>185</v>
      </c>
      <c r="H14" s="129">
        <v>42012</v>
      </c>
      <c r="I14" s="4" t="s">
        <v>187</v>
      </c>
      <c r="J14" s="4" t="s">
        <v>103</v>
      </c>
      <c r="K14" s="50" t="s">
        <v>453</v>
      </c>
      <c r="L14" s="129">
        <v>42012</v>
      </c>
      <c r="M14" s="50" t="s">
        <v>826</v>
      </c>
      <c r="N14" s="130" t="s">
        <v>185</v>
      </c>
      <c r="O14" s="129">
        <v>42013</v>
      </c>
      <c r="P14" s="124">
        <f t="shared" si="0"/>
        <v>4</v>
      </c>
      <c r="Q14" s="50" t="s">
        <v>454</v>
      </c>
      <c r="R14" s="4" t="s">
        <v>17</v>
      </c>
      <c r="S14" s="4" t="s">
        <v>192</v>
      </c>
      <c r="T14" s="50" t="s">
        <v>101</v>
      </c>
      <c r="U14" s="129">
        <v>42014</v>
      </c>
      <c r="V14" s="126" t="s">
        <v>186</v>
      </c>
      <c r="W14" s="127">
        <f t="shared" si="1"/>
        <v>0</v>
      </c>
      <c r="X14" s="127" t="str">
        <f t="shared" si="2"/>
        <v>Correcto</v>
      </c>
      <c r="Y14" s="34"/>
      <c r="Z14" s="34"/>
      <c r="AA14" s="34"/>
    </row>
    <row r="15" spans="1:16384" s="72" customFormat="1" ht="24.75" customHeight="1" x14ac:dyDescent="0.2">
      <c r="A15" s="144">
        <v>6</v>
      </c>
      <c r="B15" s="122" t="s">
        <v>208</v>
      </c>
      <c r="C15" s="123">
        <v>42009</v>
      </c>
      <c r="D15" s="4">
        <v>2</v>
      </c>
      <c r="E15" s="128" t="s">
        <v>93</v>
      </c>
      <c r="F15" s="4" t="s">
        <v>825</v>
      </c>
      <c r="G15" s="4" t="s">
        <v>185</v>
      </c>
      <c r="H15" s="129">
        <v>42012</v>
      </c>
      <c r="I15" s="4" t="s">
        <v>187</v>
      </c>
      <c r="J15" s="4" t="s">
        <v>103</v>
      </c>
      <c r="K15" s="50" t="s">
        <v>455</v>
      </c>
      <c r="L15" s="129">
        <v>42012</v>
      </c>
      <c r="M15" s="50" t="s">
        <v>826</v>
      </c>
      <c r="N15" s="130" t="s">
        <v>185</v>
      </c>
      <c r="O15" s="129">
        <v>42013</v>
      </c>
      <c r="P15" s="124">
        <f t="shared" si="0"/>
        <v>4</v>
      </c>
      <c r="Q15" s="50" t="s">
        <v>456</v>
      </c>
      <c r="R15" s="4" t="s">
        <v>17</v>
      </c>
      <c r="S15" s="4" t="s">
        <v>192</v>
      </c>
      <c r="T15" s="50" t="s">
        <v>101</v>
      </c>
      <c r="U15" s="129">
        <v>42014</v>
      </c>
      <c r="V15" s="126" t="s">
        <v>186</v>
      </c>
      <c r="W15" s="127">
        <f t="shared" si="1"/>
        <v>0</v>
      </c>
      <c r="X15" s="127" t="str">
        <f t="shared" si="2"/>
        <v>Correcto</v>
      </c>
      <c r="Y15" s="34"/>
      <c r="Z15" s="34"/>
      <c r="AA15" s="34"/>
    </row>
    <row r="16" spans="1:16384" s="72" customFormat="1" ht="24.75" customHeight="1" x14ac:dyDescent="0.2">
      <c r="A16" s="144">
        <v>7</v>
      </c>
      <c r="B16" s="122" t="s">
        <v>209</v>
      </c>
      <c r="C16" s="123">
        <v>42009</v>
      </c>
      <c r="D16" s="4">
        <v>2</v>
      </c>
      <c r="E16" s="128" t="s">
        <v>93</v>
      </c>
      <c r="F16" s="4" t="s">
        <v>825</v>
      </c>
      <c r="G16" s="4" t="s">
        <v>185</v>
      </c>
      <c r="H16" s="129">
        <v>42012</v>
      </c>
      <c r="I16" s="4" t="s">
        <v>187</v>
      </c>
      <c r="J16" s="4" t="s">
        <v>103</v>
      </c>
      <c r="K16" s="50" t="s">
        <v>457</v>
      </c>
      <c r="L16" s="129">
        <v>42012</v>
      </c>
      <c r="M16" s="50" t="s">
        <v>826</v>
      </c>
      <c r="N16" s="130" t="s">
        <v>185</v>
      </c>
      <c r="O16" s="129">
        <v>42013</v>
      </c>
      <c r="P16" s="124">
        <f t="shared" ref="P16" si="3">O16-C16</f>
        <v>4</v>
      </c>
      <c r="Q16" s="50" t="s">
        <v>458</v>
      </c>
      <c r="R16" s="4" t="s">
        <v>17</v>
      </c>
      <c r="S16" s="4" t="s">
        <v>198</v>
      </c>
      <c r="T16" s="50" t="s">
        <v>101</v>
      </c>
      <c r="U16" s="129">
        <v>42014</v>
      </c>
      <c r="V16" s="126" t="s">
        <v>186</v>
      </c>
      <c r="W16" s="127">
        <f t="shared" si="1"/>
        <v>0</v>
      </c>
      <c r="X16" s="127" t="str">
        <f t="shared" si="2"/>
        <v>Correcto</v>
      </c>
      <c r="Y16" s="34"/>
      <c r="Z16" s="34"/>
      <c r="AA16" s="34"/>
    </row>
    <row r="17" spans="1:27" s="72" customFormat="1" ht="24.75" customHeight="1" x14ac:dyDescent="0.2">
      <c r="A17" s="4">
        <v>8</v>
      </c>
      <c r="B17" s="122" t="s">
        <v>1044</v>
      </c>
      <c r="C17" s="123">
        <v>42009</v>
      </c>
      <c r="D17" s="4">
        <v>13</v>
      </c>
      <c r="E17" s="128" t="s">
        <v>93</v>
      </c>
      <c r="F17" s="4" t="s">
        <v>825</v>
      </c>
      <c r="G17" s="4" t="s">
        <v>185</v>
      </c>
      <c r="H17" s="129">
        <v>42012</v>
      </c>
      <c r="I17" s="4" t="s">
        <v>187</v>
      </c>
      <c r="J17" s="4" t="s">
        <v>103</v>
      </c>
      <c r="K17" s="50" t="s">
        <v>460</v>
      </c>
      <c r="L17" s="129">
        <v>42012</v>
      </c>
      <c r="M17" s="50" t="s">
        <v>826</v>
      </c>
      <c r="N17" s="130" t="s">
        <v>185</v>
      </c>
      <c r="O17" s="129">
        <v>42013</v>
      </c>
      <c r="P17" s="124">
        <f t="shared" ref="P17" si="4">O17-C17</f>
        <v>4</v>
      </c>
      <c r="Q17" s="50" t="s">
        <v>461</v>
      </c>
      <c r="R17" s="4" t="s">
        <v>17</v>
      </c>
      <c r="S17" s="4" t="s">
        <v>459</v>
      </c>
      <c r="T17" s="50" t="s">
        <v>101</v>
      </c>
      <c r="U17" s="129">
        <v>42014</v>
      </c>
      <c r="V17" s="126" t="s">
        <v>186</v>
      </c>
      <c r="W17" s="127">
        <f t="shared" si="1"/>
        <v>0</v>
      </c>
      <c r="X17" s="127" t="str">
        <f t="shared" si="2"/>
        <v>Correcto</v>
      </c>
      <c r="Y17" s="34"/>
      <c r="Z17" s="34"/>
      <c r="AA17" s="34"/>
    </row>
    <row r="18" spans="1:27" s="72" customFormat="1" ht="24.75" customHeight="1" x14ac:dyDescent="0.2">
      <c r="A18" s="144">
        <v>9</v>
      </c>
      <c r="B18" s="122" t="s">
        <v>210</v>
      </c>
      <c r="C18" s="123">
        <v>42009</v>
      </c>
      <c r="D18" s="4">
        <v>2</v>
      </c>
      <c r="E18" s="128" t="s">
        <v>93</v>
      </c>
      <c r="F18" s="4" t="s">
        <v>825</v>
      </c>
      <c r="G18" s="4" t="s">
        <v>185</v>
      </c>
      <c r="H18" s="129">
        <v>42012</v>
      </c>
      <c r="I18" s="4" t="s">
        <v>187</v>
      </c>
      <c r="J18" s="4" t="s">
        <v>103</v>
      </c>
      <c r="K18" s="50" t="s">
        <v>462</v>
      </c>
      <c r="L18" s="129">
        <v>42012</v>
      </c>
      <c r="M18" s="50" t="s">
        <v>826</v>
      </c>
      <c r="N18" s="130" t="s">
        <v>185</v>
      </c>
      <c r="O18" s="129">
        <v>42013</v>
      </c>
      <c r="P18" s="124">
        <f t="shared" ref="P18" si="5">O18-C18</f>
        <v>4</v>
      </c>
      <c r="Q18" s="50" t="s">
        <v>463</v>
      </c>
      <c r="R18" s="4" t="s">
        <v>17</v>
      </c>
      <c r="S18" s="4" t="s">
        <v>200</v>
      </c>
      <c r="T18" s="50" t="s">
        <v>101</v>
      </c>
      <c r="U18" s="129">
        <v>42014</v>
      </c>
      <c r="V18" s="126" t="s">
        <v>186</v>
      </c>
      <c r="W18" s="127">
        <f t="shared" si="1"/>
        <v>0</v>
      </c>
      <c r="X18" s="127" t="str">
        <f t="shared" si="2"/>
        <v>Correcto</v>
      </c>
      <c r="Y18" s="34"/>
      <c r="Z18" s="34"/>
      <c r="AA18" s="34"/>
    </row>
    <row r="19" spans="1:27" s="72" customFormat="1" ht="24.75" customHeight="1" x14ac:dyDescent="0.2">
      <c r="A19" s="144">
        <v>10</v>
      </c>
      <c r="B19" s="122" t="s">
        <v>211</v>
      </c>
      <c r="C19" s="123">
        <v>42009</v>
      </c>
      <c r="D19" s="4">
        <v>2</v>
      </c>
      <c r="E19" s="128" t="s">
        <v>93</v>
      </c>
      <c r="F19" s="4" t="s">
        <v>825</v>
      </c>
      <c r="G19" s="4" t="s">
        <v>185</v>
      </c>
      <c r="H19" s="129">
        <v>42012</v>
      </c>
      <c r="I19" s="4" t="s">
        <v>187</v>
      </c>
      <c r="J19" s="4" t="s">
        <v>103</v>
      </c>
      <c r="K19" s="50" t="s">
        <v>464</v>
      </c>
      <c r="L19" s="129">
        <v>42012</v>
      </c>
      <c r="M19" s="50" t="s">
        <v>826</v>
      </c>
      <c r="N19" s="130" t="s">
        <v>185</v>
      </c>
      <c r="O19" s="129">
        <v>42013</v>
      </c>
      <c r="P19" s="124">
        <f t="shared" ref="P19" si="6">O19-C19</f>
        <v>4</v>
      </c>
      <c r="Q19" s="50" t="s">
        <v>465</v>
      </c>
      <c r="R19" s="4" t="s">
        <v>17</v>
      </c>
      <c r="S19" s="4" t="s">
        <v>198</v>
      </c>
      <c r="T19" s="50" t="s">
        <v>101</v>
      </c>
      <c r="U19" s="129">
        <v>42014</v>
      </c>
      <c r="V19" s="126" t="s">
        <v>186</v>
      </c>
      <c r="W19" s="127">
        <f t="shared" si="1"/>
        <v>0</v>
      </c>
      <c r="X19" s="127" t="str">
        <f t="shared" si="2"/>
        <v>Correcto</v>
      </c>
      <c r="Y19" s="34"/>
      <c r="Z19" s="34"/>
      <c r="AA19" s="34"/>
    </row>
    <row r="20" spans="1:27" s="72" customFormat="1" ht="24.75" customHeight="1" x14ac:dyDescent="0.2">
      <c r="A20" s="4">
        <v>11</v>
      </c>
      <c r="B20" s="122" t="s">
        <v>212</v>
      </c>
      <c r="C20" s="123">
        <v>42009</v>
      </c>
      <c r="D20" s="4">
        <v>2</v>
      </c>
      <c r="E20" s="128" t="s">
        <v>93</v>
      </c>
      <c r="F20" s="4" t="s">
        <v>825</v>
      </c>
      <c r="G20" s="4" t="s">
        <v>185</v>
      </c>
      <c r="H20" s="129">
        <v>42012</v>
      </c>
      <c r="I20" s="4" t="s">
        <v>187</v>
      </c>
      <c r="J20" s="4" t="s">
        <v>103</v>
      </c>
      <c r="K20" s="50" t="s">
        <v>466</v>
      </c>
      <c r="L20" s="129">
        <v>42012</v>
      </c>
      <c r="M20" s="50" t="s">
        <v>826</v>
      </c>
      <c r="N20" s="130" t="s">
        <v>185</v>
      </c>
      <c r="O20" s="129">
        <v>42013</v>
      </c>
      <c r="P20" s="124">
        <f t="shared" ref="P20" si="7">O20-C20</f>
        <v>4</v>
      </c>
      <c r="Q20" s="50" t="s">
        <v>467</v>
      </c>
      <c r="R20" s="4" t="s">
        <v>17</v>
      </c>
      <c r="S20" s="4" t="s">
        <v>200</v>
      </c>
      <c r="T20" s="50" t="s">
        <v>101</v>
      </c>
      <c r="U20" s="129">
        <v>42014</v>
      </c>
      <c r="V20" s="126" t="s">
        <v>186</v>
      </c>
      <c r="W20" s="127">
        <f t="shared" si="1"/>
        <v>0</v>
      </c>
      <c r="X20" s="127" t="str">
        <f t="shared" si="2"/>
        <v>Correcto</v>
      </c>
      <c r="Y20" s="34"/>
      <c r="Z20" s="34"/>
      <c r="AA20" s="34"/>
    </row>
    <row r="21" spans="1:27" s="72" customFormat="1" ht="24.75" customHeight="1" x14ac:dyDescent="0.2">
      <c r="A21" s="144">
        <v>12</v>
      </c>
      <c r="B21" s="122" t="s">
        <v>213</v>
      </c>
      <c r="C21" s="123">
        <v>42009</v>
      </c>
      <c r="D21" s="4">
        <v>13</v>
      </c>
      <c r="E21" s="4" t="s">
        <v>93</v>
      </c>
      <c r="F21" s="4" t="s">
        <v>827</v>
      </c>
      <c r="G21" s="4" t="s">
        <v>202</v>
      </c>
      <c r="H21" s="129">
        <v>42011</v>
      </c>
      <c r="I21" s="4" t="s">
        <v>187</v>
      </c>
      <c r="J21" s="4" t="s">
        <v>103</v>
      </c>
      <c r="K21" s="4" t="s">
        <v>482</v>
      </c>
      <c r="L21" s="129">
        <v>42011</v>
      </c>
      <c r="M21" s="50" t="s">
        <v>826</v>
      </c>
      <c r="N21" s="130" t="s">
        <v>185</v>
      </c>
      <c r="O21" s="129">
        <v>42011</v>
      </c>
      <c r="P21" s="124">
        <f t="shared" ref="P21:P41" si="8">O21-C21</f>
        <v>2</v>
      </c>
      <c r="Q21" s="50" t="s">
        <v>483</v>
      </c>
      <c r="R21" s="4" t="s">
        <v>17</v>
      </c>
      <c r="S21" s="4" t="s">
        <v>104</v>
      </c>
      <c r="T21" s="50" t="s">
        <v>1046</v>
      </c>
      <c r="U21" s="132">
        <v>42014</v>
      </c>
      <c r="V21" s="126" t="s">
        <v>186</v>
      </c>
      <c r="W21" s="127">
        <f t="shared" ref="W21" si="9">COUNTBLANK(C21:V21)</f>
        <v>0</v>
      </c>
      <c r="X21" s="127" t="str">
        <f t="shared" ref="X21" si="10">IF(W21=0,"Correcto","Incorrecto")</f>
        <v>Correcto</v>
      </c>
      <c r="Y21" s="34"/>
      <c r="Z21" s="34"/>
      <c r="AA21" s="34"/>
    </row>
    <row r="22" spans="1:27" s="72" customFormat="1" ht="24.75" customHeight="1" x14ac:dyDescent="0.2">
      <c r="A22" s="144">
        <v>13</v>
      </c>
      <c r="B22" s="122" t="s">
        <v>214</v>
      </c>
      <c r="C22" s="123">
        <v>42009</v>
      </c>
      <c r="D22" s="4">
        <v>17</v>
      </c>
      <c r="E22" s="4" t="s">
        <v>93</v>
      </c>
      <c r="F22" s="4" t="s">
        <v>827</v>
      </c>
      <c r="G22" s="4" t="s">
        <v>202</v>
      </c>
      <c r="H22" s="129">
        <v>42011</v>
      </c>
      <c r="I22" s="4" t="s">
        <v>187</v>
      </c>
      <c r="J22" s="4" t="s">
        <v>103</v>
      </c>
      <c r="K22" s="4" t="s">
        <v>486</v>
      </c>
      <c r="L22" s="129">
        <v>42011</v>
      </c>
      <c r="M22" s="50" t="s">
        <v>826</v>
      </c>
      <c r="N22" s="130" t="s">
        <v>185</v>
      </c>
      <c r="O22" s="129">
        <v>42011</v>
      </c>
      <c r="P22" s="124">
        <f t="shared" si="8"/>
        <v>2</v>
      </c>
      <c r="Q22" s="50" t="s">
        <v>487</v>
      </c>
      <c r="R22" s="4" t="s">
        <v>17</v>
      </c>
      <c r="S22" s="4" t="s">
        <v>104</v>
      </c>
      <c r="T22" s="50" t="s">
        <v>1048</v>
      </c>
      <c r="U22" s="132">
        <v>42011</v>
      </c>
      <c r="V22" s="126" t="s">
        <v>186</v>
      </c>
      <c r="W22" s="127">
        <f t="shared" ref="W22" si="11">COUNTBLANK(C22:V22)</f>
        <v>0</v>
      </c>
      <c r="X22" s="127" t="str">
        <f t="shared" ref="X22" si="12">IF(W22=0,"Correcto","Incorrecto")</f>
        <v>Correcto</v>
      </c>
      <c r="Y22" s="34"/>
      <c r="Z22" s="34"/>
      <c r="AA22" s="34"/>
    </row>
    <row r="23" spans="1:27" s="143" customFormat="1" ht="24.75" customHeight="1" x14ac:dyDescent="0.2">
      <c r="A23" s="4">
        <v>14</v>
      </c>
      <c r="B23" s="135" t="s">
        <v>215</v>
      </c>
      <c r="C23" s="136">
        <v>42009</v>
      </c>
      <c r="D23" s="137">
        <v>2</v>
      </c>
      <c r="E23" s="137" t="s">
        <v>93</v>
      </c>
      <c r="F23" s="137" t="s">
        <v>827</v>
      </c>
      <c r="G23" s="137" t="s">
        <v>202</v>
      </c>
      <c r="H23" s="138">
        <v>42011</v>
      </c>
      <c r="I23" s="137" t="s">
        <v>187</v>
      </c>
      <c r="J23" s="137" t="s">
        <v>103</v>
      </c>
      <c r="K23" s="137" t="s">
        <v>468</v>
      </c>
      <c r="L23" s="138">
        <v>42011</v>
      </c>
      <c r="M23" s="139" t="s">
        <v>826</v>
      </c>
      <c r="N23" s="124" t="s">
        <v>185</v>
      </c>
      <c r="O23" s="138">
        <v>42011</v>
      </c>
      <c r="P23" s="124">
        <f t="shared" si="8"/>
        <v>2</v>
      </c>
      <c r="Q23" s="139" t="s">
        <v>469</v>
      </c>
      <c r="R23" s="137" t="s">
        <v>17</v>
      </c>
      <c r="S23" s="137" t="s">
        <v>104</v>
      </c>
      <c r="T23" s="139" t="s">
        <v>470</v>
      </c>
      <c r="U23" s="125">
        <v>42012</v>
      </c>
      <c r="V23" s="140" t="s">
        <v>186</v>
      </c>
      <c r="W23" s="141">
        <f t="shared" ref="W23" si="13">COUNTBLANK(C23:V23)</f>
        <v>0</v>
      </c>
      <c r="X23" s="141" t="str">
        <f t="shared" ref="X23" si="14">IF(W23=0,"Correcto","Incorrecto")</f>
        <v>Correcto</v>
      </c>
      <c r="Y23" s="142"/>
      <c r="Z23" s="142"/>
      <c r="AA23" s="142"/>
    </row>
    <row r="24" spans="1:27" s="72" customFormat="1" ht="24.75" customHeight="1" x14ac:dyDescent="0.2">
      <c r="A24" s="144">
        <v>15</v>
      </c>
      <c r="B24" s="122" t="s">
        <v>216</v>
      </c>
      <c r="C24" s="123">
        <v>42009</v>
      </c>
      <c r="D24" s="4">
        <v>2</v>
      </c>
      <c r="E24" s="4" t="s">
        <v>93</v>
      </c>
      <c r="F24" s="4" t="s">
        <v>825</v>
      </c>
      <c r="G24" s="4" t="s">
        <v>202</v>
      </c>
      <c r="H24" s="129">
        <v>42009</v>
      </c>
      <c r="I24" s="4" t="s">
        <v>187</v>
      </c>
      <c r="J24" s="4" t="s">
        <v>103</v>
      </c>
      <c r="K24" s="4" t="s">
        <v>471</v>
      </c>
      <c r="L24" s="129">
        <v>42009</v>
      </c>
      <c r="M24" s="50" t="s">
        <v>826</v>
      </c>
      <c r="N24" s="130" t="s">
        <v>185</v>
      </c>
      <c r="O24" s="129">
        <v>42009</v>
      </c>
      <c r="P24" s="124">
        <f t="shared" si="8"/>
        <v>0</v>
      </c>
      <c r="Q24" s="50" t="s">
        <v>472</v>
      </c>
      <c r="R24" s="4" t="s">
        <v>17</v>
      </c>
      <c r="S24" s="4" t="s">
        <v>104</v>
      </c>
      <c r="T24" s="50" t="s">
        <v>473</v>
      </c>
      <c r="U24" s="132">
        <v>42012</v>
      </c>
      <c r="V24" s="126" t="s">
        <v>186</v>
      </c>
      <c r="W24" s="127">
        <f t="shared" ref="W24" si="15">COUNTBLANK(C24:V24)</f>
        <v>0</v>
      </c>
      <c r="X24" s="127" t="str">
        <f t="shared" ref="X24" si="16">IF(W24=0,"Correcto","Incorrecto")</f>
        <v>Correcto</v>
      </c>
      <c r="Y24" s="34"/>
      <c r="Z24" s="34"/>
      <c r="AA24" s="34"/>
    </row>
    <row r="25" spans="1:27" s="72" customFormat="1" ht="24.75" customHeight="1" x14ac:dyDescent="0.2">
      <c r="A25" s="144">
        <v>16</v>
      </c>
      <c r="B25" s="122" t="s">
        <v>217</v>
      </c>
      <c r="C25" s="123">
        <v>42009</v>
      </c>
      <c r="D25" s="4">
        <v>2</v>
      </c>
      <c r="E25" s="4" t="s">
        <v>93</v>
      </c>
      <c r="F25" s="4" t="s">
        <v>827</v>
      </c>
      <c r="G25" s="4" t="s">
        <v>202</v>
      </c>
      <c r="H25" s="129">
        <v>42009</v>
      </c>
      <c r="I25" s="4" t="s">
        <v>187</v>
      </c>
      <c r="J25" s="4" t="s">
        <v>103</v>
      </c>
      <c r="K25" s="4" t="s">
        <v>474</v>
      </c>
      <c r="L25" s="129">
        <v>42009</v>
      </c>
      <c r="M25" s="50" t="s">
        <v>826</v>
      </c>
      <c r="N25" s="130" t="s">
        <v>185</v>
      </c>
      <c r="O25" s="129">
        <v>42009</v>
      </c>
      <c r="P25" s="124">
        <f t="shared" si="8"/>
        <v>0</v>
      </c>
      <c r="Q25" s="50" t="s">
        <v>475</v>
      </c>
      <c r="R25" s="4" t="s">
        <v>17</v>
      </c>
      <c r="S25" s="4" t="s">
        <v>104</v>
      </c>
      <c r="T25" s="50" t="s">
        <v>476</v>
      </c>
      <c r="U25" s="132">
        <v>42012</v>
      </c>
      <c r="V25" s="126" t="s">
        <v>186</v>
      </c>
      <c r="W25" s="127">
        <f t="shared" ref="W25" si="17">COUNTBLANK(C25:V25)</f>
        <v>0</v>
      </c>
      <c r="X25" s="127" t="str">
        <f t="shared" ref="X25" si="18">IF(W25=0,"Correcto","Incorrecto")</f>
        <v>Correcto</v>
      </c>
      <c r="Y25" s="34"/>
      <c r="Z25" s="34"/>
      <c r="AA25" s="34"/>
    </row>
    <row r="26" spans="1:27" s="72" customFormat="1" ht="24.75" customHeight="1" x14ac:dyDescent="0.2">
      <c r="A26" s="4">
        <v>17</v>
      </c>
      <c r="B26" s="122" t="s">
        <v>218</v>
      </c>
      <c r="C26" s="123">
        <v>42009</v>
      </c>
      <c r="D26" s="4">
        <v>2</v>
      </c>
      <c r="E26" s="4" t="s">
        <v>93</v>
      </c>
      <c r="F26" s="4" t="s">
        <v>827</v>
      </c>
      <c r="G26" s="4" t="s">
        <v>202</v>
      </c>
      <c r="H26" s="129">
        <v>42011</v>
      </c>
      <c r="I26" s="4" t="s">
        <v>187</v>
      </c>
      <c r="J26" s="4" t="s">
        <v>103</v>
      </c>
      <c r="K26" s="4" t="s">
        <v>477</v>
      </c>
      <c r="L26" s="129">
        <v>42011</v>
      </c>
      <c r="M26" s="50" t="s">
        <v>826</v>
      </c>
      <c r="N26" s="130" t="s">
        <v>185</v>
      </c>
      <c r="O26" s="129">
        <v>42011</v>
      </c>
      <c r="P26" s="124">
        <f t="shared" si="8"/>
        <v>2</v>
      </c>
      <c r="Q26" s="50" t="s">
        <v>478</v>
      </c>
      <c r="R26" s="4" t="s">
        <v>17</v>
      </c>
      <c r="S26" s="4" t="s">
        <v>104</v>
      </c>
      <c r="T26" s="50" t="s">
        <v>479</v>
      </c>
      <c r="U26" s="132">
        <v>42012</v>
      </c>
      <c r="V26" s="126" t="s">
        <v>186</v>
      </c>
      <c r="W26" s="127">
        <f t="shared" ref="W26" si="19">COUNTBLANK(C26:V26)</f>
        <v>0</v>
      </c>
      <c r="X26" s="127" t="str">
        <f t="shared" ref="X26" si="20">IF(W26=0,"Correcto","Incorrecto")</f>
        <v>Correcto</v>
      </c>
      <c r="Y26" s="34"/>
      <c r="Z26" s="34"/>
      <c r="AA26" s="34"/>
    </row>
    <row r="27" spans="1:27" s="72" customFormat="1" ht="24.75" customHeight="1" x14ac:dyDescent="0.2">
      <c r="A27" s="144">
        <v>18</v>
      </c>
      <c r="B27" s="122" t="s">
        <v>219</v>
      </c>
      <c r="C27" s="123">
        <v>42009</v>
      </c>
      <c r="D27" s="4">
        <v>12</v>
      </c>
      <c r="E27" s="4" t="s">
        <v>93</v>
      </c>
      <c r="F27" s="4" t="s">
        <v>827</v>
      </c>
      <c r="G27" s="4" t="s">
        <v>202</v>
      </c>
      <c r="H27" s="129">
        <v>42011</v>
      </c>
      <c r="I27" s="4" t="s">
        <v>187</v>
      </c>
      <c r="J27" s="4" t="s">
        <v>103</v>
      </c>
      <c r="K27" s="4" t="s">
        <v>480</v>
      </c>
      <c r="L27" s="129">
        <v>42011</v>
      </c>
      <c r="M27" s="50" t="s">
        <v>826</v>
      </c>
      <c r="N27" s="130" t="s">
        <v>185</v>
      </c>
      <c r="O27" s="129">
        <v>42011</v>
      </c>
      <c r="P27" s="124">
        <v>13</v>
      </c>
      <c r="Q27" s="50" t="s">
        <v>481</v>
      </c>
      <c r="R27" s="4" t="s">
        <v>17</v>
      </c>
      <c r="S27" s="4" t="s">
        <v>104</v>
      </c>
      <c r="T27" s="50" t="s">
        <v>1045</v>
      </c>
      <c r="U27" s="132">
        <v>42223</v>
      </c>
      <c r="V27" s="126" t="s">
        <v>186</v>
      </c>
      <c r="W27" s="127">
        <f t="shared" ref="W27" si="21">COUNTBLANK(C27:V27)</f>
        <v>0</v>
      </c>
      <c r="X27" s="127" t="str">
        <f t="shared" ref="X27" si="22">IF(W27=0,"Correcto","Incorrecto")</f>
        <v>Correcto</v>
      </c>
      <c r="Y27" s="34"/>
      <c r="Z27" s="34"/>
      <c r="AA27" s="34"/>
    </row>
    <row r="28" spans="1:27" s="72" customFormat="1" ht="24.75" customHeight="1" x14ac:dyDescent="0.2">
      <c r="A28" s="144">
        <v>19</v>
      </c>
      <c r="B28" s="122" t="s">
        <v>220</v>
      </c>
      <c r="C28" s="123">
        <v>42009</v>
      </c>
      <c r="D28" s="4">
        <v>12</v>
      </c>
      <c r="E28" s="4" t="s">
        <v>93</v>
      </c>
      <c r="F28" s="4" t="s">
        <v>827</v>
      </c>
      <c r="G28" s="4" t="s">
        <v>202</v>
      </c>
      <c r="H28" s="129">
        <v>42011</v>
      </c>
      <c r="I28" s="4" t="s">
        <v>187</v>
      </c>
      <c r="J28" s="4" t="s">
        <v>103</v>
      </c>
      <c r="K28" s="4" t="s">
        <v>482</v>
      </c>
      <c r="L28" s="129">
        <v>42011</v>
      </c>
      <c r="M28" s="50" t="s">
        <v>826</v>
      </c>
      <c r="N28" s="130" t="s">
        <v>185</v>
      </c>
      <c r="O28" s="129">
        <v>42011</v>
      </c>
      <c r="P28" s="124">
        <v>13</v>
      </c>
      <c r="Q28" s="50" t="s">
        <v>483</v>
      </c>
      <c r="R28" s="4" t="s">
        <v>17</v>
      </c>
      <c r="S28" s="4" t="s">
        <v>104</v>
      </c>
      <c r="T28" s="50" t="s">
        <v>1046</v>
      </c>
      <c r="U28" s="132">
        <v>42223</v>
      </c>
      <c r="V28" s="126" t="s">
        <v>186</v>
      </c>
      <c r="W28" s="127">
        <f t="shared" ref="W28" si="23">COUNTBLANK(C28:V28)</f>
        <v>0</v>
      </c>
      <c r="X28" s="127" t="str">
        <f t="shared" ref="X28" si="24">IF(W28=0,"Correcto","Incorrecto")</f>
        <v>Correcto</v>
      </c>
      <c r="Y28" s="34"/>
      <c r="Z28" s="34"/>
      <c r="AA28" s="34"/>
    </row>
    <row r="29" spans="1:27" s="72" customFormat="1" ht="24.75" customHeight="1" x14ac:dyDescent="0.2">
      <c r="A29" s="4">
        <v>20</v>
      </c>
      <c r="B29" s="122" t="s">
        <v>221</v>
      </c>
      <c r="C29" s="123">
        <v>42009</v>
      </c>
      <c r="D29" s="4">
        <v>7</v>
      </c>
      <c r="E29" s="4" t="s">
        <v>93</v>
      </c>
      <c r="F29" s="4" t="s">
        <v>827</v>
      </c>
      <c r="G29" s="4" t="s">
        <v>202</v>
      </c>
      <c r="H29" s="129">
        <v>42011</v>
      </c>
      <c r="I29" s="4" t="s">
        <v>187</v>
      </c>
      <c r="J29" s="4" t="s">
        <v>103</v>
      </c>
      <c r="K29" s="4" t="s">
        <v>484</v>
      </c>
      <c r="L29" s="129">
        <v>42011</v>
      </c>
      <c r="M29" s="50" t="s">
        <v>826</v>
      </c>
      <c r="N29" s="130" t="s">
        <v>185</v>
      </c>
      <c r="O29" s="129">
        <v>42011</v>
      </c>
      <c r="P29" s="124">
        <v>8</v>
      </c>
      <c r="Q29" s="50" t="s">
        <v>485</v>
      </c>
      <c r="R29" s="4" t="s">
        <v>17</v>
      </c>
      <c r="S29" s="4" t="s">
        <v>104</v>
      </c>
      <c r="T29" s="50" t="s">
        <v>1047</v>
      </c>
      <c r="U29" s="132">
        <v>42223</v>
      </c>
      <c r="V29" s="126" t="s">
        <v>186</v>
      </c>
      <c r="W29" s="127">
        <f t="shared" ref="W29" si="25">COUNTBLANK(C29:V29)</f>
        <v>0</v>
      </c>
      <c r="X29" s="127" t="str">
        <f t="shared" ref="X29" si="26">IF(W29=0,"Correcto","Incorrecto")</f>
        <v>Correcto</v>
      </c>
      <c r="Y29" s="34"/>
      <c r="Z29" s="34"/>
      <c r="AA29" s="34"/>
    </row>
    <row r="30" spans="1:27" s="72" customFormat="1" ht="24.75" customHeight="1" x14ac:dyDescent="0.2">
      <c r="A30" s="144">
        <v>21</v>
      </c>
      <c r="B30" s="122" t="s">
        <v>222</v>
      </c>
      <c r="C30" s="123">
        <v>42009</v>
      </c>
      <c r="D30" s="4">
        <v>16</v>
      </c>
      <c r="E30" s="4" t="s">
        <v>93</v>
      </c>
      <c r="F30" s="4" t="s">
        <v>827</v>
      </c>
      <c r="G30" s="4" t="s">
        <v>202</v>
      </c>
      <c r="H30" s="129">
        <v>42011</v>
      </c>
      <c r="I30" s="4" t="s">
        <v>187</v>
      </c>
      <c r="J30" s="4" t="s">
        <v>103</v>
      </c>
      <c r="K30" s="4" t="s">
        <v>486</v>
      </c>
      <c r="L30" s="129">
        <v>42011</v>
      </c>
      <c r="M30" s="50" t="s">
        <v>826</v>
      </c>
      <c r="N30" s="130" t="s">
        <v>185</v>
      </c>
      <c r="O30" s="129">
        <v>42011</v>
      </c>
      <c r="P30" s="124">
        <v>17</v>
      </c>
      <c r="Q30" s="50" t="s">
        <v>487</v>
      </c>
      <c r="R30" s="4" t="s">
        <v>17</v>
      </c>
      <c r="S30" s="4" t="s">
        <v>104</v>
      </c>
      <c r="T30" s="50" t="s">
        <v>1048</v>
      </c>
      <c r="U30" s="132">
        <v>42223</v>
      </c>
      <c r="V30" s="126" t="s">
        <v>186</v>
      </c>
      <c r="W30" s="127">
        <f t="shared" ref="W30" si="27">COUNTBLANK(C30:V30)</f>
        <v>0</v>
      </c>
      <c r="X30" s="127" t="str">
        <f t="shared" ref="X30" si="28">IF(W30=0,"Correcto","Incorrecto")</f>
        <v>Correcto</v>
      </c>
      <c r="Y30" s="34"/>
      <c r="Z30" s="34"/>
      <c r="AA30" s="34"/>
    </row>
    <row r="31" spans="1:27" s="72" customFormat="1" ht="24.75" customHeight="1" x14ac:dyDescent="0.2">
      <c r="A31" s="144">
        <v>22</v>
      </c>
      <c r="B31" s="122" t="s">
        <v>223</v>
      </c>
      <c r="C31" s="123">
        <v>42009</v>
      </c>
      <c r="D31" s="4">
        <v>12</v>
      </c>
      <c r="E31" s="4" t="s">
        <v>93</v>
      </c>
      <c r="F31" s="4" t="s">
        <v>827</v>
      </c>
      <c r="G31" s="4" t="s">
        <v>202</v>
      </c>
      <c r="H31" s="129">
        <v>42011</v>
      </c>
      <c r="I31" s="4" t="s">
        <v>187</v>
      </c>
      <c r="J31" s="4" t="s">
        <v>103</v>
      </c>
      <c r="K31" s="4" t="s">
        <v>488</v>
      </c>
      <c r="L31" s="129">
        <v>42011</v>
      </c>
      <c r="M31" s="50" t="s">
        <v>826</v>
      </c>
      <c r="N31" s="130" t="s">
        <v>185</v>
      </c>
      <c r="O31" s="129">
        <v>42011</v>
      </c>
      <c r="P31" s="124">
        <v>13</v>
      </c>
      <c r="Q31" s="50" t="s">
        <v>489</v>
      </c>
      <c r="R31" s="4" t="s">
        <v>17</v>
      </c>
      <c r="S31" s="4" t="s">
        <v>104</v>
      </c>
      <c r="T31" s="50" t="s">
        <v>490</v>
      </c>
      <c r="U31" s="132">
        <v>42011</v>
      </c>
      <c r="V31" s="126" t="s">
        <v>186</v>
      </c>
      <c r="W31" s="127">
        <f t="shared" ref="W31" si="29">COUNTBLANK(C31:V31)</f>
        <v>0</v>
      </c>
      <c r="X31" s="127" t="str">
        <f t="shared" ref="X31" si="30">IF(W31=0,"Correcto","Incorrecto")</f>
        <v>Correcto</v>
      </c>
      <c r="Y31" s="34"/>
      <c r="Z31" s="34"/>
      <c r="AA31" s="34"/>
    </row>
    <row r="32" spans="1:27" s="72" customFormat="1" ht="24.75" customHeight="1" x14ac:dyDescent="0.2">
      <c r="A32" s="4">
        <v>23</v>
      </c>
      <c r="B32" s="122" t="s">
        <v>224</v>
      </c>
      <c r="C32" s="123">
        <v>42010</v>
      </c>
      <c r="D32" s="4">
        <v>2</v>
      </c>
      <c r="E32" s="4" t="s">
        <v>93</v>
      </c>
      <c r="F32" s="4" t="s">
        <v>825</v>
      </c>
      <c r="G32" s="4" t="s">
        <v>202</v>
      </c>
      <c r="H32" s="129">
        <v>42014</v>
      </c>
      <c r="I32" s="4" t="s">
        <v>187</v>
      </c>
      <c r="J32" s="4" t="s">
        <v>103</v>
      </c>
      <c r="K32" s="4" t="s">
        <v>491</v>
      </c>
      <c r="L32" s="129">
        <v>42014</v>
      </c>
      <c r="M32" s="50" t="s">
        <v>826</v>
      </c>
      <c r="N32" s="130" t="s">
        <v>185</v>
      </c>
      <c r="O32" s="129">
        <v>42014</v>
      </c>
      <c r="P32" s="124">
        <v>2</v>
      </c>
      <c r="Q32" s="50" t="s">
        <v>492</v>
      </c>
      <c r="R32" s="4" t="s">
        <v>17</v>
      </c>
      <c r="S32" s="4" t="s">
        <v>198</v>
      </c>
      <c r="T32" s="50" t="s">
        <v>101</v>
      </c>
      <c r="U32" s="132">
        <v>42017</v>
      </c>
      <c r="V32" s="126" t="s">
        <v>186</v>
      </c>
      <c r="W32" s="127">
        <f t="shared" ref="W32" si="31">COUNTBLANK(C32:V32)</f>
        <v>0</v>
      </c>
      <c r="X32" s="127" t="str">
        <f t="shared" ref="X32" si="32">IF(W32=0,"Correcto","Incorrecto")</f>
        <v>Correcto</v>
      </c>
      <c r="Y32" s="34"/>
      <c r="Z32" s="34"/>
      <c r="AA32" s="34"/>
    </row>
    <row r="33" spans="1:27" s="72" customFormat="1" ht="24.75" customHeight="1" x14ac:dyDescent="0.2">
      <c r="A33" s="144">
        <v>24</v>
      </c>
      <c r="B33" s="122" t="s">
        <v>225</v>
      </c>
      <c r="C33" s="123">
        <v>42010</v>
      </c>
      <c r="D33" s="4">
        <v>2</v>
      </c>
      <c r="E33" s="4" t="s">
        <v>93</v>
      </c>
      <c r="F33" s="4" t="s">
        <v>825</v>
      </c>
      <c r="G33" s="4" t="s">
        <v>202</v>
      </c>
      <c r="H33" s="129">
        <v>42014</v>
      </c>
      <c r="I33" s="4" t="s">
        <v>187</v>
      </c>
      <c r="J33" s="4" t="s">
        <v>103</v>
      </c>
      <c r="K33" s="4" t="s">
        <v>493</v>
      </c>
      <c r="L33" s="129">
        <v>42014</v>
      </c>
      <c r="M33" s="50" t="s">
        <v>826</v>
      </c>
      <c r="N33" s="130" t="s">
        <v>185</v>
      </c>
      <c r="O33" s="129">
        <v>42014</v>
      </c>
      <c r="P33" s="124">
        <v>2</v>
      </c>
      <c r="Q33" s="50" t="s">
        <v>494</v>
      </c>
      <c r="R33" s="4" t="s">
        <v>17</v>
      </c>
      <c r="S33" s="4" t="s">
        <v>191</v>
      </c>
      <c r="T33" s="50" t="s">
        <v>101</v>
      </c>
      <c r="U33" s="132">
        <v>42017</v>
      </c>
      <c r="V33" s="126" t="s">
        <v>186</v>
      </c>
      <c r="W33" s="127">
        <f t="shared" ref="W33" si="33">COUNTBLANK(C33:V33)</f>
        <v>0</v>
      </c>
      <c r="X33" s="127" t="str">
        <f t="shared" ref="X33" si="34">IF(W33=0,"Correcto","Incorrecto")</f>
        <v>Correcto</v>
      </c>
      <c r="Y33" s="34"/>
      <c r="Z33" s="34"/>
      <c r="AA33" s="34"/>
    </row>
    <row r="34" spans="1:27" s="72" customFormat="1" ht="24.75" customHeight="1" x14ac:dyDescent="0.2">
      <c r="A34" s="144">
        <v>25</v>
      </c>
      <c r="B34" s="122" t="s">
        <v>226</v>
      </c>
      <c r="C34" s="123">
        <v>42010</v>
      </c>
      <c r="D34" s="4">
        <v>2</v>
      </c>
      <c r="E34" s="4" t="s">
        <v>93</v>
      </c>
      <c r="F34" s="4" t="s">
        <v>825</v>
      </c>
      <c r="G34" s="4" t="s">
        <v>202</v>
      </c>
      <c r="H34" s="129">
        <v>42014</v>
      </c>
      <c r="I34" s="4" t="s">
        <v>187</v>
      </c>
      <c r="J34" s="4" t="s">
        <v>103</v>
      </c>
      <c r="K34" s="4" t="s">
        <v>496</v>
      </c>
      <c r="L34" s="129">
        <v>42014</v>
      </c>
      <c r="M34" s="50" t="s">
        <v>826</v>
      </c>
      <c r="N34" s="130" t="s">
        <v>185</v>
      </c>
      <c r="O34" s="129">
        <v>42014</v>
      </c>
      <c r="P34" s="124">
        <v>2</v>
      </c>
      <c r="Q34" s="50" t="s">
        <v>497</v>
      </c>
      <c r="R34" s="4" t="s">
        <v>16</v>
      </c>
      <c r="S34" s="4" t="s">
        <v>495</v>
      </c>
      <c r="T34" s="133" t="s">
        <v>1028</v>
      </c>
      <c r="U34" s="132">
        <v>42016</v>
      </c>
      <c r="V34" s="126" t="s">
        <v>186</v>
      </c>
      <c r="W34" s="127">
        <f t="shared" ref="W34" si="35">COUNTBLANK(C34:V34)</f>
        <v>0</v>
      </c>
      <c r="X34" s="127" t="str">
        <f t="shared" ref="X34" si="36">IF(W34=0,"Correcto","Incorrecto")</f>
        <v>Correcto</v>
      </c>
      <c r="Y34" s="34"/>
      <c r="Z34" s="34"/>
      <c r="AA34" s="34"/>
    </row>
    <row r="35" spans="1:27" s="72" customFormat="1" ht="24.75" customHeight="1" x14ac:dyDescent="0.2">
      <c r="A35" s="4">
        <v>26</v>
      </c>
      <c r="B35" s="122" t="s">
        <v>227</v>
      </c>
      <c r="C35" s="123">
        <v>42010</v>
      </c>
      <c r="D35" s="4">
        <v>13</v>
      </c>
      <c r="E35" s="4" t="s">
        <v>93</v>
      </c>
      <c r="F35" s="4" t="s">
        <v>825</v>
      </c>
      <c r="G35" s="4" t="s">
        <v>202</v>
      </c>
      <c r="H35" s="129">
        <v>42016</v>
      </c>
      <c r="I35" s="4" t="s">
        <v>187</v>
      </c>
      <c r="J35" s="4" t="s">
        <v>103</v>
      </c>
      <c r="K35" s="4" t="s">
        <v>499</v>
      </c>
      <c r="L35" s="129">
        <v>42016</v>
      </c>
      <c r="M35" s="50" t="s">
        <v>826</v>
      </c>
      <c r="N35" s="130" t="s">
        <v>185</v>
      </c>
      <c r="O35" s="129">
        <v>42016</v>
      </c>
      <c r="P35" s="124">
        <v>14</v>
      </c>
      <c r="Q35" s="50" t="s">
        <v>500</v>
      </c>
      <c r="R35" s="4" t="s">
        <v>17</v>
      </c>
      <c r="S35" s="4" t="s">
        <v>498</v>
      </c>
      <c r="T35" s="50" t="s">
        <v>101</v>
      </c>
      <c r="U35" s="132">
        <v>42018</v>
      </c>
      <c r="V35" s="126" t="s">
        <v>186</v>
      </c>
      <c r="W35" s="127">
        <f t="shared" ref="W35" si="37">COUNTBLANK(C35:V35)</f>
        <v>0</v>
      </c>
      <c r="X35" s="127" t="str">
        <f t="shared" ref="X35" si="38">IF(W35=0,"Correcto","Incorrecto")</f>
        <v>Correcto</v>
      </c>
      <c r="Y35" s="34"/>
      <c r="Z35" s="34"/>
      <c r="AA35" s="34"/>
    </row>
    <row r="36" spans="1:27" s="72" customFormat="1" ht="24.75" customHeight="1" x14ac:dyDescent="0.2">
      <c r="A36" s="144">
        <v>27</v>
      </c>
      <c r="B36" s="122" t="s">
        <v>228</v>
      </c>
      <c r="C36" s="123">
        <v>42010</v>
      </c>
      <c r="D36" s="4">
        <v>2</v>
      </c>
      <c r="E36" s="4" t="s">
        <v>93</v>
      </c>
      <c r="F36" s="4" t="s">
        <v>825</v>
      </c>
      <c r="G36" s="4" t="s">
        <v>202</v>
      </c>
      <c r="H36" s="129">
        <v>42014</v>
      </c>
      <c r="I36" s="4" t="s">
        <v>187</v>
      </c>
      <c r="J36" s="4" t="s">
        <v>103</v>
      </c>
      <c r="K36" s="4" t="s">
        <v>502</v>
      </c>
      <c r="L36" s="129">
        <v>42014</v>
      </c>
      <c r="M36" s="50" t="s">
        <v>826</v>
      </c>
      <c r="N36" s="130" t="s">
        <v>185</v>
      </c>
      <c r="O36" s="129">
        <v>42014</v>
      </c>
      <c r="P36" s="124">
        <v>2</v>
      </c>
      <c r="Q36" s="50" t="s">
        <v>503</v>
      </c>
      <c r="R36" s="4" t="s">
        <v>501</v>
      </c>
      <c r="S36" s="4" t="s">
        <v>199</v>
      </c>
      <c r="T36" s="133" t="s">
        <v>1029</v>
      </c>
      <c r="U36" s="134">
        <v>42016</v>
      </c>
      <c r="V36" s="126" t="s">
        <v>186</v>
      </c>
      <c r="W36" s="127">
        <f t="shared" ref="W36" si="39">COUNTBLANK(C36:V36)</f>
        <v>0</v>
      </c>
      <c r="X36" s="127" t="str">
        <f t="shared" ref="X36" si="40">IF(W36=0,"Correcto","Incorrecto")</f>
        <v>Correcto</v>
      </c>
      <c r="Y36" s="34"/>
      <c r="Z36" s="34"/>
      <c r="AA36" s="34"/>
    </row>
    <row r="37" spans="1:27" s="72" customFormat="1" ht="24.75" customHeight="1" x14ac:dyDescent="0.2">
      <c r="A37" s="144">
        <v>28</v>
      </c>
      <c r="B37" s="122" t="s">
        <v>229</v>
      </c>
      <c r="C37" s="123">
        <v>42010</v>
      </c>
      <c r="D37" s="4">
        <v>2</v>
      </c>
      <c r="E37" s="4" t="s">
        <v>93</v>
      </c>
      <c r="F37" s="4" t="s">
        <v>825</v>
      </c>
      <c r="G37" s="4" t="s">
        <v>202</v>
      </c>
      <c r="H37" s="129">
        <v>42014</v>
      </c>
      <c r="I37" s="4" t="s">
        <v>187</v>
      </c>
      <c r="J37" s="4" t="s">
        <v>103</v>
      </c>
      <c r="K37" s="4" t="s">
        <v>504</v>
      </c>
      <c r="L37" s="129">
        <v>42014</v>
      </c>
      <c r="M37" s="50" t="s">
        <v>826</v>
      </c>
      <c r="N37" s="130" t="s">
        <v>185</v>
      </c>
      <c r="O37" s="129">
        <v>42014</v>
      </c>
      <c r="P37" s="124">
        <v>2</v>
      </c>
      <c r="Q37" s="50" t="s">
        <v>505</v>
      </c>
      <c r="R37" s="4" t="s">
        <v>17</v>
      </c>
      <c r="S37" s="4" t="s">
        <v>192</v>
      </c>
      <c r="T37" s="50" t="s">
        <v>101</v>
      </c>
      <c r="U37" s="134">
        <v>42017</v>
      </c>
      <c r="V37" s="126" t="s">
        <v>186</v>
      </c>
      <c r="W37" s="127">
        <f t="shared" ref="W37" si="41">COUNTBLANK(C37:V37)</f>
        <v>0</v>
      </c>
      <c r="X37" s="127" t="str">
        <f t="shared" ref="X37" si="42">IF(W37=0,"Correcto","Incorrecto")</f>
        <v>Correcto</v>
      </c>
      <c r="Y37" s="34"/>
      <c r="Z37" s="34"/>
      <c r="AA37" s="34"/>
    </row>
    <row r="38" spans="1:27" s="72" customFormat="1" ht="24.75" customHeight="1" x14ac:dyDescent="0.2">
      <c r="A38" s="4">
        <v>29</v>
      </c>
      <c r="B38" s="122" t="s">
        <v>230</v>
      </c>
      <c r="C38" s="123">
        <v>42010</v>
      </c>
      <c r="D38" s="4">
        <v>2</v>
      </c>
      <c r="E38" s="4" t="s">
        <v>93</v>
      </c>
      <c r="F38" s="4" t="s">
        <v>825</v>
      </c>
      <c r="G38" s="4" t="s">
        <v>202</v>
      </c>
      <c r="H38" s="129">
        <v>42014</v>
      </c>
      <c r="I38" s="4" t="s">
        <v>187</v>
      </c>
      <c r="J38" s="4" t="s">
        <v>103</v>
      </c>
      <c r="K38" s="4" t="s">
        <v>506</v>
      </c>
      <c r="L38" s="129">
        <v>42014</v>
      </c>
      <c r="M38" s="50" t="s">
        <v>826</v>
      </c>
      <c r="N38" s="130" t="s">
        <v>185</v>
      </c>
      <c r="O38" s="129">
        <v>42014</v>
      </c>
      <c r="P38" s="124">
        <v>2</v>
      </c>
      <c r="Q38" s="50" t="s">
        <v>507</v>
      </c>
      <c r="R38" s="4" t="s">
        <v>17</v>
      </c>
      <c r="S38" s="4" t="s">
        <v>192</v>
      </c>
      <c r="T38" s="50" t="s">
        <v>101</v>
      </c>
      <c r="U38" s="134">
        <v>42017</v>
      </c>
      <c r="V38" s="126" t="s">
        <v>186</v>
      </c>
      <c r="W38" s="127">
        <f t="shared" ref="W38" si="43">COUNTBLANK(C38:V38)</f>
        <v>0</v>
      </c>
      <c r="X38" s="127" t="str">
        <f t="shared" ref="X38" si="44">IF(W38=0,"Correcto","Incorrecto")</f>
        <v>Correcto</v>
      </c>
      <c r="Y38" s="34"/>
      <c r="Z38" s="34"/>
      <c r="AA38" s="34"/>
    </row>
    <row r="39" spans="1:27" s="72" customFormat="1" ht="24.75" customHeight="1" x14ac:dyDescent="0.2">
      <c r="A39" s="144">
        <v>30</v>
      </c>
      <c r="B39" s="122" t="s">
        <v>231</v>
      </c>
      <c r="C39" s="123">
        <v>42010</v>
      </c>
      <c r="D39" s="4">
        <v>2</v>
      </c>
      <c r="E39" s="4" t="s">
        <v>93</v>
      </c>
      <c r="F39" s="4" t="s">
        <v>825</v>
      </c>
      <c r="G39" s="4" t="s">
        <v>202</v>
      </c>
      <c r="H39" s="129">
        <v>42014</v>
      </c>
      <c r="I39" s="4" t="s">
        <v>187</v>
      </c>
      <c r="J39" s="4" t="s">
        <v>103</v>
      </c>
      <c r="K39" s="4" t="s">
        <v>508</v>
      </c>
      <c r="L39" s="129">
        <v>42014</v>
      </c>
      <c r="M39" s="50" t="s">
        <v>826</v>
      </c>
      <c r="N39" s="130" t="s">
        <v>185</v>
      </c>
      <c r="O39" s="129">
        <v>42014</v>
      </c>
      <c r="P39" s="124">
        <v>2</v>
      </c>
      <c r="Q39" s="50" t="s">
        <v>509</v>
      </c>
      <c r="R39" s="4" t="s">
        <v>17</v>
      </c>
      <c r="S39" s="4" t="s">
        <v>192</v>
      </c>
      <c r="T39" s="50" t="s">
        <v>101</v>
      </c>
      <c r="U39" s="134">
        <v>42017</v>
      </c>
      <c r="V39" s="126" t="s">
        <v>186</v>
      </c>
      <c r="W39" s="127">
        <f t="shared" ref="W39" si="45">COUNTBLANK(C39:V39)</f>
        <v>0</v>
      </c>
      <c r="X39" s="127" t="str">
        <f t="shared" ref="X39" si="46">IF(W39=0,"Correcto","Incorrecto")</f>
        <v>Correcto</v>
      </c>
      <c r="Y39" s="34"/>
      <c r="Z39" s="34"/>
      <c r="AA39" s="34"/>
    </row>
    <row r="40" spans="1:27" s="72" customFormat="1" ht="24.75" customHeight="1" x14ac:dyDescent="0.2">
      <c r="A40" s="144">
        <v>31</v>
      </c>
      <c r="B40" s="122" t="s">
        <v>232</v>
      </c>
      <c r="C40" s="123">
        <v>42010</v>
      </c>
      <c r="D40" s="4">
        <v>2</v>
      </c>
      <c r="E40" s="4" t="s">
        <v>93</v>
      </c>
      <c r="F40" s="4" t="s">
        <v>825</v>
      </c>
      <c r="G40" s="4" t="s">
        <v>202</v>
      </c>
      <c r="H40" s="129">
        <v>42014</v>
      </c>
      <c r="I40" s="4" t="s">
        <v>187</v>
      </c>
      <c r="J40" s="4" t="s">
        <v>103</v>
      </c>
      <c r="K40" s="4" t="s">
        <v>510</v>
      </c>
      <c r="L40" s="129">
        <v>42014</v>
      </c>
      <c r="M40" s="50" t="s">
        <v>826</v>
      </c>
      <c r="N40" s="130" t="s">
        <v>185</v>
      </c>
      <c r="O40" s="129">
        <v>42014</v>
      </c>
      <c r="P40" s="124">
        <v>2</v>
      </c>
      <c r="Q40" s="50" t="s">
        <v>511</v>
      </c>
      <c r="R40" s="4" t="s">
        <v>17</v>
      </c>
      <c r="S40" s="4" t="s">
        <v>192</v>
      </c>
      <c r="T40" s="50" t="s">
        <v>101</v>
      </c>
      <c r="U40" s="134">
        <v>42017</v>
      </c>
      <c r="V40" s="126" t="s">
        <v>186</v>
      </c>
      <c r="W40" s="127">
        <f t="shared" ref="W40" si="47">COUNTBLANK(C40:V40)</f>
        <v>0</v>
      </c>
      <c r="X40" s="127" t="str">
        <f t="shared" ref="X40" si="48">IF(W40=0,"Correcto","Incorrecto")</f>
        <v>Correcto</v>
      </c>
      <c r="Y40" s="34"/>
      <c r="Z40" s="34"/>
      <c r="AA40" s="34"/>
    </row>
    <row r="41" spans="1:27" s="72" customFormat="1" ht="24.75" customHeight="1" x14ac:dyDescent="0.2">
      <c r="A41" s="4">
        <v>32</v>
      </c>
      <c r="B41" s="122" t="s">
        <v>233</v>
      </c>
      <c r="C41" s="123">
        <v>42010</v>
      </c>
      <c r="D41" s="4">
        <v>3</v>
      </c>
      <c r="E41" s="4" t="s">
        <v>93</v>
      </c>
      <c r="F41" s="4" t="s">
        <v>827</v>
      </c>
      <c r="G41" s="4" t="s">
        <v>202</v>
      </c>
      <c r="H41" s="129">
        <v>42013</v>
      </c>
      <c r="I41" s="4" t="s">
        <v>187</v>
      </c>
      <c r="J41" s="4" t="s">
        <v>103</v>
      </c>
      <c r="K41" s="4" t="s">
        <v>512</v>
      </c>
      <c r="L41" s="129">
        <v>42013</v>
      </c>
      <c r="M41" s="50" t="s">
        <v>826</v>
      </c>
      <c r="N41" s="130" t="s">
        <v>185</v>
      </c>
      <c r="O41" s="129">
        <v>42013</v>
      </c>
      <c r="P41" s="124">
        <f t="shared" si="8"/>
        <v>3</v>
      </c>
      <c r="Q41" s="50" t="s">
        <v>513</v>
      </c>
      <c r="R41" s="4" t="s">
        <v>17</v>
      </c>
      <c r="S41" s="4" t="s">
        <v>104</v>
      </c>
      <c r="T41" s="50" t="s">
        <v>1049</v>
      </c>
      <c r="U41" s="134">
        <v>42013</v>
      </c>
      <c r="V41" s="126" t="s">
        <v>186</v>
      </c>
      <c r="W41" s="127">
        <f t="shared" ref="W41" si="49">COUNTBLANK(C41:V41)</f>
        <v>0</v>
      </c>
      <c r="X41" s="127" t="str">
        <f t="shared" ref="X41" si="50">IF(W41=0,"Correcto","Incorrecto")</f>
        <v>Correcto</v>
      </c>
      <c r="Y41" s="34"/>
      <c r="Z41" s="34"/>
      <c r="AA41" s="34"/>
    </row>
    <row r="42" spans="1:27" s="72" customFormat="1" ht="24.75" customHeight="1" x14ac:dyDescent="0.2">
      <c r="A42" s="144">
        <v>33</v>
      </c>
      <c r="B42" s="122" t="s">
        <v>234</v>
      </c>
      <c r="C42" s="123">
        <v>42010</v>
      </c>
      <c r="D42" s="4">
        <v>2</v>
      </c>
      <c r="E42" s="4" t="s">
        <v>93</v>
      </c>
      <c r="F42" s="4" t="s">
        <v>825</v>
      </c>
      <c r="G42" s="4" t="s">
        <v>202</v>
      </c>
      <c r="H42" s="129">
        <v>42013</v>
      </c>
      <c r="I42" s="4" t="s">
        <v>187</v>
      </c>
      <c r="J42" s="4" t="s">
        <v>103</v>
      </c>
      <c r="K42" s="4" t="s">
        <v>514</v>
      </c>
      <c r="L42" s="129">
        <v>42013</v>
      </c>
      <c r="M42" s="50" t="s">
        <v>826</v>
      </c>
      <c r="N42" s="130" t="s">
        <v>185</v>
      </c>
      <c r="O42" s="129">
        <v>42013</v>
      </c>
      <c r="P42" s="124">
        <v>2</v>
      </c>
      <c r="Q42" s="50" t="s">
        <v>515</v>
      </c>
      <c r="R42" s="4" t="s">
        <v>17</v>
      </c>
      <c r="S42" s="4" t="s">
        <v>192</v>
      </c>
      <c r="T42" s="50" t="s">
        <v>101</v>
      </c>
      <c r="U42" s="134">
        <v>42017</v>
      </c>
      <c r="V42" s="126" t="s">
        <v>186</v>
      </c>
      <c r="W42" s="127">
        <f t="shared" ref="W42" si="51">COUNTBLANK(C42:V42)</f>
        <v>0</v>
      </c>
      <c r="X42" s="127" t="str">
        <f t="shared" ref="X42" si="52">IF(W42=0,"Correcto","Incorrecto")</f>
        <v>Correcto</v>
      </c>
      <c r="Y42" s="34"/>
      <c r="Z42" s="34"/>
      <c r="AA42" s="34"/>
    </row>
    <row r="43" spans="1:27" s="72" customFormat="1" ht="24.75" customHeight="1" x14ac:dyDescent="0.2">
      <c r="A43" s="144">
        <v>34</v>
      </c>
      <c r="B43" s="122" t="s">
        <v>235</v>
      </c>
      <c r="C43" s="123">
        <v>42010</v>
      </c>
      <c r="D43" s="4">
        <v>2</v>
      </c>
      <c r="E43" s="4" t="s">
        <v>93</v>
      </c>
      <c r="F43" s="4" t="s">
        <v>827</v>
      </c>
      <c r="G43" s="4" t="s">
        <v>202</v>
      </c>
      <c r="H43" s="129">
        <v>42011</v>
      </c>
      <c r="I43" s="4" t="s">
        <v>187</v>
      </c>
      <c r="J43" s="4" t="s">
        <v>103</v>
      </c>
      <c r="K43" s="4" t="s">
        <v>516</v>
      </c>
      <c r="L43" s="129">
        <v>42011</v>
      </c>
      <c r="M43" s="50" t="s">
        <v>826</v>
      </c>
      <c r="N43" s="130" t="s">
        <v>185</v>
      </c>
      <c r="O43" s="129">
        <v>42011</v>
      </c>
      <c r="P43" s="124">
        <v>2</v>
      </c>
      <c r="Q43" s="50" t="s">
        <v>517</v>
      </c>
      <c r="R43" s="4" t="s">
        <v>17</v>
      </c>
      <c r="S43" s="4" t="s">
        <v>104</v>
      </c>
      <c r="T43" s="50" t="s">
        <v>518</v>
      </c>
      <c r="U43" s="134">
        <v>42013</v>
      </c>
      <c r="V43" s="126" t="s">
        <v>186</v>
      </c>
      <c r="W43" s="127">
        <f t="shared" ref="W43" si="53">COUNTBLANK(C43:V43)</f>
        <v>0</v>
      </c>
      <c r="X43" s="127" t="str">
        <f t="shared" ref="X43" si="54">IF(W43=0,"Correcto","Incorrecto")</f>
        <v>Correcto</v>
      </c>
      <c r="Y43" s="34"/>
      <c r="Z43" s="34"/>
      <c r="AA43" s="34"/>
    </row>
    <row r="44" spans="1:27" s="72" customFormat="1" ht="24.75" customHeight="1" x14ac:dyDescent="0.2">
      <c r="A44" s="4">
        <v>35</v>
      </c>
      <c r="B44" s="122" t="s">
        <v>236</v>
      </c>
      <c r="C44" s="123">
        <v>42010</v>
      </c>
      <c r="D44" s="4">
        <v>2</v>
      </c>
      <c r="E44" s="4" t="s">
        <v>93</v>
      </c>
      <c r="F44" s="4" t="s">
        <v>825</v>
      </c>
      <c r="G44" s="4" t="s">
        <v>202</v>
      </c>
      <c r="H44" s="129">
        <v>42014</v>
      </c>
      <c r="I44" s="4" t="s">
        <v>187</v>
      </c>
      <c r="J44" s="4" t="s">
        <v>103</v>
      </c>
      <c r="K44" s="4" t="s">
        <v>519</v>
      </c>
      <c r="L44" s="129">
        <v>42014</v>
      </c>
      <c r="M44" s="50" t="s">
        <v>826</v>
      </c>
      <c r="N44" s="130" t="s">
        <v>185</v>
      </c>
      <c r="O44" s="129">
        <v>42014</v>
      </c>
      <c r="P44" s="124">
        <v>2</v>
      </c>
      <c r="Q44" s="50" t="s">
        <v>520</v>
      </c>
      <c r="R44" s="4" t="s">
        <v>17</v>
      </c>
      <c r="S44" s="4" t="s">
        <v>192</v>
      </c>
      <c r="T44" s="50" t="s">
        <v>101</v>
      </c>
      <c r="U44" s="134">
        <v>42017</v>
      </c>
      <c r="V44" s="126" t="s">
        <v>186</v>
      </c>
      <c r="W44" s="127">
        <f t="shared" ref="W44" si="55">COUNTBLANK(C44:V44)</f>
        <v>0</v>
      </c>
      <c r="X44" s="127" t="str">
        <f t="shared" ref="X44" si="56">IF(W44=0,"Correcto","Incorrecto")</f>
        <v>Correcto</v>
      </c>
      <c r="Y44" s="34"/>
      <c r="Z44" s="34"/>
      <c r="AA44" s="34"/>
    </row>
    <row r="45" spans="1:27" s="72" customFormat="1" ht="24.75" customHeight="1" x14ac:dyDescent="0.2">
      <c r="A45" s="144">
        <v>36</v>
      </c>
      <c r="B45" s="122" t="s">
        <v>237</v>
      </c>
      <c r="C45" s="123">
        <v>42010</v>
      </c>
      <c r="D45" s="4">
        <v>52</v>
      </c>
      <c r="E45" s="4" t="s">
        <v>93</v>
      </c>
      <c r="F45" s="4" t="s">
        <v>827</v>
      </c>
      <c r="G45" s="4" t="s">
        <v>202</v>
      </c>
      <c r="H45" s="129">
        <v>42013</v>
      </c>
      <c r="I45" s="4" t="s">
        <v>187</v>
      </c>
      <c r="J45" s="4" t="s">
        <v>103</v>
      </c>
      <c r="K45" s="4" t="s">
        <v>521</v>
      </c>
      <c r="L45" s="129">
        <v>42013</v>
      </c>
      <c r="M45" s="50" t="s">
        <v>826</v>
      </c>
      <c r="N45" s="130" t="s">
        <v>185</v>
      </c>
      <c r="O45" s="129">
        <v>42013</v>
      </c>
      <c r="P45" s="124">
        <v>53</v>
      </c>
      <c r="Q45" s="50" t="s">
        <v>522</v>
      </c>
      <c r="R45" s="4" t="s">
        <v>17</v>
      </c>
      <c r="S45" s="4" t="s">
        <v>104</v>
      </c>
      <c r="T45" s="50" t="s">
        <v>1050</v>
      </c>
      <c r="U45" s="134">
        <v>42013</v>
      </c>
      <c r="V45" s="126" t="s">
        <v>186</v>
      </c>
      <c r="W45" s="127">
        <f t="shared" ref="W45" si="57">COUNTBLANK(C45:V45)</f>
        <v>0</v>
      </c>
      <c r="X45" s="127" t="str">
        <f t="shared" ref="X45" si="58">IF(W45=0,"Correcto","Incorrecto")</f>
        <v>Correcto</v>
      </c>
      <c r="Y45" s="34"/>
      <c r="Z45" s="34"/>
      <c r="AA45" s="34"/>
    </row>
    <row r="46" spans="1:27" s="72" customFormat="1" ht="24.75" customHeight="1" x14ac:dyDescent="0.2">
      <c r="A46" s="144">
        <v>37</v>
      </c>
      <c r="B46" s="122" t="s">
        <v>238</v>
      </c>
      <c r="C46" s="123">
        <v>42010</v>
      </c>
      <c r="D46" s="4">
        <v>2</v>
      </c>
      <c r="E46" s="4" t="s">
        <v>93</v>
      </c>
      <c r="F46" s="4" t="s">
        <v>825</v>
      </c>
      <c r="G46" s="4" t="s">
        <v>202</v>
      </c>
      <c r="H46" s="129">
        <v>42014</v>
      </c>
      <c r="I46" s="4" t="s">
        <v>187</v>
      </c>
      <c r="J46" s="4" t="s">
        <v>103</v>
      </c>
      <c r="K46" s="4" t="s">
        <v>523</v>
      </c>
      <c r="L46" s="129">
        <v>42014</v>
      </c>
      <c r="M46" s="50" t="s">
        <v>826</v>
      </c>
      <c r="N46" s="130" t="s">
        <v>185</v>
      </c>
      <c r="O46" s="129">
        <v>42014</v>
      </c>
      <c r="P46" s="124">
        <v>2</v>
      </c>
      <c r="Q46" s="50" t="s">
        <v>524</v>
      </c>
      <c r="R46" s="4" t="s">
        <v>17</v>
      </c>
      <c r="S46" s="4" t="s">
        <v>192</v>
      </c>
      <c r="T46" s="50" t="s">
        <v>101</v>
      </c>
      <c r="U46" s="134">
        <v>42017</v>
      </c>
      <c r="V46" s="126" t="s">
        <v>186</v>
      </c>
      <c r="W46" s="127">
        <f t="shared" ref="W46" si="59">COUNTBLANK(C46:V46)</f>
        <v>0</v>
      </c>
      <c r="X46" s="127" t="str">
        <f t="shared" ref="X46" si="60">IF(W46=0,"Correcto","Incorrecto")</f>
        <v>Correcto</v>
      </c>
      <c r="Y46" s="34"/>
      <c r="Z46" s="34"/>
      <c r="AA46" s="34"/>
    </row>
    <row r="47" spans="1:27" s="72" customFormat="1" ht="24.75" customHeight="1" x14ac:dyDescent="0.2">
      <c r="A47" s="4">
        <v>38</v>
      </c>
      <c r="B47" s="122" t="s">
        <v>239</v>
      </c>
      <c r="C47" s="123">
        <v>42010</v>
      </c>
      <c r="D47" s="4">
        <v>2</v>
      </c>
      <c r="E47" s="4" t="s">
        <v>93</v>
      </c>
      <c r="F47" s="4" t="s">
        <v>825</v>
      </c>
      <c r="G47" s="4" t="s">
        <v>202</v>
      </c>
      <c r="H47" s="129">
        <v>42014</v>
      </c>
      <c r="I47" s="4" t="s">
        <v>187</v>
      </c>
      <c r="J47" s="4" t="s">
        <v>103</v>
      </c>
      <c r="K47" s="4" t="s">
        <v>525</v>
      </c>
      <c r="L47" s="129">
        <v>42014</v>
      </c>
      <c r="M47" s="50" t="s">
        <v>826</v>
      </c>
      <c r="N47" s="130" t="s">
        <v>185</v>
      </c>
      <c r="O47" s="129">
        <v>42014</v>
      </c>
      <c r="P47" s="124">
        <v>2</v>
      </c>
      <c r="Q47" s="50" t="s">
        <v>526</v>
      </c>
      <c r="R47" s="4" t="s">
        <v>17</v>
      </c>
      <c r="S47" s="4" t="s">
        <v>192</v>
      </c>
      <c r="T47" s="50" t="s">
        <v>101</v>
      </c>
      <c r="U47" s="134">
        <v>42017</v>
      </c>
      <c r="V47" s="126" t="s">
        <v>186</v>
      </c>
      <c r="W47" s="127">
        <f t="shared" ref="W47" si="61">COUNTBLANK(C47:V47)</f>
        <v>0</v>
      </c>
      <c r="X47" s="127" t="str">
        <f t="shared" ref="X47" si="62">IF(W47=0,"Correcto","Incorrecto")</f>
        <v>Correcto</v>
      </c>
      <c r="Y47" s="34"/>
      <c r="Z47" s="34"/>
      <c r="AA47" s="34"/>
    </row>
    <row r="48" spans="1:27" s="72" customFormat="1" ht="24.75" customHeight="1" x14ac:dyDescent="0.2">
      <c r="A48" s="144">
        <v>39</v>
      </c>
      <c r="B48" s="122" t="s">
        <v>240</v>
      </c>
      <c r="C48" s="123">
        <v>42010</v>
      </c>
      <c r="D48" s="4">
        <v>2</v>
      </c>
      <c r="E48" s="4" t="s">
        <v>93</v>
      </c>
      <c r="F48" s="4" t="s">
        <v>825</v>
      </c>
      <c r="G48" s="4" t="s">
        <v>202</v>
      </c>
      <c r="H48" s="129">
        <v>42014</v>
      </c>
      <c r="I48" s="4" t="s">
        <v>187</v>
      </c>
      <c r="J48" s="4" t="s">
        <v>103</v>
      </c>
      <c r="K48" s="4" t="s">
        <v>527</v>
      </c>
      <c r="L48" s="129">
        <v>42014</v>
      </c>
      <c r="M48" s="50" t="s">
        <v>826</v>
      </c>
      <c r="N48" s="130" t="s">
        <v>185</v>
      </c>
      <c r="O48" s="129">
        <v>42014</v>
      </c>
      <c r="P48" s="124">
        <v>2</v>
      </c>
      <c r="Q48" s="50" t="s">
        <v>1051</v>
      </c>
      <c r="R48" s="4" t="s">
        <v>17</v>
      </c>
      <c r="S48" s="4" t="s">
        <v>191</v>
      </c>
      <c r="T48" s="50" t="s">
        <v>953</v>
      </c>
      <c r="U48" s="134">
        <v>42017</v>
      </c>
      <c r="V48" s="126" t="s">
        <v>186</v>
      </c>
      <c r="W48" s="127">
        <f t="shared" ref="W48" si="63">COUNTBLANK(C48:V48)</f>
        <v>0</v>
      </c>
      <c r="X48" s="127" t="str">
        <f t="shared" ref="X48" si="64">IF(W48=0,"Correcto","Incorrecto")</f>
        <v>Correcto</v>
      </c>
      <c r="Y48" s="34"/>
      <c r="Z48" s="34"/>
      <c r="AA48" s="34"/>
    </row>
    <row r="49" spans="1:27" s="72" customFormat="1" ht="24.75" customHeight="1" x14ac:dyDescent="0.2">
      <c r="A49" s="144">
        <v>40</v>
      </c>
      <c r="B49" s="122" t="s">
        <v>241</v>
      </c>
      <c r="C49" s="123">
        <v>42010</v>
      </c>
      <c r="D49" s="4">
        <v>2</v>
      </c>
      <c r="E49" s="4" t="s">
        <v>93</v>
      </c>
      <c r="F49" s="4" t="s">
        <v>825</v>
      </c>
      <c r="G49" s="4" t="s">
        <v>202</v>
      </c>
      <c r="H49" s="129">
        <v>42014</v>
      </c>
      <c r="I49" s="4" t="s">
        <v>187</v>
      </c>
      <c r="J49" s="4" t="s">
        <v>103</v>
      </c>
      <c r="K49" s="4" t="s">
        <v>528</v>
      </c>
      <c r="L49" s="129">
        <v>42014</v>
      </c>
      <c r="M49" s="50" t="s">
        <v>826</v>
      </c>
      <c r="N49" s="130" t="s">
        <v>185</v>
      </c>
      <c r="O49" s="129">
        <v>42014</v>
      </c>
      <c r="P49" s="124">
        <v>2</v>
      </c>
      <c r="Q49" s="50" t="s">
        <v>529</v>
      </c>
      <c r="R49" s="4" t="s">
        <v>17</v>
      </c>
      <c r="S49" s="4" t="s">
        <v>191</v>
      </c>
      <c r="T49" s="50" t="s">
        <v>101</v>
      </c>
      <c r="U49" s="134">
        <v>42016</v>
      </c>
      <c r="V49" s="126" t="s">
        <v>186</v>
      </c>
      <c r="W49" s="127">
        <f t="shared" ref="W49" si="65">COUNTBLANK(C49:V49)</f>
        <v>0</v>
      </c>
      <c r="X49" s="127" t="str">
        <f t="shared" ref="X49" si="66">IF(W49=0,"Correcto","Incorrecto")</f>
        <v>Correcto</v>
      </c>
      <c r="Y49" s="34"/>
      <c r="Z49" s="34"/>
      <c r="AA49" s="34"/>
    </row>
    <row r="50" spans="1:27" s="72" customFormat="1" ht="24.75" customHeight="1" x14ac:dyDescent="0.2">
      <c r="A50" s="4">
        <v>41</v>
      </c>
      <c r="B50" s="122" t="s">
        <v>242</v>
      </c>
      <c r="C50" s="123">
        <v>42010</v>
      </c>
      <c r="D50" s="4">
        <v>2</v>
      </c>
      <c r="E50" s="4" t="s">
        <v>93</v>
      </c>
      <c r="F50" s="4" t="s">
        <v>825</v>
      </c>
      <c r="G50" s="4" t="s">
        <v>202</v>
      </c>
      <c r="H50" s="129">
        <v>42014</v>
      </c>
      <c r="I50" s="4" t="s">
        <v>187</v>
      </c>
      <c r="J50" s="4" t="s">
        <v>103</v>
      </c>
      <c r="K50" s="4" t="s">
        <v>530</v>
      </c>
      <c r="L50" s="129">
        <v>42014</v>
      </c>
      <c r="M50" s="50" t="s">
        <v>826</v>
      </c>
      <c r="N50" s="130" t="s">
        <v>185</v>
      </c>
      <c r="O50" s="129">
        <v>42014</v>
      </c>
      <c r="P50" s="124">
        <v>2</v>
      </c>
      <c r="Q50" s="50" t="s">
        <v>531</v>
      </c>
      <c r="R50" s="4" t="s">
        <v>17</v>
      </c>
      <c r="S50" s="4" t="s">
        <v>191</v>
      </c>
      <c r="T50" s="50" t="s">
        <v>101</v>
      </c>
      <c r="U50" s="134">
        <v>42016</v>
      </c>
      <c r="V50" s="126" t="s">
        <v>186</v>
      </c>
      <c r="W50" s="127">
        <f t="shared" ref="W50" si="67">COUNTBLANK(C50:V50)</f>
        <v>0</v>
      </c>
      <c r="X50" s="127" t="str">
        <f t="shared" ref="X50" si="68">IF(W50=0,"Correcto","Incorrecto")</f>
        <v>Correcto</v>
      </c>
      <c r="Y50" s="34"/>
      <c r="Z50" s="34"/>
      <c r="AA50" s="34"/>
    </row>
    <row r="51" spans="1:27" s="72" customFormat="1" ht="24.75" customHeight="1" x14ac:dyDescent="0.2">
      <c r="A51" s="144">
        <v>42</v>
      </c>
      <c r="B51" s="122" t="s">
        <v>243</v>
      </c>
      <c r="C51" s="123">
        <v>42010</v>
      </c>
      <c r="D51" s="4">
        <v>2</v>
      </c>
      <c r="E51" s="4" t="s">
        <v>93</v>
      </c>
      <c r="F51" s="4" t="s">
        <v>825</v>
      </c>
      <c r="G51" s="4" t="s">
        <v>202</v>
      </c>
      <c r="H51" s="129">
        <v>42014</v>
      </c>
      <c r="I51" s="4" t="s">
        <v>187</v>
      </c>
      <c r="J51" s="4" t="s">
        <v>103</v>
      </c>
      <c r="K51" s="4" t="s">
        <v>532</v>
      </c>
      <c r="L51" s="129">
        <v>42014</v>
      </c>
      <c r="M51" s="50" t="s">
        <v>826</v>
      </c>
      <c r="N51" s="130" t="s">
        <v>185</v>
      </c>
      <c r="O51" s="129">
        <v>42014</v>
      </c>
      <c r="P51" s="124">
        <v>2</v>
      </c>
      <c r="Q51" s="50" t="s">
        <v>1030</v>
      </c>
      <c r="R51" s="4" t="s">
        <v>17</v>
      </c>
      <c r="S51" s="4" t="s">
        <v>191</v>
      </c>
      <c r="T51" s="50" t="s">
        <v>101</v>
      </c>
      <c r="U51" s="134">
        <v>42017</v>
      </c>
      <c r="V51" s="126" t="s">
        <v>186</v>
      </c>
      <c r="W51" s="127">
        <f t="shared" ref="W51" si="69">COUNTBLANK(C51:V51)</f>
        <v>0</v>
      </c>
      <c r="X51" s="127" t="str">
        <f t="shared" ref="X51" si="70">IF(W51=0,"Correcto","Incorrecto")</f>
        <v>Correcto</v>
      </c>
      <c r="Y51" s="34"/>
      <c r="Z51" s="34"/>
      <c r="AA51" s="34"/>
    </row>
    <row r="52" spans="1:27" s="72" customFormat="1" ht="24.75" customHeight="1" x14ac:dyDescent="0.2">
      <c r="A52" s="144">
        <v>43</v>
      </c>
      <c r="B52" s="122" t="s">
        <v>244</v>
      </c>
      <c r="C52" s="123">
        <v>42010</v>
      </c>
      <c r="D52" s="4">
        <v>2</v>
      </c>
      <c r="E52" s="4" t="s">
        <v>93</v>
      </c>
      <c r="F52" s="4" t="s">
        <v>825</v>
      </c>
      <c r="G52" s="4" t="s">
        <v>202</v>
      </c>
      <c r="H52" s="129">
        <v>42014</v>
      </c>
      <c r="I52" s="4" t="s">
        <v>187</v>
      </c>
      <c r="J52" s="4" t="s">
        <v>103</v>
      </c>
      <c r="K52" s="4" t="s">
        <v>533</v>
      </c>
      <c r="L52" s="129">
        <v>42014</v>
      </c>
      <c r="M52" s="50" t="s">
        <v>826</v>
      </c>
      <c r="N52" s="130" t="s">
        <v>185</v>
      </c>
      <c r="O52" s="129">
        <v>42014</v>
      </c>
      <c r="P52" s="124">
        <v>2</v>
      </c>
      <c r="Q52" s="50" t="s">
        <v>534</v>
      </c>
      <c r="R52" s="4" t="s">
        <v>17</v>
      </c>
      <c r="S52" s="4" t="s">
        <v>191</v>
      </c>
      <c r="T52" s="50" t="s">
        <v>101</v>
      </c>
      <c r="U52" s="134">
        <v>42016</v>
      </c>
      <c r="V52" s="126" t="s">
        <v>186</v>
      </c>
      <c r="W52" s="127">
        <f t="shared" ref="W52" si="71">COUNTBLANK(C52:V52)</f>
        <v>0</v>
      </c>
      <c r="X52" s="127" t="str">
        <f t="shared" ref="X52" si="72">IF(W52=0,"Correcto","Incorrecto")</f>
        <v>Correcto</v>
      </c>
      <c r="Y52" s="34"/>
      <c r="Z52" s="34"/>
      <c r="AA52" s="34"/>
    </row>
    <row r="53" spans="1:27" s="72" customFormat="1" ht="24.75" customHeight="1" x14ac:dyDescent="0.2">
      <c r="A53" s="4">
        <v>44</v>
      </c>
      <c r="B53" s="122" t="s">
        <v>245</v>
      </c>
      <c r="C53" s="123">
        <v>42010</v>
      </c>
      <c r="D53" s="4">
        <v>2</v>
      </c>
      <c r="E53" s="4" t="s">
        <v>93</v>
      </c>
      <c r="F53" s="4" t="s">
        <v>825</v>
      </c>
      <c r="G53" s="4" t="s">
        <v>202</v>
      </c>
      <c r="H53" s="129">
        <v>42014</v>
      </c>
      <c r="I53" s="4" t="s">
        <v>187</v>
      </c>
      <c r="J53" s="4" t="s">
        <v>103</v>
      </c>
      <c r="K53" s="4" t="s">
        <v>535</v>
      </c>
      <c r="L53" s="129">
        <v>42014</v>
      </c>
      <c r="M53" s="50" t="s">
        <v>826</v>
      </c>
      <c r="N53" s="130" t="s">
        <v>185</v>
      </c>
      <c r="O53" s="129">
        <v>42014</v>
      </c>
      <c r="P53" s="124">
        <v>5</v>
      </c>
      <c r="Q53" s="50" t="s">
        <v>536</v>
      </c>
      <c r="R53" s="4" t="s">
        <v>17</v>
      </c>
      <c r="S53" s="4" t="s">
        <v>191</v>
      </c>
      <c r="T53" s="50" t="s">
        <v>101</v>
      </c>
      <c r="U53" s="134">
        <v>42017</v>
      </c>
      <c r="V53" s="126" t="s">
        <v>186</v>
      </c>
      <c r="W53" s="127">
        <f t="shared" ref="W53" si="73">COUNTBLANK(C53:V53)</f>
        <v>0</v>
      </c>
      <c r="X53" s="127" t="str">
        <f t="shared" ref="X53" si="74">IF(W53=0,"Correcto","Incorrecto")</f>
        <v>Correcto</v>
      </c>
      <c r="Y53" s="34"/>
      <c r="Z53" s="34"/>
      <c r="AA53" s="34"/>
    </row>
    <row r="54" spans="1:27" s="72" customFormat="1" ht="24.75" customHeight="1" x14ac:dyDescent="0.2">
      <c r="A54" s="144">
        <v>45</v>
      </c>
      <c r="B54" s="122" t="s">
        <v>246</v>
      </c>
      <c r="C54" s="123">
        <v>42010</v>
      </c>
      <c r="D54" s="4">
        <v>2</v>
      </c>
      <c r="E54" s="4" t="s">
        <v>93</v>
      </c>
      <c r="F54" s="4" t="s">
        <v>825</v>
      </c>
      <c r="G54" s="4" t="s">
        <v>202</v>
      </c>
      <c r="H54" s="129">
        <v>42014</v>
      </c>
      <c r="I54" s="4" t="s">
        <v>187</v>
      </c>
      <c r="J54" s="4" t="s">
        <v>103</v>
      </c>
      <c r="K54" s="4" t="s">
        <v>537</v>
      </c>
      <c r="L54" s="129">
        <v>42014</v>
      </c>
      <c r="M54" s="50" t="s">
        <v>826</v>
      </c>
      <c r="N54" s="130" t="s">
        <v>185</v>
      </c>
      <c r="O54" s="129">
        <v>42014</v>
      </c>
      <c r="P54" s="124">
        <v>2</v>
      </c>
      <c r="Q54" s="50" t="s">
        <v>538</v>
      </c>
      <c r="R54" s="4" t="s">
        <v>17</v>
      </c>
      <c r="S54" s="4" t="s">
        <v>198</v>
      </c>
      <c r="T54" s="50" t="s">
        <v>101</v>
      </c>
      <c r="U54" s="134">
        <v>42016</v>
      </c>
      <c r="V54" s="126" t="s">
        <v>186</v>
      </c>
      <c r="W54" s="127">
        <f t="shared" ref="W54" si="75">COUNTBLANK(C54:V54)</f>
        <v>0</v>
      </c>
      <c r="X54" s="127" t="str">
        <f t="shared" ref="X54" si="76">IF(W54=0,"Correcto","Incorrecto")</f>
        <v>Correcto</v>
      </c>
      <c r="Y54" s="34"/>
      <c r="Z54" s="34"/>
      <c r="AA54" s="34"/>
    </row>
    <row r="55" spans="1:27" s="72" customFormat="1" ht="24.75" customHeight="1" x14ac:dyDescent="0.2">
      <c r="A55" s="144">
        <v>46</v>
      </c>
      <c r="B55" s="122" t="s">
        <v>247</v>
      </c>
      <c r="C55" s="123">
        <v>42010</v>
      </c>
      <c r="D55" s="4">
        <v>2</v>
      </c>
      <c r="E55" s="4" t="s">
        <v>93</v>
      </c>
      <c r="F55" s="4" t="s">
        <v>825</v>
      </c>
      <c r="G55" s="4" t="s">
        <v>202</v>
      </c>
      <c r="H55" s="129">
        <v>42014</v>
      </c>
      <c r="I55" s="4" t="s">
        <v>187</v>
      </c>
      <c r="J55" s="4" t="s">
        <v>103</v>
      </c>
      <c r="K55" s="4" t="s">
        <v>539</v>
      </c>
      <c r="L55" s="129">
        <v>42014</v>
      </c>
      <c r="M55" s="50" t="s">
        <v>826</v>
      </c>
      <c r="N55" s="130" t="s">
        <v>185</v>
      </c>
      <c r="O55" s="129">
        <v>42014</v>
      </c>
      <c r="P55" s="124">
        <v>2</v>
      </c>
      <c r="Q55" s="50" t="s">
        <v>540</v>
      </c>
      <c r="R55" s="4" t="s">
        <v>17</v>
      </c>
      <c r="S55" s="4" t="s">
        <v>191</v>
      </c>
      <c r="T55" s="50" t="s">
        <v>101</v>
      </c>
      <c r="U55" s="134">
        <v>42016</v>
      </c>
      <c r="V55" s="126" t="s">
        <v>186</v>
      </c>
      <c r="W55" s="127">
        <f t="shared" ref="W55" si="77">COUNTBLANK(C55:V55)</f>
        <v>0</v>
      </c>
      <c r="X55" s="127" t="str">
        <f t="shared" ref="X55" si="78">IF(W55=0,"Correcto","Incorrecto")</f>
        <v>Correcto</v>
      </c>
      <c r="Y55" s="34"/>
      <c r="Z55" s="34"/>
      <c r="AA55" s="34"/>
    </row>
    <row r="56" spans="1:27" s="72" customFormat="1" ht="24.75" customHeight="1" x14ac:dyDescent="0.2">
      <c r="A56" s="4">
        <v>47</v>
      </c>
      <c r="B56" s="122" t="s">
        <v>248</v>
      </c>
      <c r="C56" s="123">
        <v>42010</v>
      </c>
      <c r="D56" s="4">
        <v>2</v>
      </c>
      <c r="E56" s="4" t="s">
        <v>93</v>
      </c>
      <c r="F56" s="4" t="s">
        <v>825</v>
      </c>
      <c r="G56" s="4" t="s">
        <v>202</v>
      </c>
      <c r="H56" s="129">
        <v>42014</v>
      </c>
      <c r="I56" s="4" t="s">
        <v>187</v>
      </c>
      <c r="J56" s="4" t="s">
        <v>103</v>
      </c>
      <c r="K56" s="4" t="s">
        <v>541</v>
      </c>
      <c r="L56" s="129">
        <v>42014</v>
      </c>
      <c r="M56" s="50" t="s">
        <v>826</v>
      </c>
      <c r="N56" s="130" t="s">
        <v>185</v>
      </c>
      <c r="O56" s="129">
        <v>42014</v>
      </c>
      <c r="P56" s="124">
        <v>2</v>
      </c>
      <c r="Q56" s="50" t="s">
        <v>542</v>
      </c>
      <c r="R56" s="4" t="s">
        <v>17</v>
      </c>
      <c r="S56" s="4" t="s">
        <v>191</v>
      </c>
      <c r="T56" s="50" t="s">
        <v>101</v>
      </c>
      <c r="U56" s="134">
        <v>42016</v>
      </c>
      <c r="V56" s="126" t="s">
        <v>186</v>
      </c>
      <c r="W56" s="127">
        <f t="shared" ref="W56" si="79">COUNTBLANK(C56:V56)</f>
        <v>0</v>
      </c>
      <c r="X56" s="127" t="str">
        <f t="shared" ref="X56" si="80">IF(W56=0,"Correcto","Incorrecto")</f>
        <v>Correcto</v>
      </c>
      <c r="Y56" s="34"/>
      <c r="Z56" s="34"/>
      <c r="AA56" s="34"/>
    </row>
    <row r="57" spans="1:27" s="72" customFormat="1" ht="24.75" customHeight="1" x14ac:dyDescent="0.2">
      <c r="A57" s="144">
        <v>48</v>
      </c>
      <c r="B57" s="122" t="s">
        <v>249</v>
      </c>
      <c r="C57" s="123">
        <v>42010</v>
      </c>
      <c r="D57" s="4">
        <v>2</v>
      </c>
      <c r="E57" s="4" t="s">
        <v>93</v>
      </c>
      <c r="F57" s="4" t="s">
        <v>825</v>
      </c>
      <c r="G57" s="4" t="s">
        <v>202</v>
      </c>
      <c r="H57" s="129">
        <v>42014</v>
      </c>
      <c r="I57" s="4" t="s">
        <v>187</v>
      </c>
      <c r="J57" s="4" t="s">
        <v>103</v>
      </c>
      <c r="K57" s="4" t="s">
        <v>543</v>
      </c>
      <c r="L57" s="129">
        <v>42014</v>
      </c>
      <c r="M57" s="50" t="s">
        <v>826</v>
      </c>
      <c r="N57" s="130" t="s">
        <v>185</v>
      </c>
      <c r="O57" s="129">
        <v>42014</v>
      </c>
      <c r="P57" s="124">
        <v>2</v>
      </c>
      <c r="Q57" s="50" t="s">
        <v>544</v>
      </c>
      <c r="R57" s="4" t="s">
        <v>17</v>
      </c>
      <c r="S57" s="4" t="s">
        <v>191</v>
      </c>
      <c r="T57" s="50" t="s">
        <v>101</v>
      </c>
      <c r="U57" s="134">
        <v>42016</v>
      </c>
      <c r="V57" s="126" t="s">
        <v>186</v>
      </c>
      <c r="W57" s="127">
        <f t="shared" ref="W57" si="81">COUNTBLANK(C57:V57)</f>
        <v>0</v>
      </c>
      <c r="X57" s="127" t="str">
        <f t="shared" ref="X57" si="82">IF(W57=0,"Correcto","Incorrecto")</f>
        <v>Correcto</v>
      </c>
      <c r="Y57" s="34"/>
      <c r="Z57" s="34"/>
      <c r="AA57" s="34"/>
    </row>
    <row r="58" spans="1:27" s="72" customFormat="1" ht="24.75" customHeight="1" x14ac:dyDescent="0.2">
      <c r="A58" s="144">
        <v>49</v>
      </c>
      <c r="B58" s="122" t="s">
        <v>250</v>
      </c>
      <c r="C58" s="123">
        <v>42010</v>
      </c>
      <c r="D58" s="4">
        <v>2</v>
      </c>
      <c r="E58" s="4" t="s">
        <v>93</v>
      </c>
      <c r="F58" s="4" t="s">
        <v>825</v>
      </c>
      <c r="G58" s="4" t="s">
        <v>202</v>
      </c>
      <c r="H58" s="129">
        <v>42014</v>
      </c>
      <c r="I58" s="4" t="s">
        <v>187</v>
      </c>
      <c r="J58" s="4" t="s">
        <v>103</v>
      </c>
      <c r="K58" s="4" t="s">
        <v>545</v>
      </c>
      <c r="L58" s="129">
        <v>42014</v>
      </c>
      <c r="M58" s="50" t="s">
        <v>826</v>
      </c>
      <c r="N58" s="130" t="s">
        <v>185</v>
      </c>
      <c r="O58" s="129">
        <v>42014</v>
      </c>
      <c r="P58" s="124">
        <v>2</v>
      </c>
      <c r="Q58" s="50" t="s">
        <v>546</v>
      </c>
      <c r="R58" s="4" t="s">
        <v>17</v>
      </c>
      <c r="S58" s="4" t="s">
        <v>191</v>
      </c>
      <c r="T58" s="50" t="s">
        <v>101</v>
      </c>
      <c r="U58" s="134">
        <v>42016</v>
      </c>
      <c r="V58" s="126" t="s">
        <v>186</v>
      </c>
      <c r="W58" s="127">
        <f t="shared" ref="W58" si="83">COUNTBLANK(C58:V58)</f>
        <v>0</v>
      </c>
      <c r="X58" s="127" t="str">
        <f t="shared" ref="X58" si="84">IF(W58=0,"Correcto","Incorrecto")</f>
        <v>Correcto</v>
      </c>
      <c r="Y58" s="34"/>
      <c r="Z58" s="34"/>
      <c r="AA58" s="34"/>
    </row>
    <row r="59" spans="1:27" s="72" customFormat="1" ht="24.75" customHeight="1" x14ac:dyDescent="0.2">
      <c r="A59" s="4">
        <v>50</v>
      </c>
      <c r="B59" s="122" t="s">
        <v>251</v>
      </c>
      <c r="C59" s="123">
        <v>42010</v>
      </c>
      <c r="D59" s="4">
        <v>2</v>
      </c>
      <c r="E59" s="4" t="s">
        <v>93</v>
      </c>
      <c r="F59" s="4" t="s">
        <v>825</v>
      </c>
      <c r="G59" s="4" t="s">
        <v>202</v>
      </c>
      <c r="H59" s="129">
        <v>42014</v>
      </c>
      <c r="I59" s="4" t="s">
        <v>187</v>
      </c>
      <c r="J59" s="4" t="s">
        <v>103</v>
      </c>
      <c r="K59" s="4" t="s">
        <v>547</v>
      </c>
      <c r="L59" s="129">
        <v>42014</v>
      </c>
      <c r="M59" s="50" t="s">
        <v>826</v>
      </c>
      <c r="N59" s="130" t="s">
        <v>185</v>
      </c>
      <c r="O59" s="129">
        <v>42014</v>
      </c>
      <c r="P59" s="124">
        <v>2</v>
      </c>
      <c r="Q59" s="50" t="s">
        <v>548</v>
      </c>
      <c r="R59" s="4" t="s">
        <v>17</v>
      </c>
      <c r="S59" s="4" t="s">
        <v>191</v>
      </c>
      <c r="T59" s="50" t="s">
        <v>101</v>
      </c>
      <c r="U59" s="132">
        <v>42017</v>
      </c>
      <c r="V59" s="126" t="s">
        <v>186</v>
      </c>
      <c r="W59" s="127">
        <f t="shared" ref="W59" si="85">COUNTBLANK(C59:V59)</f>
        <v>0</v>
      </c>
      <c r="X59" s="127" t="str">
        <f t="shared" ref="X59" si="86">IF(W59=0,"Correcto","Incorrecto")</f>
        <v>Correcto</v>
      </c>
      <c r="Y59" s="34"/>
      <c r="Z59" s="34"/>
      <c r="AA59" s="34"/>
    </row>
    <row r="60" spans="1:27" s="72" customFormat="1" ht="24.75" customHeight="1" x14ac:dyDescent="0.2">
      <c r="A60" s="144">
        <v>51</v>
      </c>
      <c r="B60" s="122" t="s">
        <v>252</v>
      </c>
      <c r="C60" s="123">
        <v>42010</v>
      </c>
      <c r="D60" s="4">
        <v>2</v>
      </c>
      <c r="E60" s="4" t="s">
        <v>93</v>
      </c>
      <c r="F60" s="4" t="s">
        <v>825</v>
      </c>
      <c r="G60" s="4" t="s">
        <v>202</v>
      </c>
      <c r="H60" s="129">
        <v>42014</v>
      </c>
      <c r="I60" s="4" t="s">
        <v>187</v>
      </c>
      <c r="J60" s="4" t="s">
        <v>103</v>
      </c>
      <c r="K60" s="4" t="s">
        <v>549</v>
      </c>
      <c r="L60" s="129">
        <v>42014</v>
      </c>
      <c r="M60" s="50" t="s">
        <v>826</v>
      </c>
      <c r="N60" s="130" t="s">
        <v>185</v>
      </c>
      <c r="O60" s="129">
        <v>42014</v>
      </c>
      <c r="P60" s="124">
        <v>2</v>
      </c>
      <c r="Q60" s="50" t="s">
        <v>1031</v>
      </c>
      <c r="R60" s="4" t="s">
        <v>17</v>
      </c>
      <c r="S60" s="4" t="s">
        <v>198</v>
      </c>
      <c r="T60" s="50" t="s">
        <v>101</v>
      </c>
      <c r="U60" s="132">
        <v>42016</v>
      </c>
      <c r="V60" s="126" t="s">
        <v>186</v>
      </c>
      <c r="W60" s="127">
        <f t="shared" ref="W60" si="87">COUNTBLANK(C60:V60)</f>
        <v>0</v>
      </c>
      <c r="X60" s="127" t="str">
        <f t="shared" ref="X60" si="88">IF(W60=0,"Correcto","Incorrecto")</f>
        <v>Correcto</v>
      </c>
      <c r="Y60" s="34"/>
      <c r="Z60" s="34"/>
      <c r="AA60" s="34"/>
    </row>
    <row r="61" spans="1:27" s="72" customFormat="1" ht="24.75" customHeight="1" x14ac:dyDescent="0.2">
      <c r="A61" s="144">
        <v>52</v>
      </c>
      <c r="B61" s="122" t="s">
        <v>1052</v>
      </c>
      <c r="C61" s="123">
        <v>42010</v>
      </c>
      <c r="D61" s="4">
        <v>2</v>
      </c>
      <c r="E61" s="4" t="s">
        <v>93</v>
      </c>
      <c r="F61" s="4" t="s">
        <v>825</v>
      </c>
      <c r="G61" s="4" t="s">
        <v>202</v>
      </c>
      <c r="H61" s="129">
        <v>42011</v>
      </c>
      <c r="I61" s="4" t="s">
        <v>187</v>
      </c>
      <c r="J61" s="4" t="s">
        <v>103</v>
      </c>
      <c r="K61" s="50" t="s">
        <v>1053</v>
      </c>
      <c r="L61" s="129">
        <v>42014</v>
      </c>
      <c r="M61" s="50" t="s">
        <v>826</v>
      </c>
      <c r="N61" s="130" t="s">
        <v>185</v>
      </c>
      <c r="O61" s="129">
        <v>42011</v>
      </c>
      <c r="P61" s="124">
        <v>2</v>
      </c>
      <c r="Q61" s="50" t="s">
        <v>1053</v>
      </c>
      <c r="R61" s="4" t="s">
        <v>17</v>
      </c>
      <c r="S61" s="4" t="s">
        <v>198</v>
      </c>
      <c r="T61" s="50" t="s">
        <v>101</v>
      </c>
      <c r="U61" s="132">
        <v>42011</v>
      </c>
      <c r="V61" s="126" t="s">
        <v>186</v>
      </c>
      <c r="W61" s="127">
        <f t="shared" ref="W61" si="89">COUNTBLANK(C61:V61)</f>
        <v>0</v>
      </c>
      <c r="X61" s="127" t="str">
        <f t="shared" ref="X61" si="90">IF(W61=0,"Correcto","Incorrecto")</f>
        <v>Correcto</v>
      </c>
      <c r="Y61" s="34"/>
      <c r="Z61" s="34"/>
      <c r="AA61" s="34"/>
    </row>
    <row r="62" spans="1:27" s="72" customFormat="1" ht="24.75" customHeight="1" x14ac:dyDescent="0.2">
      <c r="A62" s="4">
        <v>53</v>
      </c>
      <c r="B62" s="122" t="s">
        <v>253</v>
      </c>
      <c r="C62" s="123">
        <v>42011</v>
      </c>
      <c r="D62" s="4">
        <v>3</v>
      </c>
      <c r="E62" s="4" t="s">
        <v>93</v>
      </c>
      <c r="F62" s="4" t="s">
        <v>825</v>
      </c>
      <c r="G62" s="4" t="s">
        <v>202</v>
      </c>
      <c r="H62" s="129">
        <v>42014</v>
      </c>
      <c r="I62" s="4" t="s">
        <v>187</v>
      </c>
      <c r="J62" s="4" t="s">
        <v>103</v>
      </c>
      <c r="K62" s="4" t="s">
        <v>550</v>
      </c>
      <c r="L62" s="129">
        <v>42014</v>
      </c>
      <c r="M62" s="50" t="s">
        <v>826</v>
      </c>
      <c r="N62" s="130" t="s">
        <v>185</v>
      </c>
      <c r="O62" s="129">
        <v>42014</v>
      </c>
      <c r="P62" s="124">
        <f>O62-C62</f>
        <v>3</v>
      </c>
      <c r="Q62" s="50" t="s">
        <v>551</v>
      </c>
      <c r="R62" s="4" t="s">
        <v>17</v>
      </c>
      <c r="S62" s="4" t="s">
        <v>198</v>
      </c>
      <c r="T62" s="50" t="s">
        <v>101</v>
      </c>
      <c r="U62" s="132">
        <v>42017</v>
      </c>
      <c r="V62" s="126" t="s">
        <v>186</v>
      </c>
      <c r="W62" s="127">
        <f t="shared" ref="W62" si="91">COUNTBLANK(C62:V62)</f>
        <v>0</v>
      </c>
      <c r="X62" s="127" t="str">
        <f t="shared" ref="X62" si="92">IF(W62=0,"Correcto","Incorrecto")</f>
        <v>Correcto</v>
      </c>
      <c r="Y62" s="34"/>
      <c r="Z62" s="34"/>
      <c r="AA62" s="34"/>
    </row>
    <row r="63" spans="1:27" s="72" customFormat="1" ht="24.75" customHeight="1" x14ac:dyDescent="0.2">
      <c r="A63" s="144">
        <v>54</v>
      </c>
      <c r="B63" s="122" t="s">
        <v>254</v>
      </c>
      <c r="C63" s="123">
        <v>42011</v>
      </c>
      <c r="D63" s="4">
        <v>2</v>
      </c>
      <c r="E63" s="4" t="s">
        <v>93</v>
      </c>
      <c r="F63" s="4" t="s">
        <v>825</v>
      </c>
      <c r="G63" s="4" t="s">
        <v>202</v>
      </c>
      <c r="H63" s="129">
        <v>42014</v>
      </c>
      <c r="I63" s="4" t="s">
        <v>187</v>
      </c>
      <c r="J63" s="4" t="s">
        <v>103</v>
      </c>
      <c r="K63" s="4" t="s">
        <v>552</v>
      </c>
      <c r="L63" s="129">
        <v>42014</v>
      </c>
      <c r="M63" s="50" t="s">
        <v>826</v>
      </c>
      <c r="N63" s="130" t="s">
        <v>185</v>
      </c>
      <c r="O63" s="129">
        <v>42014</v>
      </c>
      <c r="P63" s="124">
        <f t="shared" ref="P63:P65" si="93">O63-C63</f>
        <v>3</v>
      </c>
      <c r="Q63" s="50" t="s">
        <v>553</v>
      </c>
      <c r="R63" s="4" t="s">
        <v>17</v>
      </c>
      <c r="S63" s="4" t="s">
        <v>198</v>
      </c>
      <c r="T63" s="50" t="s">
        <v>101</v>
      </c>
      <c r="U63" s="132">
        <v>42017</v>
      </c>
      <c r="V63" s="126" t="s">
        <v>186</v>
      </c>
      <c r="W63" s="127">
        <f t="shared" ref="W63" si="94">COUNTBLANK(C63:V63)</f>
        <v>0</v>
      </c>
      <c r="X63" s="127" t="str">
        <f t="shared" ref="X63" si="95">IF(W63=0,"Correcto","Incorrecto")</f>
        <v>Correcto</v>
      </c>
      <c r="Y63" s="34"/>
      <c r="Z63" s="34"/>
      <c r="AA63" s="34"/>
    </row>
    <row r="64" spans="1:27" s="72" customFormat="1" ht="24.75" customHeight="1" x14ac:dyDescent="0.2">
      <c r="A64" s="144">
        <v>55</v>
      </c>
      <c r="B64" s="122" t="s">
        <v>255</v>
      </c>
      <c r="C64" s="123">
        <v>42011</v>
      </c>
      <c r="D64" s="4">
        <v>11</v>
      </c>
      <c r="E64" s="4" t="s">
        <v>93</v>
      </c>
      <c r="F64" s="4" t="s">
        <v>827</v>
      </c>
      <c r="G64" s="4" t="s">
        <v>202</v>
      </c>
      <c r="H64" s="129">
        <v>42013</v>
      </c>
      <c r="I64" s="4" t="s">
        <v>187</v>
      </c>
      <c r="J64" s="4" t="s">
        <v>103</v>
      </c>
      <c r="K64" s="4" t="s">
        <v>554</v>
      </c>
      <c r="L64" s="129">
        <v>42013</v>
      </c>
      <c r="M64" s="50" t="s">
        <v>826</v>
      </c>
      <c r="N64" s="130" t="s">
        <v>185</v>
      </c>
      <c r="O64" s="129">
        <v>42013</v>
      </c>
      <c r="P64" s="124">
        <f t="shared" si="93"/>
        <v>2</v>
      </c>
      <c r="Q64" s="50" t="s">
        <v>555</v>
      </c>
      <c r="R64" s="4" t="s">
        <v>17</v>
      </c>
      <c r="S64" s="4" t="s">
        <v>104</v>
      </c>
      <c r="T64" s="50" t="s">
        <v>1054</v>
      </c>
      <c r="U64" s="132">
        <v>42013</v>
      </c>
      <c r="V64" s="126" t="s">
        <v>186</v>
      </c>
      <c r="W64" s="127">
        <f t="shared" ref="W64" si="96">COUNTBLANK(C64:V64)</f>
        <v>0</v>
      </c>
      <c r="X64" s="127" t="str">
        <f t="shared" ref="X64" si="97">IF(W64=0,"Correcto","Incorrecto")</f>
        <v>Correcto</v>
      </c>
      <c r="Y64" s="34"/>
      <c r="Z64" s="34"/>
      <c r="AA64" s="34"/>
    </row>
    <row r="65" spans="1:27" s="72" customFormat="1" ht="24.75" customHeight="1" x14ac:dyDescent="0.2">
      <c r="A65" s="4">
        <v>56</v>
      </c>
      <c r="B65" s="122" t="s">
        <v>256</v>
      </c>
      <c r="C65" s="123">
        <v>42011</v>
      </c>
      <c r="D65" s="4">
        <v>2</v>
      </c>
      <c r="E65" s="4" t="s">
        <v>93</v>
      </c>
      <c r="F65" s="4" t="s">
        <v>827</v>
      </c>
      <c r="G65" s="4" t="s">
        <v>202</v>
      </c>
      <c r="H65" s="129">
        <v>42014</v>
      </c>
      <c r="I65" s="4" t="s">
        <v>187</v>
      </c>
      <c r="J65" s="4" t="s">
        <v>103</v>
      </c>
      <c r="K65" s="4" t="s">
        <v>556</v>
      </c>
      <c r="L65" s="129">
        <v>42014</v>
      </c>
      <c r="M65" s="50" t="s">
        <v>826</v>
      </c>
      <c r="N65" s="130" t="s">
        <v>185</v>
      </c>
      <c r="O65" s="129">
        <v>42014</v>
      </c>
      <c r="P65" s="124">
        <f t="shared" si="93"/>
        <v>3</v>
      </c>
      <c r="Q65" s="50" t="s">
        <v>557</v>
      </c>
      <c r="R65" s="4" t="s">
        <v>17</v>
      </c>
      <c r="S65" s="4" t="s">
        <v>104</v>
      </c>
      <c r="T65" s="50" t="s">
        <v>558</v>
      </c>
      <c r="U65" s="132">
        <v>42013</v>
      </c>
      <c r="V65" s="126" t="s">
        <v>186</v>
      </c>
      <c r="W65" s="127">
        <f t="shared" ref="W65" si="98">COUNTBLANK(C65:V65)</f>
        <v>0</v>
      </c>
      <c r="X65" s="127" t="str">
        <f t="shared" ref="X65" si="99">IF(W65=0,"Correcto","Incorrecto")</f>
        <v>Correcto</v>
      </c>
      <c r="Y65" s="34"/>
      <c r="Z65" s="34"/>
      <c r="AA65" s="34"/>
    </row>
    <row r="66" spans="1:27" s="72" customFormat="1" ht="24.75" customHeight="1" x14ac:dyDescent="0.2">
      <c r="A66" s="144">
        <v>57</v>
      </c>
      <c r="B66" s="122" t="s">
        <v>257</v>
      </c>
      <c r="C66" s="123">
        <v>42011</v>
      </c>
      <c r="D66" s="4">
        <v>2</v>
      </c>
      <c r="E66" s="4" t="s">
        <v>93</v>
      </c>
      <c r="F66" s="4" t="s">
        <v>827</v>
      </c>
      <c r="G66" s="4" t="s">
        <v>202</v>
      </c>
      <c r="H66" s="129">
        <v>42014</v>
      </c>
      <c r="I66" s="4" t="s">
        <v>187</v>
      </c>
      <c r="J66" s="4" t="s">
        <v>103</v>
      </c>
      <c r="K66" s="4" t="s">
        <v>559</v>
      </c>
      <c r="L66" s="129">
        <v>42014</v>
      </c>
      <c r="M66" s="50" t="s">
        <v>826</v>
      </c>
      <c r="N66" s="130" t="s">
        <v>185</v>
      </c>
      <c r="O66" s="129">
        <v>42014</v>
      </c>
      <c r="P66" s="124">
        <f t="shared" ref="P66" si="100">O66-C66</f>
        <v>3</v>
      </c>
      <c r="Q66" s="50" t="s">
        <v>560</v>
      </c>
      <c r="R66" s="4" t="s">
        <v>17</v>
      </c>
      <c r="S66" s="4" t="s">
        <v>104</v>
      </c>
      <c r="T66" s="50" t="s">
        <v>561</v>
      </c>
      <c r="U66" s="132">
        <v>42013</v>
      </c>
      <c r="V66" s="126" t="s">
        <v>186</v>
      </c>
      <c r="W66" s="127">
        <f t="shared" ref="W66" si="101">COUNTBLANK(C66:V66)</f>
        <v>0</v>
      </c>
      <c r="X66" s="127" t="str">
        <f t="shared" ref="X66" si="102">IF(W66=0,"Correcto","Incorrecto")</f>
        <v>Correcto</v>
      </c>
      <c r="Y66" s="34"/>
      <c r="Z66" s="34"/>
      <c r="AA66" s="34"/>
    </row>
    <row r="67" spans="1:27" s="72" customFormat="1" ht="24.75" customHeight="1" x14ac:dyDescent="0.2">
      <c r="A67" s="144">
        <v>58</v>
      </c>
      <c r="B67" s="122" t="s">
        <v>258</v>
      </c>
      <c r="C67" s="123">
        <v>42011</v>
      </c>
      <c r="D67" s="4">
        <v>2</v>
      </c>
      <c r="E67" s="4" t="s">
        <v>93</v>
      </c>
      <c r="F67" s="4" t="s">
        <v>827</v>
      </c>
      <c r="G67" s="4" t="s">
        <v>202</v>
      </c>
      <c r="H67" s="129">
        <v>42013</v>
      </c>
      <c r="I67" s="4" t="s">
        <v>187</v>
      </c>
      <c r="J67" s="4" t="s">
        <v>103</v>
      </c>
      <c r="K67" s="4" t="s">
        <v>563</v>
      </c>
      <c r="L67" s="129">
        <v>42013</v>
      </c>
      <c r="M67" s="50" t="s">
        <v>826</v>
      </c>
      <c r="N67" s="130" t="s">
        <v>185</v>
      </c>
      <c r="O67" s="129">
        <v>42013</v>
      </c>
      <c r="P67" s="124">
        <f t="shared" ref="P67" si="103">O67-C67</f>
        <v>2</v>
      </c>
      <c r="Q67" s="50" t="s">
        <v>564</v>
      </c>
      <c r="R67" s="4" t="s">
        <v>17</v>
      </c>
      <c r="S67" s="4" t="s">
        <v>104</v>
      </c>
      <c r="T67" s="50" t="s">
        <v>562</v>
      </c>
      <c r="U67" s="132">
        <v>42016</v>
      </c>
      <c r="V67" s="126" t="s">
        <v>186</v>
      </c>
      <c r="W67" s="127">
        <f t="shared" ref="W67" si="104">COUNTBLANK(C67:V67)</f>
        <v>0</v>
      </c>
      <c r="X67" s="127" t="str">
        <f t="shared" ref="X67" si="105">IF(W67=0,"Correcto","Incorrecto")</f>
        <v>Correcto</v>
      </c>
      <c r="Y67" s="34"/>
      <c r="Z67" s="34"/>
      <c r="AA67" s="34"/>
    </row>
    <row r="68" spans="1:27" s="72" customFormat="1" ht="24.75" customHeight="1" x14ac:dyDescent="0.2">
      <c r="A68" s="4">
        <v>59</v>
      </c>
      <c r="B68" s="122" t="s">
        <v>259</v>
      </c>
      <c r="C68" s="123">
        <v>42011</v>
      </c>
      <c r="D68" s="4">
        <v>2</v>
      </c>
      <c r="E68" s="4" t="s">
        <v>93</v>
      </c>
      <c r="F68" s="4" t="s">
        <v>825</v>
      </c>
      <c r="G68" s="4" t="s">
        <v>202</v>
      </c>
      <c r="H68" s="129">
        <v>42014</v>
      </c>
      <c r="I68" s="4" t="s">
        <v>187</v>
      </c>
      <c r="J68" s="4" t="s">
        <v>103</v>
      </c>
      <c r="K68" s="4" t="s">
        <v>565</v>
      </c>
      <c r="L68" s="129">
        <v>42014</v>
      </c>
      <c r="M68" s="50" t="s">
        <v>826</v>
      </c>
      <c r="N68" s="130" t="s">
        <v>185</v>
      </c>
      <c r="O68" s="129">
        <v>42016</v>
      </c>
      <c r="P68" s="124">
        <f t="shared" ref="P68" si="106">O68-C68</f>
        <v>5</v>
      </c>
      <c r="Q68" s="50" t="s">
        <v>565</v>
      </c>
      <c r="R68" s="4" t="s">
        <v>17</v>
      </c>
      <c r="S68" s="4" t="s">
        <v>200</v>
      </c>
      <c r="T68" s="50" t="s">
        <v>101</v>
      </c>
      <c r="U68" s="132">
        <v>42017</v>
      </c>
      <c r="V68" s="126" t="s">
        <v>186</v>
      </c>
      <c r="W68" s="127">
        <f t="shared" ref="W68" si="107">COUNTBLANK(C68:V68)</f>
        <v>0</v>
      </c>
      <c r="X68" s="127" t="str">
        <f t="shared" ref="X68" si="108">IF(W68=0,"Correcto","Incorrecto")</f>
        <v>Correcto</v>
      </c>
      <c r="Y68" s="34"/>
      <c r="Z68" s="34"/>
      <c r="AA68" s="34"/>
    </row>
    <row r="69" spans="1:27" s="72" customFormat="1" ht="24.75" customHeight="1" x14ac:dyDescent="0.2">
      <c r="A69" s="144">
        <v>60</v>
      </c>
      <c r="B69" s="122" t="s">
        <v>260</v>
      </c>
      <c r="C69" s="123">
        <v>42011</v>
      </c>
      <c r="D69" s="4">
        <v>2</v>
      </c>
      <c r="E69" s="4" t="s">
        <v>93</v>
      </c>
      <c r="F69" s="4" t="s">
        <v>827</v>
      </c>
      <c r="G69" s="4" t="s">
        <v>202</v>
      </c>
      <c r="H69" s="129">
        <v>42013</v>
      </c>
      <c r="I69" s="4" t="s">
        <v>187</v>
      </c>
      <c r="J69" s="4" t="s">
        <v>103</v>
      </c>
      <c r="K69" s="4" t="s">
        <v>567</v>
      </c>
      <c r="L69" s="129">
        <v>42013</v>
      </c>
      <c r="M69" s="50" t="s">
        <v>826</v>
      </c>
      <c r="N69" s="130" t="s">
        <v>185</v>
      </c>
      <c r="O69" s="129">
        <v>42013</v>
      </c>
      <c r="P69" s="124">
        <f t="shared" ref="P69" si="109">O69-C69</f>
        <v>2</v>
      </c>
      <c r="Q69" s="50" t="s">
        <v>568</v>
      </c>
      <c r="R69" s="4" t="s">
        <v>17</v>
      </c>
      <c r="S69" s="4" t="s">
        <v>104</v>
      </c>
      <c r="T69" s="50" t="s">
        <v>566</v>
      </c>
      <c r="U69" s="132">
        <v>42016</v>
      </c>
      <c r="V69" s="126" t="s">
        <v>186</v>
      </c>
      <c r="W69" s="127">
        <f t="shared" ref="W69" si="110">COUNTBLANK(C69:V69)</f>
        <v>0</v>
      </c>
      <c r="X69" s="127" t="str">
        <f t="shared" ref="X69" si="111">IF(W69=0,"Correcto","Incorrecto")</f>
        <v>Correcto</v>
      </c>
      <c r="Y69" s="34"/>
      <c r="Z69" s="34"/>
      <c r="AA69" s="34"/>
    </row>
    <row r="70" spans="1:27" s="72" customFormat="1" ht="24.75" customHeight="1" x14ac:dyDescent="0.2">
      <c r="A70" s="144">
        <v>61</v>
      </c>
      <c r="B70" s="122" t="s">
        <v>261</v>
      </c>
      <c r="C70" s="123">
        <v>42011</v>
      </c>
      <c r="D70" s="4">
        <v>2</v>
      </c>
      <c r="E70" s="4" t="s">
        <v>93</v>
      </c>
      <c r="F70" s="4" t="s">
        <v>827</v>
      </c>
      <c r="G70" s="4" t="s">
        <v>202</v>
      </c>
      <c r="H70" s="129">
        <v>42013</v>
      </c>
      <c r="I70" s="4" t="s">
        <v>187</v>
      </c>
      <c r="J70" s="4" t="s">
        <v>103</v>
      </c>
      <c r="K70" s="4" t="s">
        <v>569</v>
      </c>
      <c r="L70" s="129">
        <v>42013</v>
      </c>
      <c r="M70" s="50" t="s">
        <v>826</v>
      </c>
      <c r="N70" s="130" t="s">
        <v>185</v>
      </c>
      <c r="O70" s="129">
        <v>42013</v>
      </c>
      <c r="P70" s="124">
        <f t="shared" ref="P70" si="112">O70-C70</f>
        <v>2</v>
      </c>
      <c r="Q70" s="50" t="s">
        <v>570</v>
      </c>
      <c r="R70" s="4" t="s">
        <v>17</v>
      </c>
      <c r="S70" s="4" t="s">
        <v>104</v>
      </c>
      <c r="T70" s="50" t="s">
        <v>571</v>
      </c>
      <c r="U70" s="132">
        <v>42016</v>
      </c>
      <c r="V70" s="126" t="s">
        <v>186</v>
      </c>
      <c r="W70" s="127">
        <f t="shared" ref="W70" si="113">COUNTBLANK(C70:V70)</f>
        <v>0</v>
      </c>
      <c r="X70" s="127" t="str">
        <f t="shared" ref="X70" si="114">IF(W70=0,"Correcto","Incorrecto")</f>
        <v>Correcto</v>
      </c>
      <c r="Y70" s="34"/>
      <c r="Z70" s="34"/>
      <c r="AA70" s="34"/>
    </row>
    <row r="71" spans="1:27" s="72" customFormat="1" ht="24.75" customHeight="1" x14ac:dyDescent="0.2">
      <c r="A71" s="4">
        <v>62</v>
      </c>
      <c r="B71" s="122" t="s">
        <v>262</v>
      </c>
      <c r="C71" s="123">
        <v>42011</v>
      </c>
      <c r="D71" s="4">
        <v>3</v>
      </c>
      <c r="E71" s="4" t="s">
        <v>93</v>
      </c>
      <c r="F71" s="4" t="s">
        <v>827</v>
      </c>
      <c r="G71" s="4" t="s">
        <v>202</v>
      </c>
      <c r="H71" s="129">
        <v>42013</v>
      </c>
      <c r="I71" s="4" t="s">
        <v>187</v>
      </c>
      <c r="J71" s="4" t="s">
        <v>103</v>
      </c>
      <c r="K71" s="4" t="s">
        <v>572</v>
      </c>
      <c r="L71" s="129">
        <v>42013</v>
      </c>
      <c r="M71" s="50" t="s">
        <v>826</v>
      </c>
      <c r="N71" s="130" t="s">
        <v>185</v>
      </c>
      <c r="O71" s="129">
        <v>42013</v>
      </c>
      <c r="P71" s="124">
        <f t="shared" ref="P71" si="115">O71-C71</f>
        <v>2</v>
      </c>
      <c r="Q71" s="50" t="s">
        <v>573</v>
      </c>
      <c r="R71" s="4" t="s">
        <v>17</v>
      </c>
      <c r="S71" s="4" t="s">
        <v>104</v>
      </c>
      <c r="T71" s="50" t="s">
        <v>1055</v>
      </c>
      <c r="U71" s="132">
        <v>42016</v>
      </c>
      <c r="V71" s="126" t="s">
        <v>186</v>
      </c>
      <c r="W71" s="127">
        <f t="shared" ref="W71" si="116">COUNTBLANK(C71:V71)</f>
        <v>0</v>
      </c>
      <c r="X71" s="127" t="str">
        <f t="shared" ref="X71" si="117">IF(W71=0,"Correcto","Incorrecto")</f>
        <v>Correcto</v>
      </c>
      <c r="Y71" s="34"/>
      <c r="Z71" s="34"/>
      <c r="AA71" s="34"/>
    </row>
    <row r="72" spans="1:27" s="72" customFormat="1" ht="24.75" customHeight="1" x14ac:dyDescent="0.2">
      <c r="A72" s="144">
        <v>63</v>
      </c>
      <c r="B72" s="122" t="s">
        <v>263</v>
      </c>
      <c r="C72" s="123">
        <v>42012</v>
      </c>
      <c r="D72" s="4">
        <v>2</v>
      </c>
      <c r="E72" s="4" t="s">
        <v>93</v>
      </c>
      <c r="F72" s="4" t="s">
        <v>827</v>
      </c>
      <c r="G72" s="4" t="s">
        <v>202</v>
      </c>
      <c r="H72" s="129">
        <v>42013</v>
      </c>
      <c r="I72" s="4" t="s">
        <v>187</v>
      </c>
      <c r="J72" s="4" t="s">
        <v>103</v>
      </c>
      <c r="K72" s="4" t="s">
        <v>574</v>
      </c>
      <c r="L72" s="129">
        <v>42013</v>
      </c>
      <c r="M72" s="50" t="s">
        <v>826</v>
      </c>
      <c r="N72" s="130" t="s">
        <v>185</v>
      </c>
      <c r="O72" s="129">
        <v>42013</v>
      </c>
      <c r="P72" s="124">
        <f t="shared" ref="P72" si="118">O72-C72</f>
        <v>1</v>
      </c>
      <c r="Q72" s="50" t="s">
        <v>574</v>
      </c>
      <c r="R72" s="4" t="s">
        <v>17</v>
      </c>
      <c r="S72" s="4" t="s">
        <v>104</v>
      </c>
      <c r="T72" s="50" t="s">
        <v>575</v>
      </c>
      <c r="U72" s="132">
        <v>42016</v>
      </c>
      <c r="V72" s="126" t="s">
        <v>186</v>
      </c>
      <c r="W72" s="127">
        <f t="shared" ref="W72" si="119">COUNTBLANK(C72:V72)</f>
        <v>0</v>
      </c>
      <c r="X72" s="127" t="str">
        <f t="shared" ref="X72" si="120">IF(W72=0,"Correcto","Incorrecto")</f>
        <v>Correcto</v>
      </c>
      <c r="Y72" s="34"/>
      <c r="Z72" s="34"/>
      <c r="AA72" s="34"/>
    </row>
    <row r="73" spans="1:27" s="72" customFormat="1" ht="24.75" customHeight="1" x14ac:dyDescent="0.2">
      <c r="A73" s="144">
        <v>64</v>
      </c>
      <c r="B73" s="122" t="s">
        <v>264</v>
      </c>
      <c r="C73" s="123">
        <v>42012</v>
      </c>
      <c r="D73" s="4">
        <v>2</v>
      </c>
      <c r="E73" s="4" t="s">
        <v>93</v>
      </c>
      <c r="F73" s="4" t="s">
        <v>827</v>
      </c>
      <c r="G73" s="4" t="s">
        <v>202</v>
      </c>
      <c r="H73" s="129">
        <v>42013</v>
      </c>
      <c r="I73" s="4" t="s">
        <v>187</v>
      </c>
      <c r="J73" s="4" t="s">
        <v>103</v>
      </c>
      <c r="K73" s="4" t="s">
        <v>577</v>
      </c>
      <c r="L73" s="129">
        <v>42013</v>
      </c>
      <c r="M73" s="50" t="s">
        <v>826</v>
      </c>
      <c r="N73" s="130" t="s">
        <v>185</v>
      </c>
      <c r="O73" s="129">
        <v>42013</v>
      </c>
      <c r="P73" s="124">
        <f t="shared" ref="P73" si="121">O73-C73</f>
        <v>1</v>
      </c>
      <c r="Q73" s="50" t="s">
        <v>578</v>
      </c>
      <c r="R73" s="4" t="s">
        <v>17</v>
      </c>
      <c r="S73" s="4" t="s">
        <v>104</v>
      </c>
      <c r="T73" s="50" t="s">
        <v>576</v>
      </c>
      <c r="U73" s="132">
        <v>42013</v>
      </c>
      <c r="V73" s="126" t="s">
        <v>186</v>
      </c>
      <c r="W73" s="127">
        <f t="shared" ref="W73" si="122">COUNTBLANK(C73:V73)</f>
        <v>0</v>
      </c>
      <c r="X73" s="127" t="str">
        <f t="shared" ref="X73" si="123">IF(W73=0,"Correcto","Incorrecto")</f>
        <v>Correcto</v>
      </c>
      <c r="Y73" s="34"/>
      <c r="Z73" s="34"/>
      <c r="AA73" s="34"/>
    </row>
    <row r="74" spans="1:27" s="72" customFormat="1" ht="24.75" customHeight="1" x14ac:dyDescent="0.2">
      <c r="A74" s="4">
        <v>65</v>
      </c>
      <c r="B74" s="122" t="s">
        <v>265</v>
      </c>
      <c r="C74" s="123">
        <v>42012</v>
      </c>
      <c r="D74" s="4">
        <v>2</v>
      </c>
      <c r="E74" s="4" t="s">
        <v>93</v>
      </c>
      <c r="F74" s="4" t="s">
        <v>827</v>
      </c>
      <c r="G74" s="4" t="s">
        <v>202</v>
      </c>
      <c r="H74" s="129">
        <v>42013</v>
      </c>
      <c r="I74" s="4" t="s">
        <v>187</v>
      </c>
      <c r="J74" s="4" t="s">
        <v>103</v>
      </c>
      <c r="K74" s="4" t="s">
        <v>579</v>
      </c>
      <c r="L74" s="129">
        <v>42013</v>
      </c>
      <c r="M74" s="50" t="s">
        <v>826</v>
      </c>
      <c r="N74" s="130" t="s">
        <v>185</v>
      </c>
      <c r="O74" s="129">
        <v>42013</v>
      </c>
      <c r="P74" s="124">
        <f t="shared" ref="P74" si="124">O74-C74</f>
        <v>1</v>
      </c>
      <c r="Q74" s="50" t="s">
        <v>580</v>
      </c>
      <c r="R74" s="4" t="s">
        <v>17</v>
      </c>
      <c r="S74" s="4" t="s">
        <v>104</v>
      </c>
      <c r="T74" s="50" t="s">
        <v>581</v>
      </c>
      <c r="U74" s="132">
        <v>42016</v>
      </c>
      <c r="V74" s="126" t="s">
        <v>186</v>
      </c>
      <c r="W74" s="127">
        <f t="shared" ref="W74" si="125">COUNTBLANK(C74:V74)</f>
        <v>0</v>
      </c>
      <c r="X74" s="127" t="str">
        <f t="shared" ref="X74" si="126">IF(W74=0,"Correcto","Incorrecto")</f>
        <v>Correcto</v>
      </c>
      <c r="Y74" s="34"/>
      <c r="Z74" s="34"/>
      <c r="AA74" s="34"/>
    </row>
    <row r="75" spans="1:27" s="72" customFormat="1" ht="24.75" customHeight="1" x14ac:dyDescent="0.2">
      <c r="A75" s="144">
        <v>66</v>
      </c>
      <c r="B75" s="122" t="s">
        <v>266</v>
      </c>
      <c r="C75" s="123">
        <v>42012</v>
      </c>
      <c r="D75" s="4">
        <v>2</v>
      </c>
      <c r="E75" s="4" t="s">
        <v>93</v>
      </c>
      <c r="F75" s="4" t="s">
        <v>827</v>
      </c>
      <c r="G75" s="4" t="s">
        <v>202</v>
      </c>
      <c r="H75" s="129">
        <v>42013</v>
      </c>
      <c r="I75" s="4" t="s">
        <v>187</v>
      </c>
      <c r="J75" s="4" t="s">
        <v>103</v>
      </c>
      <c r="K75" s="4" t="s">
        <v>583</v>
      </c>
      <c r="L75" s="129">
        <v>42013</v>
      </c>
      <c r="M75" s="50" t="s">
        <v>826</v>
      </c>
      <c r="N75" s="130" t="s">
        <v>185</v>
      </c>
      <c r="O75" s="129">
        <v>42013</v>
      </c>
      <c r="P75" s="124">
        <f t="shared" ref="P75" si="127">O75-C75</f>
        <v>1</v>
      </c>
      <c r="Q75" s="50" t="s">
        <v>584</v>
      </c>
      <c r="R75" s="4" t="s">
        <v>17</v>
      </c>
      <c r="S75" s="4" t="s">
        <v>104</v>
      </c>
      <c r="T75" s="50" t="s">
        <v>582</v>
      </c>
      <c r="U75" s="132">
        <v>42020</v>
      </c>
      <c r="V75" s="126" t="s">
        <v>186</v>
      </c>
      <c r="W75" s="127">
        <f t="shared" ref="W75" si="128">COUNTBLANK(C75:V75)</f>
        <v>0</v>
      </c>
      <c r="X75" s="127" t="str">
        <f t="shared" ref="X75" si="129">IF(W75=0,"Correcto","Incorrecto")</f>
        <v>Correcto</v>
      </c>
      <c r="Y75" s="34"/>
      <c r="Z75" s="34"/>
      <c r="AA75" s="34"/>
    </row>
    <row r="76" spans="1:27" s="72" customFormat="1" ht="24.75" customHeight="1" x14ac:dyDescent="0.2">
      <c r="A76" s="144">
        <v>67</v>
      </c>
      <c r="B76" s="122" t="s">
        <v>267</v>
      </c>
      <c r="C76" s="123">
        <v>42012</v>
      </c>
      <c r="D76" s="4">
        <v>8</v>
      </c>
      <c r="E76" s="4" t="s">
        <v>93</v>
      </c>
      <c r="F76" s="4" t="s">
        <v>827</v>
      </c>
      <c r="G76" s="4" t="s">
        <v>202</v>
      </c>
      <c r="H76" s="129">
        <v>42018</v>
      </c>
      <c r="I76" s="4" t="s">
        <v>187</v>
      </c>
      <c r="J76" s="4" t="s">
        <v>103</v>
      </c>
      <c r="K76" s="4" t="s">
        <v>585</v>
      </c>
      <c r="L76" s="129">
        <v>42018</v>
      </c>
      <c r="M76" s="50" t="s">
        <v>826</v>
      </c>
      <c r="N76" s="130" t="s">
        <v>185</v>
      </c>
      <c r="O76" s="129">
        <v>42018</v>
      </c>
      <c r="P76" s="124">
        <f t="shared" ref="P76" si="130">O76-C76</f>
        <v>6</v>
      </c>
      <c r="Q76" s="50" t="s">
        <v>586</v>
      </c>
      <c r="R76" s="4" t="s">
        <v>17</v>
      </c>
      <c r="S76" s="4" t="s">
        <v>104</v>
      </c>
      <c r="T76" s="50" t="s">
        <v>104</v>
      </c>
      <c r="U76" s="132">
        <v>42020</v>
      </c>
      <c r="V76" s="126" t="s">
        <v>186</v>
      </c>
      <c r="W76" s="127">
        <f t="shared" ref="W76" si="131">COUNTBLANK(C76:V76)</f>
        <v>0</v>
      </c>
      <c r="X76" s="127" t="str">
        <f t="shared" ref="X76" si="132">IF(W76=0,"Correcto","Incorrecto")</f>
        <v>Correcto</v>
      </c>
      <c r="Y76" s="34"/>
      <c r="Z76" s="34"/>
      <c r="AA76" s="34"/>
    </row>
    <row r="77" spans="1:27" s="72" customFormat="1" ht="24.75" customHeight="1" x14ac:dyDescent="0.2">
      <c r="A77" s="4">
        <v>68</v>
      </c>
      <c r="B77" s="122" t="s">
        <v>268</v>
      </c>
      <c r="C77" s="123">
        <v>42012</v>
      </c>
      <c r="D77" s="4">
        <v>2</v>
      </c>
      <c r="E77" s="4" t="s">
        <v>93</v>
      </c>
      <c r="F77" s="4" t="s">
        <v>827</v>
      </c>
      <c r="G77" s="4" t="s">
        <v>202</v>
      </c>
      <c r="H77" s="129">
        <v>42013</v>
      </c>
      <c r="I77" s="4" t="s">
        <v>187</v>
      </c>
      <c r="J77" s="4" t="s">
        <v>103</v>
      </c>
      <c r="K77" s="4" t="s">
        <v>587</v>
      </c>
      <c r="L77" s="129">
        <v>42013</v>
      </c>
      <c r="M77" s="50" t="s">
        <v>826</v>
      </c>
      <c r="N77" s="130" t="s">
        <v>185</v>
      </c>
      <c r="O77" s="129">
        <v>42013</v>
      </c>
      <c r="P77" s="124">
        <f t="shared" ref="P77" si="133">O77-C77</f>
        <v>1</v>
      </c>
      <c r="Q77" s="50" t="s">
        <v>588</v>
      </c>
      <c r="R77" s="4" t="s">
        <v>17</v>
      </c>
      <c r="S77" s="4" t="s">
        <v>104</v>
      </c>
      <c r="T77" s="50" t="s">
        <v>1056</v>
      </c>
      <c r="U77" s="132">
        <v>42016</v>
      </c>
      <c r="V77" s="126" t="s">
        <v>186</v>
      </c>
      <c r="W77" s="127">
        <f t="shared" ref="W77" si="134">COUNTBLANK(C77:V77)</f>
        <v>0</v>
      </c>
      <c r="X77" s="127" t="str">
        <f t="shared" ref="X77" si="135">IF(W77=0,"Correcto","Incorrecto")</f>
        <v>Correcto</v>
      </c>
      <c r="Y77" s="34"/>
      <c r="Z77" s="34"/>
      <c r="AA77" s="34"/>
    </row>
    <row r="78" spans="1:27" s="72" customFormat="1" ht="24.75" customHeight="1" x14ac:dyDescent="0.2">
      <c r="A78" s="144">
        <v>69</v>
      </c>
      <c r="B78" s="122" t="s">
        <v>1057</v>
      </c>
      <c r="C78" s="123">
        <v>42013</v>
      </c>
      <c r="D78" s="4">
        <v>2</v>
      </c>
      <c r="E78" s="4" t="s">
        <v>93</v>
      </c>
      <c r="F78" s="4" t="s">
        <v>827</v>
      </c>
      <c r="G78" s="4" t="s">
        <v>202</v>
      </c>
      <c r="H78" s="129">
        <v>42016</v>
      </c>
      <c r="I78" s="4" t="s">
        <v>187</v>
      </c>
      <c r="J78" s="4" t="s">
        <v>103</v>
      </c>
      <c r="K78" s="50" t="s">
        <v>1058</v>
      </c>
      <c r="L78" s="129">
        <v>42016</v>
      </c>
      <c r="M78" s="50" t="s">
        <v>826</v>
      </c>
      <c r="N78" s="130" t="s">
        <v>185</v>
      </c>
      <c r="O78" s="129">
        <v>42016</v>
      </c>
      <c r="P78" s="124">
        <f t="shared" ref="P78" si="136">O78-C78</f>
        <v>3</v>
      </c>
      <c r="Q78" s="50" t="s">
        <v>1058</v>
      </c>
      <c r="R78" s="4" t="s">
        <v>17</v>
      </c>
      <c r="S78" s="4" t="s">
        <v>104</v>
      </c>
      <c r="T78" s="50" t="s">
        <v>1059</v>
      </c>
      <c r="U78" s="132">
        <v>42016</v>
      </c>
      <c r="V78" s="126" t="s">
        <v>186</v>
      </c>
      <c r="W78" s="127">
        <f t="shared" ref="W78" si="137">COUNTBLANK(C78:V78)</f>
        <v>0</v>
      </c>
      <c r="X78" s="127" t="str">
        <f t="shared" ref="X78" si="138">IF(W78=0,"Correcto","Incorrecto")</f>
        <v>Correcto</v>
      </c>
      <c r="Y78" s="34"/>
      <c r="Z78" s="34"/>
      <c r="AA78" s="34"/>
    </row>
    <row r="79" spans="1:27" s="72" customFormat="1" ht="24.75" customHeight="1" x14ac:dyDescent="0.2">
      <c r="A79" s="144">
        <v>70</v>
      </c>
      <c r="B79" s="122" t="s">
        <v>269</v>
      </c>
      <c r="C79" s="123">
        <v>42013</v>
      </c>
      <c r="D79" s="4">
        <v>3</v>
      </c>
      <c r="E79" s="4" t="s">
        <v>93</v>
      </c>
      <c r="F79" s="4" t="s">
        <v>827</v>
      </c>
      <c r="G79" s="4" t="s">
        <v>202</v>
      </c>
      <c r="H79" s="129">
        <v>42014</v>
      </c>
      <c r="I79" s="4" t="s">
        <v>187</v>
      </c>
      <c r="J79" s="4" t="s">
        <v>103</v>
      </c>
      <c r="K79" s="4" t="s">
        <v>589</v>
      </c>
      <c r="L79" s="129">
        <v>42014</v>
      </c>
      <c r="M79" s="50" t="s">
        <v>826</v>
      </c>
      <c r="N79" s="130" t="s">
        <v>185</v>
      </c>
      <c r="O79" s="129">
        <v>42014</v>
      </c>
      <c r="P79" s="124">
        <f t="shared" ref="P79" si="139">O79-C79</f>
        <v>1</v>
      </c>
      <c r="Q79" s="50" t="s">
        <v>589</v>
      </c>
      <c r="R79" s="4" t="s">
        <v>17</v>
      </c>
      <c r="S79" s="4" t="s">
        <v>104</v>
      </c>
      <c r="T79" s="50" t="s">
        <v>1060</v>
      </c>
      <c r="U79" s="132">
        <v>42016</v>
      </c>
      <c r="V79" s="126" t="s">
        <v>186</v>
      </c>
      <c r="W79" s="127">
        <f t="shared" ref="W79" si="140">COUNTBLANK(C79:V79)</f>
        <v>0</v>
      </c>
      <c r="X79" s="127" t="str">
        <f t="shared" ref="X79" si="141">IF(W79=0,"Correcto","Incorrecto")</f>
        <v>Correcto</v>
      </c>
      <c r="Y79" s="34"/>
      <c r="Z79" s="34"/>
      <c r="AA79" s="34"/>
    </row>
    <row r="80" spans="1:27" s="72" customFormat="1" ht="24.75" customHeight="1" x14ac:dyDescent="0.2">
      <c r="A80" s="4">
        <v>71</v>
      </c>
      <c r="B80" s="122" t="s">
        <v>270</v>
      </c>
      <c r="C80" s="123">
        <v>42013</v>
      </c>
      <c r="D80" s="4">
        <v>2</v>
      </c>
      <c r="E80" s="4" t="s">
        <v>93</v>
      </c>
      <c r="F80" s="4" t="s">
        <v>827</v>
      </c>
      <c r="G80" s="4" t="s">
        <v>202</v>
      </c>
      <c r="H80" s="129">
        <v>42014</v>
      </c>
      <c r="I80" s="4" t="s">
        <v>187</v>
      </c>
      <c r="J80" s="4" t="s">
        <v>103</v>
      </c>
      <c r="K80" s="4" t="s">
        <v>591</v>
      </c>
      <c r="L80" s="129">
        <v>42014</v>
      </c>
      <c r="M80" s="50" t="s">
        <v>826</v>
      </c>
      <c r="N80" s="130" t="s">
        <v>185</v>
      </c>
      <c r="O80" s="129">
        <v>42014</v>
      </c>
      <c r="P80" s="124">
        <f t="shared" ref="P80" si="142">O80-C80</f>
        <v>1</v>
      </c>
      <c r="Q80" s="50" t="s">
        <v>592</v>
      </c>
      <c r="R80" s="4" t="s">
        <v>17</v>
      </c>
      <c r="S80" s="4" t="s">
        <v>104</v>
      </c>
      <c r="T80" s="50" t="s">
        <v>590</v>
      </c>
      <c r="U80" s="132">
        <v>42016</v>
      </c>
      <c r="V80" s="126" t="s">
        <v>186</v>
      </c>
      <c r="W80" s="127">
        <f t="shared" ref="W80" si="143">COUNTBLANK(C80:V80)</f>
        <v>0</v>
      </c>
      <c r="X80" s="127" t="str">
        <f t="shared" ref="X80" si="144">IF(W80=0,"Correcto","Incorrecto")</f>
        <v>Correcto</v>
      </c>
      <c r="Y80" s="34"/>
      <c r="Z80" s="34"/>
      <c r="AA80" s="34"/>
    </row>
    <row r="81" spans="1:27" s="72" customFormat="1" ht="24.75" customHeight="1" x14ac:dyDescent="0.2">
      <c r="A81" s="144">
        <v>72</v>
      </c>
      <c r="B81" s="122" t="s">
        <v>271</v>
      </c>
      <c r="C81" s="123">
        <v>42013</v>
      </c>
      <c r="D81" s="4">
        <v>2</v>
      </c>
      <c r="E81" s="4" t="s">
        <v>93</v>
      </c>
      <c r="F81" s="4" t="s">
        <v>825</v>
      </c>
      <c r="G81" s="4" t="s">
        <v>202</v>
      </c>
      <c r="H81" s="129">
        <v>42018</v>
      </c>
      <c r="I81" s="4" t="s">
        <v>187</v>
      </c>
      <c r="J81" s="4" t="s">
        <v>103</v>
      </c>
      <c r="K81" s="4" t="s">
        <v>593</v>
      </c>
      <c r="L81" s="129">
        <v>42018</v>
      </c>
      <c r="M81" s="50" t="s">
        <v>826</v>
      </c>
      <c r="N81" s="130" t="s">
        <v>185</v>
      </c>
      <c r="O81" s="129">
        <v>42019</v>
      </c>
      <c r="P81" s="124">
        <f t="shared" ref="P81" si="145">O81-C81</f>
        <v>6</v>
      </c>
      <c r="Q81" s="50" t="s">
        <v>594</v>
      </c>
      <c r="R81" s="4" t="s">
        <v>17</v>
      </c>
      <c r="S81" s="4" t="s">
        <v>189</v>
      </c>
      <c r="T81" s="50" t="s">
        <v>101</v>
      </c>
      <c r="U81" s="132">
        <v>42023</v>
      </c>
      <c r="V81" s="126" t="s">
        <v>186</v>
      </c>
      <c r="W81" s="127">
        <f t="shared" ref="W81" si="146">COUNTBLANK(C81:V81)</f>
        <v>0</v>
      </c>
      <c r="X81" s="127" t="str">
        <f t="shared" ref="X81" si="147">IF(W81=0,"Correcto","Incorrecto")</f>
        <v>Correcto</v>
      </c>
      <c r="Y81" s="34"/>
      <c r="Z81" s="34"/>
      <c r="AA81" s="34"/>
    </row>
    <row r="82" spans="1:27" s="72" customFormat="1" ht="24.75" customHeight="1" x14ac:dyDescent="0.2">
      <c r="A82" s="144">
        <v>73</v>
      </c>
      <c r="B82" s="122" t="s">
        <v>272</v>
      </c>
      <c r="C82" s="123">
        <v>42013</v>
      </c>
      <c r="D82" s="4">
        <v>2</v>
      </c>
      <c r="E82" s="4" t="s">
        <v>93</v>
      </c>
      <c r="F82" s="4" t="s">
        <v>825</v>
      </c>
      <c r="G82" s="4" t="s">
        <v>202</v>
      </c>
      <c r="H82" s="129">
        <v>42018</v>
      </c>
      <c r="I82" s="4" t="s">
        <v>187</v>
      </c>
      <c r="J82" s="4" t="s">
        <v>103</v>
      </c>
      <c r="K82" s="4" t="s">
        <v>595</v>
      </c>
      <c r="L82" s="129">
        <v>42018</v>
      </c>
      <c r="M82" s="50" t="s">
        <v>826</v>
      </c>
      <c r="N82" s="130" t="s">
        <v>185</v>
      </c>
      <c r="O82" s="129">
        <v>42019</v>
      </c>
      <c r="P82" s="124">
        <f t="shared" ref="P82" si="148">O82-C82</f>
        <v>6</v>
      </c>
      <c r="Q82" s="50" t="s">
        <v>596</v>
      </c>
      <c r="R82" s="4" t="s">
        <v>17</v>
      </c>
      <c r="S82" s="4" t="s">
        <v>189</v>
      </c>
      <c r="T82" s="50" t="s">
        <v>101</v>
      </c>
      <c r="U82" s="132">
        <v>42023</v>
      </c>
      <c r="V82" s="126" t="s">
        <v>186</v>
      </c>
      <c r="W82" s="127">
        <f t="shared" ref="W82" si="149">COUNTBLANK(C82:V82)</f>
        <v>0</v>
      </c>
      <c r="X82" s="127" t="str">
        <f t="shared" ref="X82" si="150">IF(W82=0,"Correcto","Incorrecto")</f>
        <v>Correcto</v>
      </c>
      <c r="Y82" s="34"/>
      <c r="Z82" s="34"/>
      <c r="AA82" s="34"/>
    </row>
    <row r="83" spans="1:27" s="72" customFormat="1" ht="24.75" customHeight="1" x14ac:dyDescent="0.2">
      <c r="A83" s="4">
        <v>74</v>
      </c>
      <c r="B83" s="122" t="s">
        <v>273</v>
      </c>
      <c r="C83" s="123">
        <v>42013</v>
      </c>
      <c r="D83" s="4">
        <v>7</v>
      </c>
      <c r="E83" s="4" t="s">
        <v>93</v>
      </c>
      <c r="F83" s="4" t="s">
        <v>825</v>
      </c>
      <c r="G83" s="4" t="s">
        <v>202</v>
      </c>
      <c r="H83" s="129">
        <v>42018</v>
      </c>
      <c r="I83" s="4" t="s">
        <v>187</v>
      </c>
      <c r="J83" s="4" t="s">
        <v>103</v>
      </c>
      <c r="K83" s="4" t="s">
        <v>597</v>
      </c>
      <c r="L83" s="129">
        <v>42019</v>
      </c>
      <c r="M83" s="50" t="s">
        <v>826</v>
      </c>
      <c r="N83" s="130" t="s">
        <v>185</v>
      </c>
      <c r="O83" s="129">
        <v>42019</v>
      </c>
      <c r="P83" s="124">
        <f t="shared" ref="P83" si="151">O83-C83</f>
        <v>6</v>
      </c>
      <c r="Q83" s="50" t="s">
        <v>598</v>
      </c>
      <c r="R83" s="4" t="s">
        <v>17</v>
      </c>
      <c r="S83" s="4" t="s">
        <v>189</v>
      </c>
      <c r="T83" s="50" t="s">
        <v>101</v>
      </c>
      <c r="U83" s="132">
        <v>42023</v>
      </c>
      <c r="V83" s="126" t="s">
        <v>186</v>
      </c>
      <c r="W83" s="127">
        <f t="shared" ref="W83" si="152">COUNTBLANK(C83:V83)</f>
        <v>0</v>
      </c>
      <c r="X83" s="127" t="str">
        <f t="shared" ref="X83" si="153">IF(W83=0,"Correcto","Incorrecto")</f>
        <v>Correcto</v>
      </c>
      <c r="Y83" s="34"/>
      <c r="Z83" s="34"/>
      <c r="AA83" s="34"/>
    </row>
    <row r="84" spans="1:27" s="72" customFormat="1" ht="24.75" customHeight="1" x14ac:dyDescent="0.2">
      <c r="A84" s="144">
        <v>75</v>
      </c>
      <c r="B84" s="122" t="s">
        <v>274</v>
      </c>
      <c r="C84" s="123">
        <v>42013</v>
      </c>
      <c r="D84" s="4">
        <v>2</v>
      </c>
      <c r="E84" s="4" t="s">
        <v>93</v>
      </c>
      <c r="F84" s="4" t="s">
        <v>827</v>
      </c>
      <c r="G84" s="4" t="s">
        <v>202</v>
      </c>
      <c r="H84" s="129">
        <v>42014</v>
      </c>
      <c r="I84" s="4" t="s">
        <v>187</v>
      </c>
      <c r="J84" s="4" t="s">
        <v>103</v>
      </c>
      <c r="K84" s="4" t="s">
        <v>599</v>
      </c>
      <c r="L84" s="129">
        <v>42014</v>
      </c>
      <c r="M84" s="50" t="s">
        <v>826</v>
      </c>
      <c r="N84" s="130" t="s">
        <v>185</v>
      </c>
      <c r="O84" s="129">
        <v>42014</v>
      </c>
      <c r="P84" s="124">
        <f t="shared" ref="P84" si="154">O84-C84</f>
        <v>1</v>
      </c>
      <c r="Q84" s="50" t="s">
        <v>600</v>
      </c>
      <c r="R84" s="4" t="s">
        <v>17</v>
      </c>
      <c r="S84" s="4" t="s">
        <v>104</v>
      </c>
      <c r="T84" s="50" t="s">
        <v>601</v>
      </c>
      <c r="U84" s="132">
        <v>42017</v>
      </c>
      <c r="V84" s="126" t="s">
        <v>186</v>
      </c>
      <c r="W84" s="127">
        <f t="shared" ref="W84" si="155">COUNTBLANK(C84:V84)</f>
        <v>0</v>
      </c>
      <c r="X84" s="127" t="str">
        <f t="shared" ref="X84" si="156">IF(W84=0,"Correcto","Incorrecto")</f>
        <v>Correcto</v>
      </c>
      <c r="Y84" s="34"/>
      <c r="Z84" s="34"/>
      <c r="AA84" s="34"/>
    </row>
    <row r="85" spans="1:27" s="72" customFormat="1" ht="24.75" customHeight="1" x14ac:dyDescent="0.2">
      <c r="A85" s="144">
        <v>76</v>
      </c>
      <c r="B85" s="122" t="s">
        <v>275</v>
      </c>
      <c r="C85" s="123">
        <v>42013</v>
      </c>
      <c r="D85" s="4">
        <v>2</v>
      </c>
      <c r="E85" s="4" t="s">
        <v>93</v>
      </c>
      <c r="F85" s="4" t="s">
        <v>827</v>
      </c>
      <c r="G85" s="4" t="s">
        <v>202</v>
      </c>
      <c r="H85" s="129">
        <v>42014</v>
      </c>
      <c r="I85" s="4" t="s">
        <v>187</v>
      </c>
      <c r="J85" s="4" t="s">
        <v>103</v>
      </c>
      <c r="K85" s="4" t="s">
        <v>602</v>
      </c>
      <c r="L85" s="129">
        <v>42014</v>
      </c>
      <c r="M85" s="50" t="s">
        <v>826</v>
      </c>
      <c r="N85" s="130" t="s">
        <v>185</v>
      </c>
      <c r="O85" s="129">
        <v>42014</v>
      </c>
      <c r="P85" s="124">
        <f t="shared" ref="P85" si="157">O85-C85</f>
        <v>1</v>
      </c>
      <c r="Q85" s="50" t="s">
        <v>603</v>
      </c>
      <c r="R85" s="4" t="s">
        <v>17</v>
      </c>
      <c r="S85" s="4" t="s">
        <v>104</v>
      </c>
      <c r="T85" s="50" t="s">
        <v>604</v>
      </c>
      <c r="U85" s="132">
        <v>42017</v>
      </c>
      <c r="V85" s="126" t="s">
        <v>186</v>
      </c>
      <c r="W85" s="127">
        <f t="shared" ref="W85" si="158">COUNTBLANK(C85:V85)</f>
        <v>0</v>
      </c>
      <c r="X85" s="127" t="str">
        <f t="shared" ref="X85" si="159">IF(W85=0,"Correcto","Incorrecto")</f>
        <v>Correcto</v>
      </c>
      <c r="Y85" s="34"/>
      <c r="Z85" s="34"/>
      <c r="AA85" s="34"/>
    </row>
    <row r="86" spans="1:27" s="72" customFormat="1" ht="24.75" customHeight="1" x14ac:dyDescent="0.2">
      <c r="A86" s="4">
        <v>77</v>
      </c>
      <c r="B86" s="122" t="s">
        <v>276</v>
      </c>
      <c r="C86" s="123">
        <v>42014</v>
      </c>
      <c r="D86" s="4">
        <v>2</v>
      </c>
      <c r="E86" s="4" t="s">
        <v>93</v>
      </c>
      <c r="F86" s="4" t="s">
        <v>825</v>
      </c>
      <c r="G86" s="4" t="s">
        <v>202</v>
      </c>
      <c r="H86" s="129">
        <v>42018</v>
      </c>
      <c r="I86" s="4" t="s">
        <v>187</v>
      </c>
      <c r="J86" s="4" t="s">
        <v>103</v>
      </c>
      <c r="K86" s="4" t="s">
        <v>606</v>
      </c>
      <c r="L86" s="129">
        <v>42019</v>
      </c>
      <c r="M86" s="50" t="s">
        <v>826</v>
      </c>
      <c r="N86" s="130" t="s">
        <v>185</v>
      </c>
      <c r="O86" s="129">
        <v>42019</v>
      </c>
      <c r="P86" s="124">
        <f t="shared" ref="P86" si="160">O86-C86</f>
        <v>5</v>
      </c>
      <c r="Q86" s="50" t="s">
        <v>607</v>
      </c>
      <c r="R86" s="4" t="s">
        <v>605</v>
      </c>
      <c r="S86" s="4" t="s">
        <v>195</v>
      </c>
      <c r="T86" s="50" t="s">
        <v>1032</v>
      </c>
      <c r="U86" s="132">
        <v>42020</v>
      </c>
      <c r="V86" s="126" t="s">
        <v>186</v>
      </c>
      <c r="W86" s="127">
        <f t="shared" ref="W86" si="161">COUNTBLANK(C86:V86)</f>
        <v>0</v>
      </c>
      <c r="X86" s="127" t="str">
        <f t="shared" ref="X86" si="162">IF(W86=0,"Correcto","Incorrecto")</f>
        <v>Correcto</v>
      </c>
      <c r="Y86" s="34"/>
      <c r="Z86" s="34"/>
      <c r="AA86" s="34"/>
    </row>
    <row r="87" spans="1:27" s="72" customFormat="1" ht="24.75" customHeight="1" x14ac:dyDescent="0.2">
      <c r="A87" s="144">
        <v>78</v>
      </c>
      <c r="B87" s="122" t="s">
        <v>277</v>
      </c>
      <c r="C87" s="123">
        <v>42014</v>
      </c>
      <c r="D87" s="4">
        <v>2</v>
      </c>
      <c r="E87" s="4" t="s">
        <v>93</v>
      </c>
      <c r="F87" s="4" t="s">
        <v>825</v>
      </c>
      <c r="G87" s="4" t="s">
        <v>202</v>
      </c>
      <c r="H87" s="129">
        <v>42018</v>
      </c>
      <c r="I87" s="4" t="s">
        <v>187</v>
      </c>
      <c r="J87" s="4" t="s">
        <v>103</v>
      </c>
      <c r="K87" s="4" t="s">
        <v>608</v>
      </c>
      <c r="L87" s="129">
        <v>42019</v>
      </c>
      <c r="M87" s="50" t="s">
        <v>826</v>
      </c>
      <c r="N87" s="130" t="s">
        <v>185</v>
      </c>
      <c r="O87" s="129">
        <v>42019</v>
      </c>
      <c r="P87" s="124">
        <f t="shared" ref="P87" si="163">O87-C87</f>
        <v>5</v>
      </c>
      <c r="Q87" s="50" t="s">
        <v>609</v>
      </c>
      <c r="R87" s="4" t="s">
        <v>17</v>
      </c>
      <c r="S87" s="4" t="s">
        <v>189</v>
      </c>
      <c r="T87" s="50" t="s">
        <v>101</v>
      </c>
      <c r="U87" s="132">
        <v>42023</v>
      </c>
      <c r="V87" s="126" t="s">
        <v>186</v>
      </c>
      <c r="W87" s="127">
        <f t="shared" ref="W87" si="164">COUNTBLANK(C87:V87)</f>
        <v>0</v>
      </c>
      <c r="X87" s="127" t="str">
        <f t="shared" ref="X87" si="165">IF(W87=0,"Correcto","Incorrecto")</f>
        <v>Correcto</v>
      </c>
      <c r="Y87" s="34"/>
      <c r="Z87" s="34"/>
      <c r="AA87" s="34"/>
    </row>
    <row r="88" spans="1:27" s="72" customFormat="1" ht="24.75" customHeight="1" x14ac:dyDescent="0.2">
      <c r="A88" s="144">
        <v>79</v>
      </c>
      <c r="B88" s="122" t="s">
        <v>278</v>
      </c>
      <c r="C88" s="123">
        <v>42014</v>
      </c>
      <c r="D88" s="4">
        <v>2</v>
      </c>
      <c r="E88" s="4" t="s">
        <v>93</v>
      </c>
      <c r="F88" s="4" t="s">
        <v>825</v>
      </c>
      <c r="G88" s="4" t="s">
        <v>202</v>
      </c>
      <c r="H88" s="129">
        <v>42018</v>
      </c>
      <c r="I88" s="4" t="s">
        <v>187</v>
      </c>
      <c r="J88" s="4" t="s">
        <v>103</v>
      </c>
      <c r="K88" s="4" t="s">
        <v>610</v>
      </c>
      <c r="L88" s="129">
        <v>42019</v>
      </c>
      <c r="M88" s="50" t="s">
        <v>826</v>
      </c>
      <c r="N88" s="130" t="s">
        <v>185</v>
      </c>
      <c r="O88" s="129">
        <v>42019</v>
      </c>
      <c r="P88" s="124">
        <f t="shared" ref="P88" si="166">O88-C88</f>
        <v>5</v>
      </c>
      <c r="Q88" s="50" t="s">
        <v>611</v>
      </c>
      <c r="R88" s="4" t="s">
        <v>17</v>
      </c>
      <c r="S88" s="4" t="s">
        <v>189</v>
      </c>
      <c r="T88" s="50" t="s">
        <v>101</v>
      </c>
      <c r="U88" s="132">
        <v>42023</v>
      </c>
      <c r="V88" s="126" t="s">
        <v>186</v>
      </c>
      <c r="W88" s="127">
        <f t="shared" ref="W88" si="167">COUNTBLANK(C88:V88)</f>
        <v>0</v>
      </c>
      <c r="X88" s="127" t="str">
        <f t="shared" ref="X88" si="168">IF(W88=0,"Correcto","Incorrecto")</f>
        <v>Correcto</v>
      </c>
      <c r="Y88" s="34"/>
      <c r="Z88" s="34"/>
      <c r="AA88" s="34"/>
    </row>
    <row r="89" spans="1:27" s="72" customFormat="1" ht="24.75" customHeight="1" x14ac:dyDescent="0.2">
      <c r="A89" s="4">
        <v>80</v>
      </c>
      <c r="B89" s="122" t="s">
        <v>279</v>
      </c>
      <c r="C89" s="123">
        <v>42014</v>
      </c>
      <c r="D89" s="4">
        <v>2</v>
      </c>
      <c r="E89" s="4" t="s">
        <v>93</v>
      </c>
      <c r="F89" s="4" t="s">
        <v>825</v>
      </c>
      <c r="G89" s="4" t="s">
        <v>202</v>
      </c>
      <c r="H89" s="129">
        <v>42016</v>
      </c>
      <c r="I89" s="4" t="s">
        <v>187</v>
      </c>
      <c r="J89" s="4" t="s">
        <v>103</v>
      </c>
      <c r="K89" s="4" t="s">
        <v>612</v>
      </c>
      <c r="L89" s="129">
        <v>42016</v>
      </c>
      <c r="M89" s="50" t="s">
        <v>826</v>
      </c>
      <c r="N89" s="130" t="s">
        <v>185</v>
      </c>
      <c r="O89" s="129">
        <v>42016</v>
      </c>
      <c r="P89" s="124">
        <f t="shared" ref="P89" si="169">O89-C89</f>
        <v>2</v>
      </c>
      <c r="Q89" s="50" t="s">
        <v>613</v>
      </c>
      <c r="R89" s="4" t="s">
        <v>17</v>
      </c>
      <c r="S89" s="4" t="s">
        <v>198</v>
      </c>
      <c r="T89" s="50" t="s">
        <v>101</v>
      </c>
      <c r="U89" s="132">
        <v>42018</v>
      </c>
      <c r="V89" s="126" t="s">
        <v>186</v>
      </c>
      <c r="W89" s="127">
        <f t="shared" ref="W89" si="170">COUNTBLANK(C89:V89)</f>
        <v>0</v>
      </c>
      <c r="X89" s="127" t="str">
        <f t="shared" ref="X89" si="171">IF(W89=0,"Correcto","Incorrecto")</f>
        <v>Correcto</v>
      </c>
      <c r="Y89" s="34"/>
      <c r="Z89" s="34"/>
      <c r="AA89" s="34"/>
    </row>
    <row r="90" spans="1:27" s="72" customFormat="1" ht="24.75" customHeight="1" x14ac:dyDescent="0.2">
      <c r="A90" s="144">
        <v>81</v>
      </c>
      <c r="B90" s="122" t="s">
        <v>280</v>
      </c>
      <c r="C90" s="123">
        <v>42014</v>
      </c>
      <c r="D90" s="4">
        <v>7</v>
      </c>
      <c r="E90" s="4" t="s">
        <v>93</v>
      </c>
      <c r="F90" s="4" t="s">
        <v>825</v>
      </c>
      <c r="G90" s="4" t="s">
        <v>202</v>
      </c>
      <c r="H90" s="129">
        <v>42019</v>
      </c>
      <c r="I90" s="4" t="s">
        <v>187</v>
      </c>
      <c r="J90" s="4" t="s">
        <v>103</v>
      </c>
      <c r="K90" s="4" t="s">
        <v>614</v>
      </c>
      <c r="L90" s="129">
        <v>42019</v>
      </c>
      <c r="M90" s="50" t="s">
        <v>826</v>
      </c>
      <c r="N90" s="130" t="s">
        <v>185</v>
      </c>
      <c r="O90" s="129">
        <v>42019</v>
      </c>
      <c r="P90" s="124">
        <f t="shared" ref="P90" si="172">O90-C90</f>
        <v>5</v>
      </c>
      <c r="Q90" s="50" t="s">
        <v>615</v>
      </c>
      <c r="R90" s="4" t="s">
        <v>17</v>
      </c>
      <c r="S90" s="4" t="s">
        <v>189</v>
      </c>
      <c r="T90" s="50" t="s">
        <v>101</v>
      </c>
      <c r="U90" s="132">
        <v>42023</v>
      </c>
      <c r="V90" s="126" t="s">
        <v>186</v>
      </c>
      <c r="W90" s="127">
        <f t="shared" ref="W90" si="173">COUNTBLANK(C90:V90)</f>
        <v>0</v>
      </c>
      <c r="X90" s="127" t="str">
        <f t="shared" ref="X90" si="174">IF(W90=0,"Correcto","Incorrecto")</f>
        <v>Correcto</v>
      </c>
      <c r="Y90" s="34"/>
      <c r="Z90" s="34"/>
      <c r="AA90" s="34"/>
    </row>
    <row r="91" spans="1:27" s="72" customFormat="1" ht="24.75" customHeight="1" x14ac:dyDescent="0.2">
      <c r="A91" s="144">
        <v>82</v>
      </c>
      <c r="B91" s="122" t="s">
        <v>281</v>
      </c>
      <c r="C91" s="123">
        <v>42014</v>
      </c>
      <c r="D91" s="4">
        <v>2</v>
      </c>
      <c r="E91" s="4" t="s">
        <v>93</v>
      </c>
      <c r="F91" s="4" t="s">
        <v>825</v>
      </c>
      <c r="G91" s="4" t="s">
        <v>202</v>
      </c>
      <c r="H91" s="129">
        <v>42016</v>
      </c>
      <c r="I91" s="4" t="s">
        <v>187</v>
      </c>
      <c r="J91" s="4" t="s">
        <v>103</v>
      </c>
      <c r="K91" s="4" t="s">
        <v>616</v>
      </c>
      <c r="L91" s="129">
        <v>42016</v>
      </c>
      <c r="M91" s="50" t="s">
        <v>826</v>
      </c>
      <c r="N91" s="130" t="s">
        <v>185</v>
      </c>
      <c r="O91" s="129">
        <v>42016</v>
      </c>
      <c r="P91" s="124">
        <f t="shared" ref="P91" si="175">O91-C91</f>
        <v>2</v>
      </c>
      <c r="Q91" s="50" t="s">
        <v>617</v>
      </c>
      <c r="R91" s="4" t="s">
        <v>17</v>
      </c>
      <c r="S91" s="4" t="s">
        <v>192</v>
      </c>
      <c r="T91" s="50" t="s">
        <v>101</v>
      </c>
      <c r="U91" s="132">
        <v>42018</v>
      </c>
      <c r="V91" s="126" t="s">
        <v>186</v>
      </c>
      <c r="W91" s="127">
        <f t="shared" ref="W91" si="176">COUNTBLANK(C91:V91)</f>
        <v>0</v>
      </c>
      <c r="X91" s="127" t="str">
        <f t="shared" ref="X91" si="177">IF(W91=0,"Correcto","Incorrecto")</f>
        <v>Correcto</v>
      </c>
      <c r="Y91" s="34"/>
      <c r="Z91" s="34"/>
      <c r="AA91" s="34"/>
    </row>
    <row r="92" spans="1:27" s="72" customFormat="1" ht="24.75" customHeight="1" x14ac:dyDescent="0.2">
      <c r="A92" s="4">
        <v>83</v>
      </c>
      <c r="B92" s="122" t="s">
        <v>282</v>
      </c>
      <c r="C92" s="123">
        <v>42014</v>
      </c>
      <c r="D92" s="4">
        <v>2</v>
      </c>
      <c r="E92" s="4" t="s">
        <v>93</v>
      </c>
      <c r="F92" s="4" t="s">
        <v>825</v>
      </c>
      <c r="G92" s="4" t="s">
        <v>202</v>
      </c>
      <c r="H92" s="129">
        <v>42016</v>
      </c>
      <c r="I92" s="4" t="s">
        <v>187</v>
      </c>
      <c r="J92" s="4" t="s">
        <v>103</v>
      </c>
      <c r="K92" s="4" t="s">
        <v>618</v>
      </c>
      <c r="L92" s="129">
        <v>42016</v>
      </c>
      <c r="M92" s="50" t="s">
        <v>826</v>
      </c>
      <c r="N92" s="130" t="s">
        <v>185</v>
      </c>
      <c r="O92" s="129">
        <v>42016</v>
      </c>
      <c r="P92" s="124">
        <f t="shared" ref="P92" si="178">O92-C92</f>
        <v>2</v>
      </c>
      <c r="Q92" s="50" t="s">
        <v>619</v>
      </c>
      <c r="R92" s="4" t="s">
        <v>17</v>
      </c>
      <c r="S92" s="4" t="s">
        <v>190</v>
      </c>
      <c r="T92" s="50" t="s">
        <v>101</v>
      </c>
      <c r="U92" s="132">
        <v>42018</v>
      </c>
      <c r="V92" s="126" t="s">
        <v>186</v>
      </c>
      <c r="W92" s="127">
        <f t="shared" ref="W92" si="179">COUNTBLANK(C92:V92)</f>
        <v>0</v>
      </c>
      <c r="X92" s="127" t="str">
        <f t="shared" ref="X92" si="180">IF(W92=0,"Correcto","Incorrecto")</f>
        <v>Correcto</v>
      </c>
      <c r="Y92" s="34"/>
      <c r="Z92" s="34"/>
      <c r="AA92" s="34"/>
    </row>
    <row r="93" spans="1:27" s="72" customFormat="1" ht="24.75" customHeight="1" x14ac:dyDescent="0.2">
      <c r="A93" s="144">
        <v>84</v>
      </c>
      <c r="B93" s="122" t="s">
        <v>283</v>
      </c>
      <c r="C93" s="123">
        <v>42014</v>
      </c>
      <c r="D93" s="4">
        <v>2</v>
      </c>
      <c r="E93" s="4" t="s">
        <v>93</v>
      </c>
      <c r="F93" s="4" t="s">
        <v>825</v>
      </c>
      <c r="G93" s="4" t="s">
        <v>202</v>
      </c>
      <c r="H93" s="129">
        <v>42016</v>
      </c>
      <c r="I93" s="4" t="s">
        <v>187</v>
      </c>
      <c r="J93" s="4" t="s">
        <v>103</v>
      </c>
      <c r="K93" s="4" t="s">
        <v>620</v>
      </c>
      <c r="L93" s="129">
        <v>42016</v>
      </c>
      <c r="M93" s="50" t="s">
        <v>826</v>
      </c>
      <c r="N93" s="130" t="s">
        <v>185</v>
      </c>
      <c r="O93" s="129">
        <v>42016</v>
      </c>
      <c r="P93" s="124">
        <f t="shared" ref="P93" si="181">O93-C93</f>
        <v>2</v>
      </c>
      <c r="Q93" s="50" t="s">
        <v>621</v>
      </c>
      <c r="R93" s="4" t="s">
        <v>17</v>
      </c>
      <c r="S93" s="4" t="s">
        <v>198</v>
      </c>
      <c r="T93" s="50" t="s">
        <v>101</v>
      </c>
      <c r="U93" s="132">
        <v>42018</v>
      </c>
      <c r="V93" s="126" t="s">
        <v>186</v>
      </c>
      <c r="W93" s="127">
        <f t="shared" ref="W93" si="182">COUNTBLANK(C93:V93)</f>
        <v>0</v>
      </c>
      <c r="X93" s="127" t="str">
        <f t="shared" ref="X93" si="183">IF(W93=0,"Correcto","Incorrecto")</f>
        <v>Correcto</v>
      </c>
      <c r="Y93" s="34"/>
      <c r="Z93" s="34"/>
      <c r="AA93" s="34"/>
    </row>
    <row r="94" spans="1:27" s="72" customFormat="1" ht="24.75" customHeight="1" x14ac:dyDescent="0.2">
      <c r="A94" s="144">
        <v>85</v>
      </c>
      <c r="B94" s="122" t="s">
        <v>284</v>
      </c>
      <c r="C94" s="123">
        <v>42014</v>
      </c>
      <c r="D94" s="4">
        <v>2</v>
      </c>
      <c r="E94" s="4" t="s">
        <v>93</v>
      </c>
      <c r="F94" s="4" t="s">
        <v>825</v>
      </c>
      <c r="G94" s="4" t="s">
        <v>202</v>
      </c>
      <c r="H94" s="129">
        <v>42016</v>
      </c>
      <c r="I94" s="4" t="s">
        <v>187</v>
      </c>
      <c r="J94" s="4" t="s">
        <v>103</v>
      </c>
      <c r="K94" s="4" t="s">
        <v>622</v>
      </c>
      <c r="L94" s="129">
        <v>42016</v>
      </c>
      <c r="M94" s="50" t="s">
        <v>826</v>
      </c>
      <c r="N94" s="130" t="s">
        <v>185</v>
      </c>
      <c r="O94" s="129">
        <v>42016</v>
      </c>
      <c r="P94" s="124">
        <f t="shared" ref="P94" si="184">O94-C94</f>
        <v>2</v>
      </c>
      <c r="Q94" s="50" t="s">
        <v>623</v>
      </c>
      <c r="R94" s="4" t="s">
        <v>17</v>
      </c>
      <c r="S94" s="4" t="s">
        <v>193</v>
      </c>
      <c r="T94" s="50" t="s">
        <v>101</v>
      </c>
      <c r="U94" s="132">
        <v>42018</v>
      </c>
      <c r="V94" s="126" t="s">
        <v>186</v>
      </c>
      <c r="W94" s="127">
        <f t="shared" ref="W94" si="185">COUNTBLANK(C94:V94)</f>
        <v>0</v>
      </c>
      <c r="X94" s="127" t="str">
        <f t="shared" ref="X94" si="186">IF(W94=0,"Correcto","Incorrecto")</f>
        <v>Correcto</v>
      </c>
      <c r="Y94" s="34"/>
      <c r="Z94" s="34"/>
      <c r="AA94" s="34"/>
    </row>
    <row r="95" spans="1:27" s="72" customFormat="1" ht="24.75" customHeight="1" x14ac:dyDescent="0.2">
      <c r="A95" s="4">
        <v>86</v>
      </c>
      <c r="B95" s="122" t="s">
        <v>285</v>
      </c>
      <c r="C95" s="123">
        <v>42014</v>
      </c>
      <c r="D95" s="4">
        <v>2</v>
      </c>
      <c r="E95" s="4" t="s">
        <v>93</v>
      </c>
      <c r="F95" s="4" t="s">
        <v>825</v>
      </c>
      <c r="G95" s="4" t="s">
        <v>202</v>
      </c>
      <c r="H95" s="129">
        <v>42016</v>
      </c>
      <c r="I95" s="4" t="s">
        <v>187</v>
      </c>
      <c r="J95" s="4" t="s">
        <v>103</v>
      </c>
      <c r="K95" s="4" t="s">
        <v>624</v>
      </c>
      <c r="L95" s="129">
        <v>42016</v>
      </c>
      <c r="M95" s="50" t="s">
        <v>826</v>
      </c>
      <c r="N95" s="130" t="s">
        <v>185</v>
      </c>
      <c r="O95" s="129">
        <v>42016</v>
      </c>
      <c r="P95" s="124">
        <f t="shared" ref="P95" si="187">O95-C95</f>
        <v>2</v>
      </c>
      <c r="Q95" s="50" t="s">
        <v>625</v>
      </c>
      <c r="R95" s="4" t="s">
        <v>17</v>
      </c>
      <c r="S95" s="4" t="s">
        <v>198</v>
      </c>
      <c r="T95" s="50" t="s">
        <v>101</v>
      </c>
      <c r="U95" s="132">
        <v>42018</v>
      </c>
      <c r="V95" s="126" t="s">
        <v>186</v>
      </c>
      <c r="W95" s="127">
        <f t="shared" ref="W95" si="188">COUNTBLANK(C95:V95)</f>
        <v>0</v>
      </c>
      <c r="X95" s="127" t="str">
        <f t="shared" ref="X95" si="189">IF(W95=0,"Correcto","Incorrecto")</f>
        <v>Correcto</v>
      </c>
      <c r="Y95" s="34"/>
      <c r="Z95" s="34"/>
      <c r="AA95" s="34"/>
    </row>
    <row r="96" spans="1:27" s="72" customFormat="1" ht="24.75" customHeight="1" x14ac:dyDescent="0.2">
      <c r="A96" s="144">
        <v>87</v>
      </c>
      <c r="B96" s="122" t="s">
        <v>286</v>
      </c>
      <c r="C96" s="123">
        <v>42014</v>
      </c>
      <c r="D96" s="4">
        <v>2</v>
      </c>
      <c r="E96" s="4" t="s">
        <v>93</v>
      </c>
      <c r="F96" s="4" t="s">
        <v>825</v>
      </c>
      <c r="G96" s="4" t="s">
        <v>202</v>
      </c>
      <c r="H96" s="129">
        <v>42016</v>
      </c>
      <c r="I96" s="4" t="s">
        <v>187</v>
      </c>
      <c r="J96" s="4" t="s">
        <v>103</v>
      </c>
      <c r="K96" s="4" t="s">
        <v>626</v>
      </c>
      <c r="L96" s="129">
        <v>42016</v>
      </c>
      <c r="M96" s="50" t="s">
        <v>826</v>
      </c>
      <c r="N96" s="130" t="s">
        <v>185</v>
      </c>
      <c r="O96" s="129">
        <v>42016</v>
      </c>
      <c r="P96" s="124">
        <f t="shared" ref="P96" si="190">O96-C96</f>
        <v>2</v>
      </c>
      <c r="Q96" s="50" t="s">
        <v>627</v>
      </c>
      <c r="R96" s="4" t="s">
        <v>17</v>
      </c>
      <c r="S96" s="4" t="s">
        <v>192</v>
      </c>
      <c r="T96" s="50" t="s">
        <v>101</v>
      </c>
      <c r="U96" s="132">
        <v>42018</v>
      </c>
      <c r="V96" s="126" t="s">
        <v>186</v>
      </c>
      <c r="W96" s="127">
        <f t="shared" ref="W96" si="191">COUNTBLANK(C96:V96)</f>
        <v>0</v>
      </c>
      <c r="X96" s="127" t="str">
        <f t="shared" ref="X96" si="192">IF(W96=0,"Correcto","Incorrecto")</f>
        <v>Correcto</v>
      </c>
      <c r="Y96" s="34"/>
      <c r="Z96" s="34"/>
      <c r="AA96" s="34"/>
    </row>
    <row r="97" spans="1:27" s="72" customFormat="1" ht="24.75" customHeight="1" x14ac:dyDescent="0.2">
      <c r="A97" s="144">
        <v>88</v>
      </c>
      <c r="B97" s="122" t="s">
        <v>287</v>
      </c>
      <c r="C97" s="123">
        <v>42014</v>
      </c>
      <c r="D97" s="4">
        <v>2</v>
      </c>
      <c r="E97" s="4" t="s">
        <v>93</v>
      </c>
      <c r="F97" s="4" t="s">
        <v>825</v>
      </c>
      <c r="G97" s="4" t="s">
        <v>202</v>
      </c>
      <c r="H97" s="129">
        <v>42016</v>
      </c>
      <c r="I97" s="4" t="s">
        <v>187</v>
      </c>
      <c r="J97" s="4" t="s">
        <v>103</v>
      </c>
      <c r="K97" s="4" t="s">
        <v>628</v>
      </c>
      <c r="L97" s="129">
        <v>42016</v>
      </c>
      <c r="M97" s="50" t="s">
        <v>826</v>
      </c>
      <c r="N97" s="130" t="s">
        <v>185</v>
      </c>
      <c r="O97" s="129">
        <v>42016</v>
      </c>
      <c r="P97" s="124">
        <f t="shared" ref="P97" si="193">O97-C97</f>
        <v>2</v>
      </c>
      <c r="Q97" s="50" t="s">
        <v>629</v>
      </c>
      <c r="R97" s="4" t="s">
        <v>17</v>
      </c>
      <c r="S97" s="4" t="s">
        <v>191</v>
      </c>
      <c r="T97" s="50" t="s">
        <v>101</v>
      </c>
      <c r="U97" s="132">
        <v>42018</v>
      </c>
      <c r="V97" s="126" t="s">
        <v>186</v>
      </c>
      <c r="W97" s="127">
        <f t="shared" ref="W97" si="194">COUNTBLANK(C97:V97)</f>
        <v>0</v>
      </c>
      <c r="X97" s="127" t="str">
        <f t="shared" ref="X97" si="195">IF(W97=0,"Correcto","Incorrecto")</f>
        <v>Correcto</v>
      </c>
      <c r="Y97" s="34"/>
      <c r="Z97" s="34"/>
      <c r="AA97" s="34"/>
    </row>
    <row r="98" spans="1:27" s="72" customFormat="1" ht="24.75" customHeight="1" x14ac:dyDescent="0.2">
      <c r="A98" s="4">
        <v>89</v>
      </c>
      <c r="B98" s="122" t="s">
        <v>288</v>
      </c>
      <c r="C98" s="123">
        <v>42014</v>
      </c>
      <c r="D98" s="4">
        <v>2</v>
      </c>
      <c r="E98" s="4" t="s">
        <v>93</v>
      </c>
      <c r="F98" s="4" t="s">
        <v>825</v>
      </c>
      <c r="G98" s="4" t="s">
        <v>202</v>
      </c>
      <c r="H98" s="129">
        <v>42016</v>
      </c>
      <c r="I98" s="4" t="s">
        <v>187</v>
      </c>
      <c r="J98" s="4" t="s">
        <v>103</v>
      </c>
      <c r="K98" s="4" t="s">
        <v>630</v>
      </c>
      <c r="L98" s="129">
        <v>42016</v>
      </c>
      <c r="M98" s="50" t="s">
        <v>826</v>
      </c>
      <c r="N98" s="130" t="s">
        <v>185</v>
      </c>
      <c r="O98" s="129">
        <v>42016</v>
      </c>
      <c r="P98" s="124">
        <f t="shared" ref="P98" si="196">O98-C98</f>
        <v>2</v>
      </c>
      <c r="Q98" s="50" t="s">
        <v>631</v>
      </c>
      <c r="R98" s="4" t="s">
        <v>17</v>
      </c>
      <c r="S98" s="4" t="s">
        <v>200</v>
      </c>
      <c r="T98" s="50" t="s">
        <v>101</v>
      </c>
      <c r="U98" s="132">
        <v>42018</v>
      </c>
      <c r="V98" s="126" t="s">
        <v>186</v>
      </c>
      <c r="W98" s="127">
        <f t="shared" ref="W98" si="197">COUNTBLANK(C98:V98)</f>
        <v>0</v>
      </c>
      <c r="X98" s="127" t="str">
        <f t="shared" ref="X98" si="198">IF(W98=0,"Correcto","Incorrecto")</f>
        <v>Correcto</v>
      </c>
      <c r="Y98" s="34"/>
      <c r="Z98" s="34"/>
      <c r="AA98" s="34"/>
    </row>
    <row r="99" spans="1:27" s="72" customFormat="1" ht="24.75" customHeight="1" x14ac:dyDescent="0.2">
      <c r="A99" s="144">
        <v>90</v>
      </c>
      <c r="B99" s="122" t="s">
        <v>289</v>
      </c>
      <c r="C99" s="123">
        <v>42014</v>
      </c>
      <c r="D99" s="4">
        <v>13</v>
      </c>
      <c r="E99" s="4" t="s">
        <v>93</v>
      </c>
      <c r="F99" s="4" t="s">
        <v>825</v>
      </c>
      <c r="G99" s="4" t="s">
        <v>202</v>
      </c>
      <c r="H99" s="129">
        <v>42016</v>
      </c>
      <c r="I99" s="4" t="s">
        <v>187</v>
      </c>
      <c r="J99" s="4" t="s">
        <v>103</v>
      </c>
      <c r="K99" s="4" t="s">
        <v>632</v>
      </c>
      <c r="L99" s="129">
        <v>42016</v>
      </c>
      <c r="M99" s="50" t="s">
        <v>826</v>
      </c>
      <c r="N99" s="130" t="s">
        <v>185</v>
      </c>
      <c r="O99" s="129">
        <v>42016</v>
      </c>
      <c r="P99" s="124">
        <f t="shared" ref="P99" si="199">O99-C99</f>
        <v>2</v>
      </c>
      <c r="Q99" s="50" t="s">
        <v>1033</v>
      </c>
      <c r="R99" s="4" t="s">
        <v>17</v>
      </c>
      <c r="S99" s="4" t="s">
        <v>459</v>
      </c>
      <c r="T99" s="50" t="s">
        <v>101</v>
      </c>
      <c r="U99" s="132">
        <v>42018</v>
      </c>
      <c r="V99" s="126" t="s">
        <v>186</v>
      </c>
      <c r="W99" s="127">
        <f t="shared" ref="W99" si="200">COUNTBLANK(C99:V99)</f>
        <v>0</v>
      </c>
      <c r="X99" s="127" t="str">
        <f t="shared" ref="X99" si="201">IF(W99=0,"Correcto","Incorrecto")</f>
        <v>Correcto</v>
      </c>
      <c r="Y99" s="34"/>
      <c r="Z99" s="34"/>
      <c r="AA99" s="34"/>
    </row>
    <row r="100" spans="1:27" s="72" customFormat="1" ht="24.75" customHeight="1" x14ac:dyDescent="0.2">
      <c r="A100" s="144">
        <v>91</v>
      </c>
      <c r="B100" s="122" t="s">
        <v>290</v>
      </c>
      <c r="C100" s="123">
        <v>42014</v>
      </c>
      <c r="D100" s="4">
        <v>2</v>
      </c>
      <c r="E100" s="4" t="s">
        <v>93</v>
      </c>
      <c r="F100" s="4" t="s">
        <v>825</v>
      </c>
      <c r="G100" s="4" t="s">
        <v>202</v>
      </c>
      <c r="H100" s="129">
        <v>42016</v>
      </c>
      <c r="I100" s="4" t="s">
        <v>187</v>
      </c>
      <c r="J100" s="4" t="s">
        <v>103</v>
      </c>
      <c r="K100" s="4" t="s">
        <v>633</v>
      </c>
      <c r="L100" s="129">
        <v>42016</v>
      </c>
      <c r="M100" s="50" t="s">
        <v>826</v>
      </c>
      <c r="N100" s="130" t="s">
        <v>185</v>
      </c>
      <c r="O100" s="129">
        <v>42016</v>
      </c>
      <c r="P100" s="124">
        <f t="shared" ref="P100" si="202">O100-C100</f>
        <v>2</v>
      </c>
      <c r="Q100" s="50" t="s">
        <v>634</v>
      </c>
      <c r="R100" s="4" t="s">
        <v>17</v>
      </c>
      <c r="S100" s="4" t="s">
        <v>200</v>
      </c>
      <c r="T100" s="50" t="s">
        <v>101</v>
      </c>
      <c r="U100" s="132">
        <v>42018</v>
      </c>
      <c r="V100" s="126" t="s">
        <v>186</v>
      </c>
      <c r="W100" s="127">
        <f t="shared" ref="W100" si="203">COUNTBLANK(C100:V100)</f>
        <v>0</v>
      </c>
      <c r="X100" s="127" t="str">
        <f t="shared" ref="X100" si="204">IF(W100=0,"Correcto","Incorrecto")</f>
        <v>Correcto</v>
      </c>
      <c r="Y100" s="34"/>
      <c r="Z100" s="34"/>
      <c r="AA100" s="34"/>
    </row>
    <row r="101" spans="1:27" s="72" customFormat="1" ht="24.75" customHeight="1" x14ac:dyDescent="0.2">
      <c r="A101" s="4">
        <v>92</v>
      </c>
      <c r="B101" s="122" t="s">
        <v>291</v>
      </c>
      <c r="C101" s="123">
        <v>42014</v>
      </c>
      <c r="D101" s="4">
        <v>2</v>
      </c>
      <c r="E101" s="4" t="s">
        <v>93</v>
      </c>
      <c r="F101" s="4" t="s">
        <v>825</v>
      </c>
      <c r="G101" s="4" t="s">
        <v>202</v>
      </c>
      <c r="H101" s="129">
        <v>42018</v>
      </c>
      <c r="I101" s="4" t="s">
        <v>187</v>
      </c>
      <c r="J101" s="4" t="s">
        <v>103</v>
      </c>
      <c r="K101" s="4" t="s">
        <v>636</v>
      </c>
      <c r="L101" s="129">
        <v>42018</v>
      </c>
      <c r="M101" s="50" t="s">
        <v>826</v>
      </c>
      <c r="N101" s="130" t="s">
        <v>185</v>
      </c>
      <c r="O101" s="129">
        <v>42019</v>
      </c>
      <c r="P101" s="124">
        <f t="shared" ref="P101" si="205">O101-C101</f>
        <v>5</v>
      </c>
      <c r="Q101" s="50" t="s">
        <v>637</v>
      </c>
      <c r="R101" s="4" t="s">
        <v>17</v>
      </c>
      <c r="S101" s="4" t="s">
        <v>635</v>
      </c>
      <c r="T101" s="50" t="s">
        <v>101</v>
      </c>
      <c r="U101" s="132">
        <v>42204</v>
      </c>
      <c r="V101" s="126" t="s">
        <v>186</v>
      </c>
      <c r="W101" s="127">
        <f t="shared" ref="W101" si="206">COUNTBLANK(C101:V101)</f>
        <v>0</v>
      </c>
      <c r="X101" s="127" t="str">
        <f t="shared" ref="X101" si="207">IF(W101=0,"Correcto","Incorrecto")</f>
        <v>Correcto</v>
      </c>
      <c r="Y101" s="34"/>
      <c r="Z101" s="34"/>
      <c r="AA101" s="34"/>
    </row>
    <row r="102" spans="1:27" s="72" customFormat="1" ht="24.75" customHeight="1" x14ac:dyDescent="0.2">
      <c r="A102" s="144">
        <v>93</v>
      </c>
      <c r="B102" s="122" t="s">
        <v>292</v>
      </c>
      <c r="C102" s="123">
        <v>42014</v>
      </c>
      <c r="D102" s="4">
        <v>2</v>
      </c>
      <c r="E102" s="4" t="s">
        <v>93</v>
      </c>
      <c r="F102" s="4" t="s">
        <v>825</v>
      </c>
      <c r="G102" s="4" t="s">
        <v>202</v>
      </c>
      <c r="H102" s="129">
        <v>42018</v>
      </c>
      <c r="I102" s="4" t="s">
        <v>187</v>
      </c>
      <c r="J102" s="4" t="s">
        <v>103</v>
      </c>
      <c r="K102" s="4" t="s">
        <v>638</v>
      </c>
      <c r="L102" s="129">
        <v>42018</v>
      </c>
      <c r="M102" s="50" t="s">
        <v>826</v>
      </c>
      <c r="N102" s="130" t="s">
        <v>185</v>
      </c>
      <c r="O102" s="129">
        <v>42019</v>
      </c>
      <c r="P102" s="124">
        <f t="shared" ref="P102" si="208">O102-C102</f>
        <v>5</v>
      </c>
      <c r="Q102" s="50" t="s">
        <v>639</v>
      </c>
      <c r="R102" s="4" t="s">
        <v>17</v>
      </c>
      <c r="S102" s="4" t="s">
        <v>635</v>
      </c>
      <c r="T102" s="50" t="s">
        <v>101</v>
      </c>
      <c r="U102" s="132">
        <v>42204</v>
      </c>
      <c r="V102" s="126" t="s">
        <v>186</v>
      </c>
      <c r="W102" s="127">
        <f t="shared" ref="W102" si="209">COUNTBLANK(C102:V102)</f>
        <v>0</v>
      </c>
      <c r="X102" s="127" t="str">
        <f t="shared" ref="X102" si="210">IF(W102=0,"Correcto","Incorrecto")</f>
        <v>Correcto</v>
      </c>
      <c r="Y102" s="34"/>
      <c r="Z102" s="34"/>
      <c r="AA102" s="34"/>
    </row>
    <row r="103" spans="1:27" s="72" customFormat="1" ht="24.75" customHeight="1" x14ac:dyDescent="0.2">
      <c r="A103" s="144">
        <v>94</v>
      </c>
      <c r="B103" s="122" t="s">
        <v>293</v>
      </c>
      <c r="C103" s="123">
        <v>42016</v>
      </c>
      <c r="D103" s="4">
        <v>2</v>
      </c>
      <c r="E103" s="4" t="s">
        <v>93</v>
      </c>
      <c r="F103" s="4" t="s">
        <v>827</v>
      </c>
      <c r="G103" s="4" t="s">
        <v>202</v>
      </c>
      <c r="H103" s="129">
        <v>42017</v>
      </c>
      <c r="I103" s="4" t="s">
        <v>187</v>
      </c>
      <c r="J103" s="4" t="s">
        <v>103</v>
      </c>
      <c r="K103" s="4" t="s">
        <v>640</v>
      </c>
      <c r="L103" s="129">
        <v>42017</v>
      </c>
      <c r="M103" s="50" t="s">
        <v>826</v>
      </c>
      <c r="N103" s="130" t="s">
        <v>185</v>
      </c>
      <c r="O103" s="129">
        <v>42017</v>
      </c>
      <c r="P103" s="124">
        <f t="shared" ref="P103" si="211">O103-C103</f>
        <v>1</v>
      </c>
      <c r="Q103" s="50" t="s">
        <v>641</v>
      </c>
      <c r="R103" s="4" t="s">
        <v>17</v>
      </c>
      <c r="S103" s="4" t="s">
        <v>104</v>
      </c>
      <c r="T103" s="50" t="s">
        <v>642</v>
      </c>
      <c r="U103" s="132">
        <v>42018</v>
      </c>
      <c r="V103" s="126" t="s">
        <v>186</v>
      </c>
      <c r="W103" s="127">
        <f t="shared" ref="W103" si="212">COUNTBLANK(C103:V103)</f>
        <v>0</v>
      </c>
      <c r="X103" s="127" t="str">
        <f t="shared" ref="X103" si="213">IF(W103=0,"Correcto","Incorrecto")</f>
        <v>Correcto</v>
      </c>
      <c r="Y103" s="34"/>
      <c r="Z103" s="34"/>
      <c r="AA103" s="34"/>
    </row>
    <row r="104" spans="1:27" s="72" customFormat="1" ht="24.75" customHeight="1" x14ac:dyDescent="0.2">
      <c r="A104" s="4">
        <v>95</v>
      </c>
      <c r="B104" s="122" t="s">
        <v>294</v>
      </c>
      <c r="C104" s="123">
        <v>42016</v>
      </c>
      <c r="D104" s="4">
        <v>4</v>
      </c>
      <c r="E104" s="4" t="s">
        <v>93</v>
      </c>
      <c r="F104" s="4" t="s">
        <v>827</v>
      </c>
      <c r="G104" s="4" t="s">
        <v>202</v>
      </c>
      <c r="H104" s="129">
        <v>42018</v>
      </c>
      <c r="I104" s="4" t="s">
        <v>187</v>
      </c>
      <c r="J104" s="4" t="s">
        <v>103</v>
      </c>
      <c r="K104" s="4" t="s">
        <v>643</v>
      </c>
      <c r="L104" s="129">
        <v>42018</v>
      </c>
      <c r="M104" s="50" t="s">
        <v>826</v>
      </c>
      <c r="N104" s="130" t="s">
        <v>185</v>
      </c>
      <c r="O104" s="129">
        <v>42018</v>
      </c>
      <c r="P104" s="124">
        <f t="shared" ref="P104" si="214">O104-C104</f>
        <v>2</v>
      </c>
      <c r="Q104" s="50" t="s">
        <v>644</v>
      </c>
      <c r="R104" s="4" t="s">
        <v>17</v>
      </c>
      <c r="S104" s="4" t="s">
        <v>104</v>
      </c>
      <c r="T104" s="50" t="s">
        <v>1061</v>
      </c>
      <c r="U104" s="132">
        <v>42018</v>
      </c>
      <c r="V104" s="126" t="s">
        <v>186</v>
      </c>
      <c r="W104" s="127">
        <f t="shared" ref="W104" si="215">COUNTBLANK(C104:V104)</f>
        <v>0</v>
      </c>
      <c r="X104" s="127" t="str">
        <f t="shared" ref="X104" si="216">IF(W104=0,"Correcto","Incorrecto")</f>
        <v>Correcto</v>
      </c>
      <c r="Y104" s="34"/>
      <c r="Z104" s="34"/>
      <c r="AA104" s="34"/>
    </row>
    <row r="105" spans="1:27" s="72" customFormat="1" ht="24.75" customHeight="1" x14ac:dyDescent="0.2">
      <c r="A105" s="144">
        <v>96</v>
      </c>
      <c r="B105" s="122" t="s">
        <v>295</v>
      </c>
      <c r="C105" s="123">
        <v>42016</v>
      </c>
      <c r="D105" s="4">
        <v>4</v>
      </c>
      <c r="E105" s="4" t="s">
        <v>93</v>
      </c>
      <c r="F105" s="4" t="s">
        <v>827</v>
      </c>
      <c r="G105" s="4" t="s">
        <v>202</v>
      </c>
      <c r="H105" s="129">
        <v>42018</v>
      </c>
      <c r="I105" s="4" t="s">
        <v>187</v>
      </c>
      <c r="J105" s="4" t="s">
        <v>103</v>
      </c>
      <c r="K105" s="4" t="s">
        <v>645</v>
      </c>
      <c r="L105" s="129">
        <v>42018</v>
      </c>
      <c r="M105" s="50" t="s">
        <v>826</v>
      </c>
      <c r="N105" s="130" t="s">
        <v>185</v>
      </c>
      <c r="O105" s="129">
        <v>42018</v>
      </c>
      <c r="P105" s="124">
        <f t="shared" ref="P105" si="217">O105-C105</f>
        <v>2</v>
      </c>
      <c r="Q105" s="50" t="s">
        <v>646</v>
      </c>
      <c r="R105" s="4" t="s">
        <v>17</v>
      </c>
      <c r="S105" s="4" t="s">
        <v>104</v>
      </c>
      <c r="T105" s="50" t="s">
        <v>1062</v>
      </c>
      <c r="U105" s="132">
        <v>42018</v>
      </c>
      <c r="V105" s="126" t="s">
        <v>186</v>
      </c>
      <c r="W105" s="127">
        <f t="shared" ref="W105" si="218">COUNTBLANK(C105:V105)</f>
        <v>0</v>
      </c>
      <c r="X105" s="127" t="str">
        <f t="shared" ref="X105" si="219">IF(W105=0,"Correcto","Incorrecto")</f>
        <v>Correcto</v>
      </c>
      <c r="Y105" s="34"/>
      <c r="Z105" s="34"/>
      <c r="AA105" s="34"/>
    </row>
    <row r="106" spans="1:27" s="72" customFormat="1" ht="24.75" customHeight="1" x14ac:dyDescent="0.2">
      <c r="A106" s="144">
        <v>97</v>
      </c>
      <c r="B106" s="122" t="s">
        <v>296</v>
      </c>
      <c r="C106" s="123">
        <v>42016</v>
      </c>
      <c r="D106" s="4">
        <v>4</v>
      </c>
      <c r="E106" s="4" t="s">
        <v>93</v>
      </c>
      <c r="F106" s="4" t="s">
        <v>827</v>
      </c>
      <c r="G106" s="4" t="s">
        <v>202</v>
      </c>
      <c r="H106" s="129">
        <v>42018</v>
      </c>
      <c r="I106" s="4" t="s">
        <v>187</v>
      </c>
      <c r="J106" s="4" t="s">
        <v>103</v>
      </c>
      <c r="K106" s="4" t="s">
        <v>647</v>
      </c>
      <c r="L106" s="129">
        <v>42018</v>
      </c>
      <c r="M106" s="50" t="s">
        <v>826</v>
      </c>
      <c r="N106" s="130" t="s">
        <v>185</v>
      </c>
      <c r="O106" s="129">
        <v>42018</v>
      </c>
      <c r="P106" s="124">
        <f t="shared" ref="P106" si="220">O106-C106</f>
        <v>2</v>
      </c>
      <c r="Q106" s="50" t="s">
        <v>648</v>
      </c>
      <c r="R106" s="4" t="s">
        <v>17</v>
      </c>
      <c r="S106" s="4" t="s">
        <v>104</v>
      </c>
      <c r="T106" s="50" t="s">
        <v>1063</v>
      </c>
      <c r="U106" s="132">
        <v>42018</v>
      </c>
      <c r="V106" s="126" t="s">
        <v>186</v>
      </c>
      <c r="W106" s="127">
        <f t="shared" ref="W106" si="221">COUNTBLANK(C106:V106)</f>
        <v>0</v>
      </c>
      <c r="X106" s="127" t="str">
        <f t="shared" ref="X106" si="222">IF(W106=0,"Correcto","Incorrecto")</f>
        <v>Correcto</v>
      </c>
      <c r="Y106" s="34"/>
      <c r="Z106" s="34"/>
      <c r="AA106" s="34"/>
    </row>
    <row r="107" spans="1:27" s="72" customFormat="1" ht="24.75" customHeight="1" x14ac:dyDescent="0.2">
      <c r="A107" s="4">
        <v>98</v>
      </c>
      <c r="B107" s="122" t="s">
        <v>297</v>
      </c>
      <c r="C107" s="123">
        <v>42016</v>
      </c>
      <c r="D107" s="4">
        <v>2</v>
      </c>
      <c r="E107" s="4" t="s">
        <v>93</v>
      </c>
      <c r="F107" s="4" t="s">
        <v>825</v>
      </c>
      <c r="G107" s="4" t="s">
        <v>202</v>
      </c>
      <c r="H107" s="129">
        <v>42018</v>
      </c>
      <c r="I107" s="4" t="s">
        <v>187</v>
      </c>
      <c r="J107" s="4" t="s">
        <v>103</v>
      </c>
      <c r="K107" s="4" t="s">
        <v>649</v>
      </c>
      <c r="L107" s="129">
        <v>42018</v>
      </c>
      <c r="M107" s="50" t="s">
        <v>826</v>
      </c>
      <c r="N107" s="130" t="s">
        <v>185</v>
      </c>
      <c r="O107" s="129">
        <v>42019</v>
      </c>
      <c r="P107" s="124">
        <f t="shared" ref="P107" si="223">O107-C107</f>
        <v>3</v>
      </c>
      <c r="Q107" s="50" t="s">
        <v>650</v>
      </c>
      <c r="R107" s="4" t="s">
        <v>17</v>
      </c>
      <c r="S107" s="4" t="s">
        <v>197</v>
      </c>
      <c r="T107" s="50" t="s">
        <v>101</v>
      </c>
      <c r="U107" s="132">
        <v>42204</v>
      </c>
      <c r="V107" s="126" t="s">
        <v>186</v>
      </c>
      <c r="W107" s="127">
        <f t="shared" ref="W107" si="224">COUNTBLANK(C107:V107)</f>
        <v>0</v>
      </c>
      <c r="X107" s="127" t="str">
        <f t="shared" ref="X107" si="225">IF(W107=0,"Correcto","Incorrecto")</f>
        <v>Correcto</v>
      </c>
      <c r="Y107" s="34"/>
      <c r="Z107" s="34"/>
      <c r="AA107" s="34"/>
    </row>
    <row r="108" spans="1:27" s="72" customFormat="1" ht="24.75" customHeight="1" x14ac:dyDescent="0.2">
      <c r="A108" s="144">
        <v>99</v>
      </c>
      <c r="B108" s="122" t="s">
        <v>298</v>
      </c>
      <c r="C108" s="123">
        <v>42016</v>
      </c>
      <c r="D108" s="4">
        <v>2</v>
      </c>
      <c r="E108" s="4" t="s">
        <v>93</v>
      </c>
      <c r="F108" s="4" t="s">
        <v>827</v>
      </c>
      <c r="G108" s="4" t="s">
        <v>202</v>
      </c>
      <c r="H108" s="129">
        <v>42017</v>
      </c>
      <c r="I108" s="4" t="s">
        <v>187</v>
      </c>
      <c r="J108" s="4" t="s">
        <v>103</v>
      </c>
      <c r="K108" s="4" t="s">
        <v>652</v>
      </c>
      <c r="L108" s="129">
        <v>42017</v>
      </c>
      <c r="M108" s="50" t="s">
        <v>826</v>
      </c>
      <c r="N108" s="130" t="s">
        <v>185</v>
      </c>
      <c r="O108" s="129">
        <v>42017</v>
      </c>
      <c r="P108" s="124">
        <f t="shared" ref="P108" si="226">O108-C108</f>
        <v>1</v>
      </c>
      <c r="Q108" s="50" t="s">
        <v>651</v>
      </c>
      <c r="R108" s="4" t="s">
        <v>17</v>
      </c>
      <c r="S108" s="4" t="s">
        <v>104</v>
      </c>
      <c r="T108" s="50" t="s">
        <v>653</v>
      </c>
      <c r="U108" s="132">
        <v>42018</v>
      </c>
      <c r="V108" s="126" t="s">
        <v>186</v>
      </c>
      <c r="W108" s="127">
        <f t="shared" ref="W108" si="227">COUNTBLANK(C108:V108)</f>
        <v>0</v>
      </c>
      <c r="X108" s="127" t="str">
        <f t="shared" ref="X108" si="228">IF(W108=0,"Correcto","Incorrecto")</f>
        <v>Correcto</v>
      </c>
      <c r="Y108" s="34"/>
      <c r="Z108" s="34"/>
      <c r="AA108" s="34"/>
    </row>
    <row r="109" spans="1:27" s="72" customFormat="1" ht="24.75" customHeight="1" x14ac:dyDescent="0.2">
      <c r="A109" s="144">
        <v>100</v>
      </c>
      <c r="B109" s="122" t="s">
        <v>299</v>
      </c>
      <c r="C109" s="123">
        <v>42016</v>
      </c>
      <c r="D109" s="4">
        <v>2</v>
      </c>
      <c r="E109" s="4" t="s">
        <v>93</v>
      </c>
      <c r="F109" s="4" t="s">
        <v>825</v>
      </c>
      <c r="G109" s="4" t="s">
        <v>202</v>
      </c>
      <c r="H109" s="129">
        <v>42016</v>
      </c>
      <c r="I109" s="4" t="s">
        <v>187</v>
      </c>
      <c r="J109" s="4" t="s">
        <v>103</v>
      </c>
      <c r="K109" s="4" t="s">
        <v>654</v>
      </c>
      <c r="L109" s="129">
        <v>42016</v>
      </c>
      <c r="M109" s="50" t="s">
        <v>826</v>
      </c>
      <c r="N109" s="130" t="s">
        <v>185</v>
      </c>
      <c r="O109" s="129">
        <v>42016</v>
      </c>
      <c r="P109" s="124">
        <f t="shared" ref="P109" si="229">O109-C109</f>
        <v>0</v>
      </c>
      <c r="Q109" s="50" t="s">
        <v>655</v>
      </c>
      <c r="R109" s="4" t="s">
        <v>17</v>
      </c>
      <c r="S109" s="4" t="s">
        <v>193</v>
      </c>
      <c r="T109" s="50" t="s">
        <v>101</v>
      </c>
      <c r="U109" s="132">
        <v>42018</v>
      </c>
      <c r="V109" s="126" t="s">
        <v>186</v>
      </c>
      <c r="W109" s="127">
        <f t="shared" ref="W109" si="230">COUNTBLANK(C109:V109)</f>
        <v>0</v>
      </c>
      <c r="X109" s="127" t="str">
        <f t="shared" ref="X109" si="231">IF(W109=0,"Correcto","Incorrecto")</f>
        <v>Correcto</v>
      </c>
      <c r="Y109" s="34"/>
      <c r="Z109" s="34"/>
      <c r="AA109" s="34"/>
    </row>
    <row r="110" spans="1:27" s="72" customFormat="1" ht="24.75" customHeight="1" x14ac:dyDescent="0.2">
      <c r="A110" s="4">
        <v>101</v>
      </c>
      <c r="B110" s="122" t="s">
        <v>300</v>
      </c>
      <c r="C110" s="123">
        <v>42017</v>
      </c>
      <c r="D110" s="4">
        <v>2</v>
      </c>
      <c r="E110" s="4" t="s">
        <v>93</v>
      </c>
      <c r="F110" s="4" t="s">
        <v>827</v>
      </c>
      <c r="G110" s="4" t="s">
        <v>202</v>
      </c>
      <c r="H110" s="129">
        <v>42024</v>
      </c>
      <c r="I110" s="4" t="s">
        <v>187</v>
      </c>
      <c r="J110" s="4" t="s">
        <v>103</v>
      </c>
      <c r="K110" s="4" t="s">
        <v>656</v>
      </c>
      <c r="L110" s="129">
        <v>42024</v>
      </c>
      <c r="M110" s="50" t="s">
        <v>826</v>
      </c>
      <c r="N110" s="130" t="s">
        <v>185</v>
      </c>
      <c r="O110" s="129">
        <v>42024</v>
      </c>
      <c r="P110" s="124">
        <f t="shared" ref="P110" si="232">O110-C110</f>
        <v>7</v>
      </c>
      <c r="Q110" s="50" t="s">
        <v>656</v>
      </c>
      <c r="R110" s="4" t="s">
        <v>17</v>
      </c>
      <c r="S110" s="4" t="s">
        <v>104</v>
      </c>
      <c r="T110" s="50" t="s">
        <v>653</v>
      </c>
      <c r="U110" s="132">
        <v>42024</v>
      </c>
      <c r="V110" s="126" t="s">
        <v>186</v>
      </c>
      <c r="W110" s="127">
        <f t="shared" ref="W110" si="233">COUNTBLANK(C110:V110)</f>
        <v>0</v>
      </c>
      <c r="X110" s="127" t="str">
        <f t="shared" ref="X110" si="234">IF(W110=0,"Correcto","Incorrecto")</f>
        <v>Correcto</v>
      </c>
      <c r="Y110" s="34"/>
      <c r="Z110" s="34"/>
      <c r="AA110" s="34"/>
    </row>
    <row r="111" spans="1:27" s="72" customFormat="1" ht="24.75" customHeight="1" x14ac:dyDescent="0.2">
      <c r="A111" s="144">
        <v>102</v>
      </c>
      <c r="B111" s="122" t="s">
        <v>301</v>
      </c>
      <c r="C111" s="123">
        <v>42017</v>
      </c>
      <c r="D111" s="4">
        <v>2</v>
      </c>
      <c r="E111" s="4" t="s">
        <v>93</v>
      </c>
      <c r="F111" s="4" t="s">
        <v>827</v>
      </c>
      <c r="G111" s="4" t="s">
        <v>202</v>
      </c>
      <c r="H111" s="129">
        <v>42019</v>
      </c>
      <c r="I111" s="4" t="s">
        <v>187</v>
      </c>
      <c r="J111" s="4" t="s">
        <v>103</v>
      </c>
      <c r="K111" s="4" t="s">
        <v>657</v>
      </c>
      <c r="L111" s="129">
        <v>42019</v>
      </c>
      <c r="M111" s="50" t="s">
        <v>826</v>
      </c>
      <c r="N111" s="130" t="s">
        <v>185</v>
      </c>
      <c r="O111" s="129">
        <v>42019</v>
      </c>
      <c r="P111" s="124">
        <f t="shared" ref="P111" si="235">O111-C111</f>
        <v>2</v>
      </c>
      <c r="Q111" s="50" t="s">
        <v>658</v>
      </c>
      <c r="R111" s="4" t="s">
        <v>17</v>
      </c>
      <c r="S111" s="4" t="s">
        <v>104</v>
      </c>
      <c r="T111" s="50" t="s">
        <v>659</v>
      </c>
      <c r="U111" s="132">
        <v>42019</v>
      </c>
      <c r="V111" s="126" t="s">
        <v>186</v>
      </c>
      <c r="W111" s="127">
        <f t="shared" ref="W111" si="236">COUNTBLANK(C111:V111)</f>
        <v>0</v>
      </c>
      <c r="X111" s="127" t="str">
        <f t="shared" ref="X111" si="237">IF(W111=0,"Correcto","Incorrecto")</f>
        <v>Correcto</v>
      </c>
      <c r="Y111" s="34"/>
      <c r="Z111" s="34"/>
      <c r="AA111" s="34"/>
    </row>
    <row r="112" spans="1:27" s="72" customFormat="1" ht="24.75" customHeight="1" x14ac:dyDescent="0.2">
      <c r="A112" s="144">
        <v>103</v>
      </c>
      <c r="B112" s="122" t="s">
        <v>302</v>
      </c>
      <c r="C112" s="123">
        <v>42017</v>
      </c>
      <c r="D112" s="4">
        <v>12</v>
      </c>
      <c r="E112" s="4" t="s">
        <v>93</v>
      </c>
      <c r="F112" s="4" t="s">
        <v>827</v>
      </c>
      <c r="G112" s="4" t="s">
        <v>202</v>
      </c>
      <c r="H112" s="129">
        <v>42019</v>
      </c>
      <c r="I112" s="4" t="s">
        <v>187</v>
      </c>
      <c r="J112" s="4" t="s">
        <v>103</v>
      </c>
      <c r="K112" s="4" t="s">
        <v>660</v>
      </c>
      <c r="L112" s="129">
        <v>42019</v>
      </c>
      <c r="M112" s="50" t="s">
        <v>826</v>
      </c>
      <c r="N112" s="130" t="s">
        <v>185</v>
      </c>
      <c r="O112" s="129">
        <v>42019</v>
      </c>
      <c r="P112" s="124">
        <f t="shared" ref="P112" si="238">O112-C112</f>
        <v>2</v>
      </c>
      <c r="Q112" s="50" t="s">
        <v>661</v>
      </c>
      <c r="R112" s="4" t="s">
        <v>17</v>
      </c>
      <c r="S112" s="4" t="s">
        <v>104</v>
      </c>
      <c r="T112" s="50" t="s">
        <v>104</v>
      </c>
      <c r="U112" s="132">
        <v>42019</v>
      </c>
      <c r="V112" s="126" t="s">
        <v>186</v>
      </c>
      <c r="W112" s="127">
        <f t="shared" ref="W112" si="239">COUNTBLANK(C112:V112)</f>
        <v>0</v>
      </c>
      <c r="X112" s="127" t="str">
        <f t="shared" ref="X112" si="240">IF(W112=0,"Correcto","Incorrecto")</f>
        <v>Correcto</v>
      </c>
      <c r="Y112" s="34"/>
      <c r="Z112" s="34"/>
      <c r="AA112" s="34"/>
    </row>
    <row r="113" spans="1:27" s="72" customFormat="1" ht="24.75" customHeight="1" x14ac:dyDescent="0.2">
      <c r="A113" s="4">
        <v>104</v>
      </c>
      <c r="B113" s="122" t="s">
        <v>303</v>
      </c>
      <c r="C113" s="123">
        <v>42017</v>
      </c>
      <c r="D113" s="4">
        <v>4</v>
      </c>
      <c r="E113" s="4" t="s">
        <v>93</v>
      </c>
      <c r="F113" s="4" t="s">
        <v>827</v>
      </c>
      <c r="G113" s="4" t="s">
        <v>202</v>
      </c>
      <c r="H113" s="129">
        <v>42019</v>
      </c>
      <c r="I113" s="4" t="s">
        <v>187</v>
      </c>
      <c r="J113" s="4" t="s">
        <v>103</v>
      </c>
      <c r="K113" s="4" t="s">
        <v>662</v>
      </c>
      <c r="L113" s="129">
        <v>42019</v>
      </c>
      <c r="M113" s="50" t="s">
        <v>826</v>
      </c>
      <c r="N113" s="130" t="s">
        <v>185</v>
      </c>
      <c r="O113" s="129">
        <v>42019</v>
      </c>
      <c r="P113" s="124">
        <f t="shared" ref="P113" si="241">O113-C113</f>
        <v>2</v>
      </c>
      <c r="Q113" s="50" t="s">
        <v>663</v>
      </c>
      <c r="R113" s="4" t="s">
        <v>17</v>
      </c>
      <c r="S113" s="4" t="s">
        <v>104</v>
      </c>
      <c r="T113" s="50" t="s">
        <v>1064</v>
      </c>
      <c r="U113" s="132">
        <v>42019</v>
      </c>
      <c r="V113" s="126" t="s">
        <v>186</v>
      </c>
      <c r="W113" s="127">
        <f t="shared" ref="W113" si="242">COUNTBLANK(C113:V113)</f>
        <v>0</v>
      </c>
      <c r="X113" s="127" t="str">
        <f t="shared" ref="X113" si="243">IF(W113=0,"Correcto","Incorrecto")</f>
        <v>Correcto</v>
      </c>
      <c r="Y113" s="34"/>
      <c r="Z113" s="34"/>
      <c r="AA113" s="34"/>
    </row>
    <row r="114" spans="1:27" s="72" customFormat="1" ht="24.75" customHeight="1" x14ac:dyDescent="0.2">
      <c r="A114" s="144">
        <v>105</v>
      </c>
      <c r="B114" s="122" t="s">
        <v>304</v>
      </c>
      <c r="C114" s="123">
        <v>42017</v>
      </c>
      <c r="D114" s="4">
        <v>2</v>
      </c>
      <c r="E114" s="4" t="s">
        <v>93</v>
      </c>
      <c r="F114" s="4" t="s">
        <v>827</v>
      </c>
      <c r="G114" s="4" t="s">
        <v>202</v>
      </c>
      <c r="H114" s="129">
        <v>42019</v>
      </c>
      <c r="I114" s="4" t="s">
        <v>187</v>
      </c>
      <c r="J114" s="4" t="s">
        <v>103</v>
      </c>
      <c r="K114" s="4" t="s">
        <v>664</v>
      </c>
      <c r="L114" s="129">
        <v>42019</v>
      </c>
      <c r="M114" s="50" t="s">
        <v>826</v>
      </c>
      <c r="N114" s="130" t="s">
        <v>185</v>
      </c>
      <c r="O114" s="129">
        <v>42019</v>
      </c>
      <c r="P114" s="124">
        <f t="shared" ref="P114" si="244">O114-C114</f>
        <v>2</v>
      </c>
      <c r="Q114" s="50" t="s">
        <v>665</v>
      </c>
      <c r="R114" s="4" t="s">
        <v>17</v>
      </c>
      <c r="S114" s="4" t="s">
        <v>104</v>
      </c>
      <c r="T114" s="50" t="s">
        <v>666</v>
      </c>
      <c r="U114" s="132">
        <v>42019</v>
      </c>
      <c r="V114" s="126" t="s">
        <v>186</v>
      </c>
      <c r="W114" s="127">
        <f t="shared" ref="W114" si="245">COUNTBLANK(C114:V114)</f>
        <v>0</v>
      </c>
      <c r="X114" s="127" t="str">
        <f t="shared" ref="X114" si="246">IF(W114=0,"Correcto","Incorrecto")</f>
        <v>Correcto</v>
      </c>
      <c r="Y114" s="34"/>
      <c r="Z114" s="34"/>
      <c r="AA114" s="34"/>
    </row>
    <row r="115" spans="1:27" s="72" customFormat="1" ht="24.75" customHeight="1" x14ac:dyDescent="0.2">
      <c r="A115" s="144">
        <v>106</v>
      </c>
      <c r="B115" s="122" t="s">
        <v>305</v>
      </c>
      <c r="C115" s="123">
        <v>42018</v>
      </c>
      <c r="D115" s="4">
        <v>2</v>
      </c>
      <c r="E115" s="4" t="s">
        <v>93</v>
      </c>
      <c r="F115" s="4" t="s">
        <v>825</v>
      </c>
      <c r="G115" s="4" t="s">
        <v>202</v>
      </c>
      <c r="H115" s="129">
        <v>42023</v>
      </c>
      <c r="I115" s="4" t="s">
        <v>187</v>
      </c>
      <c r="J115" s="4" t="s">
        <v>103</v>
      </c>
      <c r="K115" s="4" t="s">
        <v>667</v>
      </c>
      <c r="L115" s="129">
        <v>42023</v>
      </c>
      <c r="M115" s="50" t="s">
        <v>826</v>
      </c>
      <c r="N115" s="130" t="s">
        <v>185</v>
      </c>
      <c r="O115" s="129">
        <v>42023</v>
      </c>
      <c r="P115" s="124">
        <f t="shared" ref="P115" si="247">O115-C115</f>
        <v>5</v>
      </c>
      <c r="Q115" s="50" t="s">
        <v>668</v>
      </c>
      <c r="R115" s="4" t="s">
        <v>17</v>
      </c>
      <c r="S115" s="4" t="s">
        <v>197</v>
      </c>
      <c r="T115" s="50" t="s">
        <v>101</v>
      </c>
      <c r="U115" s="132">
        <v>42026</v>
      </c>
      <c r="V115" s="126" t="s">
        <v>186</v>
      </c>
      <c r="W115" s="127">
        <f t="shared" ref="W115" si="248">COUNTBLANK(C115:V115)</f>
        <v>0</v>
      </c>
      <c r="X115" s="127" t="str">
        <f t="shared" ref="X115" si="249">IF(W115=0,"Correcto","Incorrecto")</f>
        <v>Correcto</v>
      </c>
      <c r="Y115" s="34"/>
      <c r="Z115" s="34"/>
      <c r="AA115" s="34"/>
    </row>
    <row r="116" spans="1:27" s="72" customFormat="1" ht="24.75" customHeight="1" x14ac:dyDescent="0.2">
      <c r="A116" s="4">
        <v>107</v>
      </c>
      <c r="B116" s="122" t="s">
        <v>306</v>
      </c>
      <c r="C116" s="123">
        <v>42018</v>
      </c>
      <c r="D116" s="4">
        <v>2</v>
      </c>
      <c r="E116" s="4" t="s">
        <v>93</v>
      </c>
      <c r="F116" s="4" t="s">
        <v>825</v>
      </c>
      <c r="G116" s="4" t="s">
        <v>202</v>
      </c>
      <c r="H116" s="129">
        <v>42023</v>
      </c>
      <c r="I116" s="4" t="s">
        <v>187</v>
      </c>
      <c r="J116" s="4" t="s">
        <v>103</v>
      </c>
      <c r="K116" s="4" t="s">
        <v>669</v>
      </c>
      <c r="L116" s="129">
        <v>42023</v>
      </c>
      <c r="M116" s="50" t="s">
        <v>826</v>
      </c>
      <c r="N116" s="130" t="s">
        <v>185</v>
      </c>
      <c r="O116" s="129">
        <v>42023</v>
      </c>
      <c r="P116" s="124">
        <f t="shared" ref="P116" si="250">O116-C116</f>
        <v>5</v>
      </c>
      <c r="Q116" s="50" t="s">
        <v>670</v>
      </c>
      <c r="R116" s="4" t="s">
        <v>17</v>
      </c>
      <c r="S116" s="4" t="s">
        <v>198</v>
      </c>
      <c r="T116" s="50" t="s">
        <v>101</v>
      </c>
      <c r="U116" s="132">
        <v>42026</v>
      </c>
      <c r="V116" s="126" t="s">
        <v>186</v>
      </c>
      <c r="W116" s="127">
        <f t="shared" ref="W116" si="251">COUNTBLANK(C116:V116)</f>
        <v>0</v>
      </c>
      <c r="X116" s="127" t="str">
        <f t="shared" ref="X116" si="252">IF(W116=0,"Correcto","Incorrecto")</f>
        <v>Correcto</v>
      </c>
      <c r="Y116" s="34"/>
      <c r="Z116" s="34"/>
      <c r="AA116" s="34"/>
    </row>
    <row r="117" spans="1:27" s="72" customFormat="1" ht="24.75" customHeight="1" x14ac:dyDescent="0.2">
      <c r="A117" s="144">
        <v>108</v>
      </c>
      <c r="B117" s="122" t="s">
        <v>307</v>
      </c>
      <c r="C117" s="123">
        <v>42018</v>
      </c>
      <c r="D117" s="4">
        <v>2</v>
      </c>
      <c r="E117" s="4" t="s">
        <v>93</v>
      </c>
      <c r="F117" s="4" t="s">
        <v>825</v>
      </c>
      <c r="G117" s="4" t="s">
        <v>202</v>
      </c>
      <c r="H117" s="129">
        <v>42023</v>
      </c>
      <c r="I117" s="4" t="s">
        <v>187</v>
      </c>
      <c r="J117" s="4" t="s">
        <v>103</v>
      </c>
      <c r="K117" s="4" t="s">
        <v>671</v>
      </c>
      <c r="L117" s="129">
        <v>42023</v>
      </c>
      <c r="M117" s="50" t="s">
        <v>826</v>
      </c>
      <c r="N117" s="130" t="s">
        <v>185</v>
      </c>
      <c r="O117" s="129">
        <v>42023</v>
      </c>
      <c r="P117" s="124">
        <f t="shared" ref="P117" si="253">O117-C117</f>
        <v>5</v>
      </c>
      <c r="Q117" s="50" t="s">
        <v>672</v>
      </c>
      <c r="R117" s="4" t="s">
        <v>17</v>
      </c>
      <c r="S117" s="4" t="s">
        <v>200</v>
      </c>
      <c r="T117" s="50" t="s">
        <v>101</v>
      </c>
      <c r="U117" s="132">
        <v>42026</v>
      </c>
      <c r="V117" s="126" t="s">
        <v>186</v>
      </c>
      <c r="W117" s="127">
        <f t="shared" ref="W117" si="254">COUNTBLANK(C117:V117)</f>
        <v>0</v>
      </c>
      <c r="X117" s="127" t="str">
        <f t="shared" ref="X117" si="255">IF(W117=0,"Correcto","Incorrecto")</f>
        <v>Correcto</v>
      </c>
      <c r="Y117" s="34"/>
      <c r="Z117" s="34"/>
      <c r="AA117" s="34"/>
    </row>
    <row r="118" spans="1:27" s="72" customFormat="1" ht="24.75" customHeight="1" x14ac:dyDescent="0.2">
      <c r="A118" s="144">
        <v>109</v>
      </c>
      <c r="B118" s="122" t="s">
        <v>308</v>
      </c>
      <c r="C118" s="123">
        <v>42018</v>
      </c>
      <c r="D118" s="4">
        <v>2</v>
      </c>
      <c r="E118" s="4" t="s">
        <v>93</v>
      </c>
      <c r="F118" s="4" t="s">
        <v>825</v>
      </c>
      <c r="G118" s="4" t="s">
        <v>202</v>
      </c>
      <c r="H118" s="129">
        <v>42023</v>
      </c>
      <c r="I118" s="4" t="s">
        <v>187</v>
      </c>
      <c r="J118" s="4" t="s">
        <v>103</v>
      </c>
      <c r="K118" s="4" t="s">
        <v>673</v>
      </c>
      <c r="L118" s="129">
        <v>42023</v>
      </c>
      <c r="M118" s="50" t="s">
        <v>826</v>
      </c>
      <c r="N118" s="130" t="s">
        <v>185</v>
      </c>
      <c r="O118" s="129">
        <v>42023</v>
      </c>
      <c r="P118" s="124">
        <f t="shared" ref="P118" si="256">O118-C118</f>
        <v>5</v>
      </c>
      <c r="Q118" s="50" t="s">
        <v>674</v>
      </c>
      <c r="R118" s="4" t="s">
        <v>17</v>
      </c>
      <c r="S118" s="4" t="s">
        <v>192</v>
      </c>
      <c r="T118" s="50" t="s">
        <v>101</v>
      </c>
      <c r="U118" s="132">
        <v>42026</v>
      </c>
      <c r="V118" s="126" t="s">
        <v>186</v>
      </c>
      <c r="W118" s="127">
        <f t="shared" ref="W118" si="257">COUNTBLANK(C118:V118)</f>
        <v>0</v>
      </c>
      <c r="X118" s="127" t="str">
        <f t="shared" ref="X118" si="258">IF(W118=0,"Correcto","Incorrecto")</f>
        <v>Correcto</v>
      </c>
      <c r="Y118" s="34"/>
      <c r="Z118" s="34"/>
      <c r="AA118" s="34"/>
    </row>
    <row r="119" spans="1:27" s="72" customFormat="1" ht="24.75" customHeight="1" x14ac:dyDescent="0.2">
      <c r="A119" s="4">
        <v>110</v>
      </c>
      <c r="B119" s="122" t="s">
        <v>309</v>
      </c>
      <c r="C119" s="123">
        <v>42018</v>
      </c>
      <c r="D119" s="4">
        <v>13</v>
      </c>
      <c r="E119" s="4" t="s">
        <v>93</v>
      </c>
      <c r="F119" s="4" t="s">
        <v>825</v>
      </c>
      <c r="G119" s="4" t="s">
        <v>202</v>
      </c>
      <c r="H119" s="129">
        <v>42023</v>
      </c>
      <c r="I119" s="4" t="s">
        <v>187</v>
      </c>
      <c r="J119" s="4" t="s">
        <v>103</v>
      </c>
      <c r="K119" s="4" t="s">
        <v>676</v>
      </c>
      <c r="L119" s="129">
        <v>42024</v>
      </c>
      <c r="M119" s="50" t="s">
        <v>826</v>
      </c>
      <c r="N119" s="130" t="s">
        <v>185</v>
      </c>
      <c r="O119" s="129">
        <v>42025</v>
      </c>
      <c r="P119" s="124">
        <f t="shared" ref="P119:P120" si="259">O119-C119</f>
        <v>7</v>
      </c>
      <c r="Q119" s="50" t="s">
        <v>1034</v>
      </c>
      <c r="R119" s="4" t="s">
        <v>17</v>
      </c>
      <c r="S119" s="4" t="s">
        <v>675</v>
      </c>
      <c r="T119" s="50" t="s">
        <v>101</v>
      </c>
      <c r="U119" s="132">
        <v>42026</v>
      </c>
      <c r="V119" s="126" t="s">
        <v>186</v>
      </c>
      <c r="W119" s="127">
        <f t="shared" ref="W119:W120" si="260">COUNTBLANK(C119:V119)</f>
        <v>0</v>
      </c>
      <c r="X119" s="127" t="str">
        <f t="shared" ref="X119:X120" si="261">IF(W119=0,"Correcto","Incorrecto")</f>
        <v>Correcto</v>
      </c>
      <c r="Y119" s="34"/>
      <c r="Z119" s="34"/>
      <c r="AA119" s="34"/>
    </row>
    <row r="120" spans="1:27" s="72" customFormat="1" ht="24.75" customHeight="1" x14ac:dyDescent="0.2">
      <c r="A120" s="144">
        <v>111</v>
      </c>
      <c r="B120" s="122" t="s">
        <v>1065</v>
      </c>
      <c r="C120" s="123">
        <v>42018</v>
      </c>
      <c r="D120" s="4">
        <v>3</v>
      </c>
      <c r="E120" s="4" t="s">
        <v>93</v>
      </c>
      <c r="F120" s="4" t="s">
        <v>827</v>
      </c>
      <c r="G120" s="4" t="s">
        <v>202</v>
      </c>
      <c r="H120" s="129">
        <v>42020</v>
      </c>
      <c r="I120" s="4" t="s">
        <v>187</v>
      </c>
      <c r="J120" s="4" t="s">
        <v>103</v>
      </c>
      <c r="K120" s="4" t="s">
        <v>1066</v>
      </c>
      <c r="L120" s="129">
        <v>42041</v>
      </c>
      <c r="M120" s="50" t="s">
        <v>826</v>
      </c>
      <c r="N120" s="130" t="s">
        <v>185</v>
      </c>
      <c r="O120" s="129">
        <v>42046</v>
      </c>
      <c r="P120" s="124">
        <f t="shared" si="259"/>
        <v>28</v>
      </c>
      <c r="Q120" s="50" t="s">
        <v>1067</v>
      </c>
      <c r="R120" s="4" t="s">
        <v>17</v>
      </c>
      <c r="S120" s="4" t="s">
        <v>104</v>
      </c>
      <c r="T120" s="50" t="s">
        <v>1068</v>
      </c>
      <c r="U120" s="132">
        <v>42060</v>
      </c>
      <c r="V120" s="126" t="s">
        <v>186</v>
      </c>
      <c r="W120" s="127">
        <f t="shared" si="260"/>
        <v>0</v>
      </c>
      <c r="X120" s="127" t="str">
        <f t="shared" si="261"/>
        <v>Correcto</v>
      </c>
      <c r="Y120" s="34"/>
      <c r="Z120" s="34"/>
      <c r="AA120" s="34"/>
    </row>
    <row r="121" spans="1:27" s="72" customFormat="1" ht="24.75" customHeight="1" x14ac:dyDescent="0.2">
      <c r="A121" s="144">
        <v>112</v>
      </c>
      <c r="B121" s="122" t="s">
        <v>310</v>
      </c>
      <c r="C121" s="123">
        <v>42018</v>
      </c>
      <c r="D121" s="4">
        <v>3</v>
      </c>
      <c r="E121" s="4" t="s">
        <v>93</v>
      </c>
      <c r="F121" s="4" t="s">
        <v>827</v>
      </c>
      <c r="G121" s="4" t="s">
        <v>202</v>
      </c>
      <c r="H121" s="129">
        <v>42020</v>
      </c>
      <c r="I121" s="4" t="s">
        <v>187</v>
      </c>
      <c r="J121" s="4" t="s">
        <v>103</v>
      </c>
      <c r="K121" s="4" t="s">
        <v>677</v>
      </c>
      <c r="L121" s="129">
        <v>42020</v>
      </c>
      <c r="M121" s="50" t="s">
        <v>826</v>
      </c>
      <c r="N121" s="130" t="s">
        <v>185</v>
      </c>
      <c r="O121" s="129">
        <v>42020</v>
      </c>
      <c r="P121" s="124">
        <f t="shared" ref="P121" si="262">O121-C121</f>
        <v>2</v>
      </c>
      <c r="Q121" s="50" t="s">
        <v>678</v>
      </c>
      <c r="R121" s="4" t="s">
        <v>17</v>
      </c>
      <c r="S121" s="4" t="s">
        <v>104</v>
      </c>
      <c r="T121" s="50" t="s">
        <v>1069</v>
      </c>
      <c r="U121" s="132">
        <v>42023</v>
      </c>
      <c r="V121" s="126" t="s">
        <v>186</v>
      </c>
      <c r="W121" s="127">
        <f t="shared" ref="W121" si="263">COUNTBLANK(C121:V121)</f>
        <v>0</v>
      </c>
      <c r="X121" s="127" t="str">
        <f t="shared" ref="X121" si="264">IF(W121=0,"Correcto","Incorrecto")</f>
        <v>Correcto</v>
      </c>
      <c r="Y121" s="34"/>
      <c r="Z121" s="34"/>
      <c r="AA121" s="34"/>
    </row>
    <row r="122" spans="1:27" s="72" customFormat="1" ht="24.75" customHeight="1" x14ac:dyDescent="0.2">
      <c r="A122" s="4">
        <v>113</v>
      </c>
      <c r="B122" s="122" t="s">
        <v>311</v>
      </c>
      <c r="C122" s="123">
        <v>42018</v>
      </c>
      <c r="D122" s="4">
        <v>2</v>
      </c>
      <c r="E122" s="4" t="s">
        <v>93</v>
      </c>
      <c r="F122" s="4" t="s">
        <v>827</v>
      </c>
      <c r="G122" s="4" t="s">
        <v>202</v>
      </c>
      <c r="H122" s="129">
        <v>42020</v>
      </c>
      <c r="I122" s="4" t="s">
        <v>187</v>
      </c>
      <c r="J122" s="4" t="s">
        <v>103</v>
      </c>
      <c r="K122" s="4" t="s">
        <v>679</v>
      </c>
      <c r="L122" s="129">
        <v>42020</v>
      </c>
      <c r="M122" s="50" t="s">
        <v>826</v>
      </c>
      <c r="N122" s="130" t="s">
        <v>185</v>
      </c>
      <c r="O122" s="129">
        <v>42020</v>
      </c>
      <c r="P122" s="124">
        <f t="shared" ref="P122" si="265">O122-C122</f>
        <v>2</v>
      </c>
      <c r="Q122" s="50" t="s">
        <v>680</v>
      </c>
      <c r="R122" s="4" t="s">
        <v>17</v>
      </c>
      <c r="S122" s="4" t="s">
        <v>104</v>
      </c>
      <c r="T122" s="50" t="s">
        <v>1070</v>
      </c>
      <c r="U122" s="132">
        <v>42023</v>
      </c>
      <c r="V122" s="126" t="s">
        <v>186</v>
      </c>
      <c r="W122" s="127">
        <f t="shared" ref="W122" si="266">COUNTBLANK(C122:V122)</f>
        <v>0</v>
      </c>
      <c r="X122" s="127" t="str">
        <f t="shared" ref="X122" si="267">IF(W122=0,"Correcto","Incorrecto")</f>
        <v>Correcto</v>
      </c>
      <c r="Y122" s="34"/>
      <c r="Z122" s="34"/>
      <c r="AA122" s="34"/>
    </row>
    <row r="123" spans="1:27" s="72" customFormat="1" ht="24.75" customHeight="1" x14ac:dyDescent="0.2">
      <c r="A123" s="144">
        <v>114</v>
      </c>
      <c r="B123" s="122" t="s">
        <v>312</v>
      </c>
      <c r="C123" s="123">
        <v>42018</v>
      </c>
      <c r="D123" s="4">
        <v>2</v>
      </c>
      <c r="E123" s="4" t="s">
        <v>93</v>
      </c>
      <c r="F123" s="4" t="s">
        <v>825</v>
      </c>
      <c r="G123" s="4" t="s">
        <v>202</v>
      </c>
      <c r="H123" s="129">
        <v>42023</v>
      </c>
      <c r="I123" s="4" t="s">
        <v>187</v>
      </c>
      <c r="J123" s="4" t="s">
        <v>103</v>
      </c>
      <c r="K123" s="4" t="s">
        <v>682</v>
      </c>
      <c r="L123" s="129">
        <v>42023</v>
      </c>
      <c r="M123" s="50" t="s">
        <v>826</v>
      </c>
      <c r="N123" s="130" t="s">
        <v>185</v>
      </c>
      <c r="O123" s="129">
        <v>42023</v>
      </c>
      <c r="P123" s="124">
        <f t="shared" ref="P123" si="268">O123-C123</f>
        <v>5</v>
      </c>
      <c r="Q123" s="50" t="s">
        <v>683</v>
      </c>
      <c r="R123" s="4" t="s">
        <v>17</v>
      </c>
      <c r="S123" s="4" t="s">
        <v>681</v>
      </c>
      <c r="T123" s="50" t="s">
        <v>101</v>
      </c>
      <c r="U123" s="132">
        <v>42023</v>
      </c>
      <c r="V123" s="126" t="s">
        <v>186</v>
      </c>
      <c r="W123" s="127">
        <f t="shared" ref="W123" si="269">COUNTBLANK(C123:V123)</f>
        <v>0</v>
      </c>
      <c r="X123" s="127" t="str">
        <f t="shared" ref="X123" si="270">IF(W123=0,"Correcto","Incorrecto")</f>
        <v>Correcto</v>
      </c>
      <c r="Y123" s="34"/>
      <c r="Z123" s="34"/>
      <c r="AA123" s="34"/>
    </row>
    <row r="124" spans="1:27" s="72" customFormat="1" ht="24.75" customHeight="1" x14ac:dyDescent="0.2">
      <c r="A124" s="144">
        <v>115</v>
      </c>
      <c r="B124" s="122" t="s">
        <v>313</v>
      </c>
      <c r="C124" s="123">
        <v>42018</v>
      </c>
      <c r="D124" s="4">
        <v>2</v>
      </c>
      <c r="E124" s="4" t="s">
        <v>93</v>
      </c>
      <c r="F124" s="4" t="s">
        <v>825</v>
      </c>
      <c r="G124" s="4" t="s">
        <v>202</v>
      </c>
      <c r="H124" s="129">
        <v>42023</v>
      </c>
      <c r="I124" s="4" t="s">
        <v>187</v>
      </c>
      <c r="J124" s="4" t="s">
        <v>103</v>
      </c>
      <c r="K124" s="4" t="s">
        <v>684</v>
      </c>
      <c r="L124" s="129">
        <v>42023</v>
      </c>
      <c r="M124" s="50" t="s">
        <v>826</v>
      </c>
      <c r="N124" s="130" t="s">
        <v>185</v>
      </c>
      <c r="O124" s="129">
        <v>42023</v>
      </c>
      <c r="P124" s="124">
        <f t="shared" ref="P124" si="271">O124-C124</f>
        <v>5</v>
      </c>
      <c r="Q124" s="50" t="s">
        <v>685</v>
      </c>
      <c r="R124" s="4" t="s">
        <v>17</v>
      </c>
      <c r="S124" s="4" t="s">
        <v>189</v>
      </c>
      <c r="T124" s="50" t="s">
        <v>101</v>
      </c>
      <c r="U124" s="132">
        <v>42026</v>
      </c>
      <c r="V124" s="126" t="s">
        <v>186</v>
      </c>
      <c r="W124" s="127">
        <f t="shared" ref="W124" si="272">COUNTBLANK(C124:V124)</f>
        <v>0</v>
      </c>
      <c r="X124" s="127" t="str">
        <f t="shared" ref="X124" si="273">IF(W124=0,"Correcto","Incorrecto")</f>
        <v>Correcto</v>
      </c>
      <c r="Y124" s="34"/>
      <c r="Z124" s="34"/>
      <c r="AA124" s="34"/>
    </row>
    <row r="125" spans="1:27" s="72" customFormat="1" ht="24.75" customHeight="1" x14ac:dyDescent="0.2">
      <c r="A125" s="4">
        <v>116</v>
      </c>
      <c r="B125" s="122" t="s">
        <v>314</v>
      </c>
      <c r="C125" s="123">
        <v>42018</v>
      </c>
      <c r="D125" s="4">
        <v>2</v>
      </c>
      <c r="E125" s="4" t="s">
        <v>93</v>
      </c>
      <c r="F125" s="4" t="s">
        <v>825</v>
      </c>
      <c r="G125" s="4" t="s">
        <v>202</v>
      </c>
      <c r="H125" s="129">
        <v>42023</v>
      </c>
      <c r="I125" s="4" t="s">
        <v>187</v>
      </c>
      <c r="J125" s="4" t="s">
        <v>103</v>
      </c>
      <c r="K125" s="4" t="s">
        <v>686</v>
      </c>
      <c r="L125" s="129">
        <v>42023</v>
      </c>
      <c r="M125" s="50" t="s">
        <v>826</v>
      </c>
      <c r="N125" s="130" t="s">
        <v>185</v>
      </c>
      <c r="O125" s="129">
        <v>42023</v>
      </c>
      <c r="P125" s="124">
        <f t="shared" ref="P125" si="274">O125-C125</f>
        <v>5</v>
      </c>
      <c r="Q125" s="50" t="s">
        <v>687</v>
      </c>
      <c r="R125" s="4" t="s">
        <v>17</v>
      </c>
      <c r="S125" s="4" t="s">
        <v>681</v>
      </c>
      <c r="T125" s="50" t="s">
        <v>1070</v>
      </c>
      <c r="U125" s="132">
        <v>42023</v>
      </c>
      <c r="V125" s="126" t="s">
        <v>186</v>
      </c>
      <c r="W125" s="127">
        <f t="shared" ref="W125" si="275">COUNTBLANK(C125:V125)</f>
        <v>0</v>
      </c>
      <c r="X125" s="127" t="str">
        <f t="shared" ref="X125" si="276">IF(W125=0,"Correcto","Incorrecto")</f>
        <v>Correcto</v>
      </c>
      <c r="Y125" s="34"/>
      <c r="Z125" s="34"/>
      <c r="AA125" s="34"/>
    </row>
    <row r="126" spans="1:27" s="72" customFormat="1" ht="24.75" customHeight="1" x14ac:dyDescent="0.2">
      <c r="A126" s="144">
        <v>117</v>
      </c>
      <c r="B126" s="122" t="s">
        <v>315</v>
      </c>
      <c r="C126" s="123">
        <v>42018</v>
      </c>
      <c r="D126" s="4">
        <v>2</v>
      </c>
      <c r="E126" s="4" t="s">
        <v>93</v>
      </c>
      <c r="F126" s="4" t="s">
        <v>827</v>
      </c>
      <c r="G126" s="4" t="s">
        <v>202</v>
      </c>
      <c r="H126" s="129">
        <v>42020</v>
      </c>
      <c r="I126" s="4" t="s">
        <v>187</v>
      </c>
      <c r="J126" s="4" t="s">
        <v>103</v>
      </c>
      <c r="K126" s="4" t="s">
        <v>688</v>
      </c>
      <c r="L126" s="129">
        <v>42020</v>
      </c>
      <c r="M126" s="50" t="s">
        <v>826</v>
      </c>
      <c r="N126" s="130" t="s">
        <v>185</v>
      </c>
      <c r="O126" s="129">
        <v>42020</v>
      </c>
      <c r="P126" s="124">
        <f t="shared" ref="P126" si="277">O126-C126</f>
        <v>2</v>
      </c>
      <c r="Q126" s="50" t="s">
        <v>689</v>
      </c>
      <c r="R126" s="4" t="s">
        <v>17</v>
      </c>
      <c r="S126" s="4" t="s">
        <v>104</v>
      </c>
      <c r="T126" s="50" t="s">
        <v>690</v>
      </c>
      <c r="U126" s="132">
        <v>42023</v>
      </c>
      <c r="V126" s="126" t="s">
        <v>186</v>
      </c>
      <c r="W126" s="127">
        <f t="shared" ref="W126" si="278">COUNTBLANK(C126:V126)</f>
        <v>0</v>
      </c>
      <c r="X126" s="127" t="str">
        <f t="shared" ref="X126" si="279">IF(W126=0,"Correcto","Incorrecto")</f>
        <v>Correcto</v>
      </c>
      <c r="Y126" s="34"/>
      <c r="Z126" s="34"/>
      <c r="AA126" s="34"/>
    </row>
    <row r="127" spans="1:27" s="72" customFormat="1" ht="24.75" customHeight="1" x14ac:dyDescent="0.2">
      <c r="A127" s="144">
        <v>118</v>
      </c>
      <c r="B127" s="122" t="s">
        <v>316</v>
      </c>
      <c r="C127" s="123">
        <v>42018</v>
      </c>
      <c r="D127" s="4">
        <v>2</v>
      </c>
      <c r="E127" s="4" t="s">
        <v>93</v>
      </c>
      <c r="F127" s="4" t="s">
        <v>827</v>
      </c>
      <c r="G127" s="4" t="s">
        <v>202</v>
      </c>
      <c r="H127" s="129">
        <v>42020</v>
      </c>
      <c r="I127" s="4" t="s">
        <v>187</v>
      </c>
      <c r="J127" s="4" t="s">
        <v>103</v>
      </c>
      <c r="K127" s="4" t="s">
        <v>691</v>
      </c>
      <c r="L127" s="129">
        <v>42020</v>
      </c>
      <c r="M127" s="50" t="s">
        <v>826</v>
      </c>
      <c r="N127" s="130" t="s">
        <v>185</v>
      </c>
      <c r="O127" s="129">
        <v>42020</v>
      </c>
      <c r="P127" s="124">
        <f t="shared" ref="P127" si="280">O127-C127</f>
        <v>2</v>
      </c>
      <c r="Q127" s="50" t="s">
        <v>692</v>
      </c>
      <c r="R127" s="4" t="s">
        <v>17</v>
      </c>
      <c r="S127" s="4" t="s">
        <v>104</v>
      </c>
      <c r="T127" s="50" t="s">
        <v>693</v>
      </c>
      <c r="U127" s="132">
        <v>42023</v>
      </c>
      <c r="V127" s="126" t="s">
        <v>186</v>
      </c>
      <c r="W127" s="127">
        <f t="shared" ref="W127" si="281">COUNTBLANK(C127:V127)</f>
        <v>0</v>
      </c>
      <c r="X127" s="127" t="str">
        <f t="shared" ref="X127" si="282">IF(W127=0,"Correcto","Incorrecto")</f>
        <v>Correcto</v>
      </c>
      <c r="Y127" s="34"/>
      <c r="Z127" s="34"/>
      <c r="AA127" s="34"/>
    </row>
    <row r="128" spans="1:27" s="72" customFormat="1" ht="24.75" customHeight="1" x14ac:dyDescent="0.2">
      <c r="A128" s="4">
        <v>119</v>
      </c>
      <c r="B128" s="122" t="s">
        <v>317</v>
      </c>
      <c r="C128" s="123">
        <v>42018</v>
      </c>
      <c r="D128" s="4">
        <v>2</v>
      </c>
      <c r="E128" s="4" t="s">
        <v>93</v>
      </c>
      <c r="F128" s="4" t="s">
        <v>827</v>
      </c>
      <c r="G128" s="4" t="s">
        <v>202</v>
      </c>
      <c r="H128" s="129">
        <v>42020</v>
      </c>
      <c r="I128" s="4" t="s">
        <v>187</v>
      </c>
      <c r="J128" s="4" t="s">
        <v>103</v>
      </c>
      <c r="K128" s="4" t="s">
        <v>694</v>
      </c>
      <c r="L128" s="129">
        <v>42020</v>
      </c>
      <c r="M128" s="50" t="s">
        <v>826</v>
      </c>
      <c r="N128" s="130" t="s">
        <v>185</v>
      </c>
      <c r="O128" s="129">
        <v>42020</v>
      </c>
      <c r="P128" s="124">
        <f t="shared" ref="P128" si="283">O128-C128</f>
        <v>2</v>
      </c>
      <c r="Q128" s="50" t="s">
        <v>695</v>
      </c>
      <c r="R128" s="4" t="s">
        <v>17</v>
      </c>
      <c r="S128" s="4" t="s">
        <v>104</v>
      </c>
      <c r="T128" s="50" t="s">
        <v>696</v>
      </c>
      <c r="U128" s="132">
        <v>42023</v>
      </c>
      <c r="V128" s="126" t="s">
        <v>186</v>
      </c>
      <c r="W128" s="127">
        <f t="shared" ref="W128" si="284">COUNTBLANK(C128:V128)</f>
        <v>0</v>
      </c>
      <c r="X128" s="127" t="str">
        <f t="shared" ref="X128" si="285">IF(W128=0,"Correcto","Incorrecto")</f>
        <v>Correcto</v>
      </c>
      <c r="Y128" s="34"/>
      <c r="Z128" s="34"/>
      <c r="AA128" s="34"/>
    </row>
    <row r="129" spans="1:27" s="72" customFormat="1" ht="24.75" customHeight="1" x14ac:dyDescent="0.2">
      <c r="A129" s="144">
        <v>120</v>
      </c>
      <c r="B129" s="122" t="s">
        <v>318</v>
      </c>
      <c r="C129" s="123">
        <v>42018</v>
      </c>
      <c r="D129" s="4">
        <v>2</v>
      </c>
      <c r="E129" s="4" t="s">
        <v>93</v>
      </c>
      <c r="F129" s="4" t="s">
        <v>827</v>
      </c>
      <c r="G129" s="4" t="s">
        <v>202</v>
      </c>
      <c r="H129" s="129">
        <v>42020</v>
      </c>
      <c r="I129" s="4" t="s">
        <v>187</v>
      </c>
      <c r="J129" s="4" t="s">
        <v>103</v>
      </c>
      <c r="K129" s="4" t="s">
        <v>697</v>
      </c>
      <c r="L129" s="129">
        <v>42020</v>
      </c>
      <c r="M129" s="50" t="s">
        <v>826</v>
      </c>
      <c r="N129" s="130" t="s">
        <v>185</v>
      </c>
      <c r="O129" s="129">
        <v>42020</v>
      </c>
      <c r="P129" s="124">
        <f t="shared" ref="P129" si="286">O129-C129</f>
        <v>2</v>
      </c>
      <c r="Q129" s="50" t="s">
        <v>698</v>
      </c>
      <c r="R129" s="4" t="s">
        <v>17</v>
      </c>
      <c r="S129" s="4" t="s">
        <v>104</v>
      </c>
      <c r="T129" s="50" t="s">
        <v>699</v>
      </c>
      <c r="U129" s="132">
        <v>42023</v>
      </c>
      <c r="V129" s="126" t="s">
        <v>186</v>
      </c>
      <c r="W129" s="127">
        <f t="shared" ref="W129" si="287">COUNTBLANK(C129:V129)</f>
        <v>0</v>
      </c>
      <c r="X129" s="127" t="str">
        <f t="shared" ref="X129" si="288">IF(W129=0,"Correcto","Incorrecto")</f>
        <v>Correcto</v>
      </c>
      <c r="Y129" s="34"/>
      <c r="Z129" s="34"/>
      <c r="AA129" s="34"/>
    </row>
    <row r="130" spans="1:27" s="72" customFormat="1" ht="24.75" customHeight="1" x14ac:dyDescent="0.2">
      <c r="A130" s="144">
        <v>121</v>
      </c>
      <c r="B130" s="122" t="s">
        <v>319</v>
      </c>
      <c r="C130" s="123">
        <v>42018</v>
      </c>
      <c r="D130" s="4">
        <v>4</v>
      </c>
      <c r="E130" s="4" t="s">
        <v>93</v>
      </c>
      <c r="F130" s="4" t="s">
        <v>827</v>
      </c>
      <c r="G130" s="4" t="s">
        <v>202</v>
      </c>
      <c r="H130" s="129">
        <v>42020</v>
      </c>
      <c r="I130" s="4" t="s">
        <v>187</v>
      </c>
      <c r="J130" s="4" t="s">
        <v>103</v>
      </c>
      <c r="K130" s="4" t="s">
        <v>700</v>
      </c>
      <c r="L130" s="129">
        <v>42020</v>
      </c>
      <c r="M130" s="50" t="s">
        <v>826</v>
      </c>
      <c r="N130" s="130" t="s">
        <v>185</v>
      </c>
      <c r="O130" s="129">
        <v>42020</v>
      </c>
      <c r="P130" s="124">
        <f>O130-C130</f>
        <v>2</v>
      </c>
      <c r="Q130" s="50" t="s">
        <v>701</v>
      </c>
      <c r="R130" s="4" t="s">
        <v>17</v>
      </c>
      <c r="S130" s="4" t="s">
        <v>104</v>
      </c>
      <c r="T130" s="50" t="s">
        <v>1071</v>
      </c>
      <c r="U130" s="132">
        <v>42020</v>
      </c>
      <c r="V130" s="126" t="s">
        <v>186</v>
      </c>
      <c r="W130" s="127">
        <f t="shared" ref="W130" si="289">COUNTBLANK(C130:V130)</f>
        <v>0</v>
      </c>
      <c r="X130" s="127" t="str">
        <f t="shared" ref="X130" si="290">IF(W130=0,"Correcto","Incorrecto")</f>
        <v>Correcto</v>
      </c>
      <c r="Y130" s="34"/>
      <c r="Z130" s="34"/>
      <c r="AA130" s="34"/>
    </row>
    <row r="131" spans="1:27" s="72" customFormat="1" ht="24.75" customHeight="1" x14ac:dyDescent="0.2">
      <c r="A131" s="4">
        <v>122</v>
      </c>
      <c r="B131" s="122" t="s">
        <v>320</v>
      </c>
      <c r="C131" s="123">
        <v>42019</v>
      </c>
      <c r="D131" s="4">
        <v>2</v>
      </c>
      <c r="E131" s="4" t="s">
        <v>93</v>
      </c>
      <c r="F131" s="4" t="s">
        <v>827</v>
      </c>
      <c r="G131" s="4" t="s">
        <v>202</v>
      </c>
      <c r="H131" s="129">
        <v>42019</v>
      </c>
      <c r="I131" s="4" t="s">
        <v>187</v>
      </c>
      <c r="J131" s="4" t="s">
        <v>103</v>
      </c>
      <c r="K131" s="4" t="s">
        <v>702</v>
      </c>
      <c r="L131" s="129">
        <v>42019</v>
      </c>
      <c r="M131" s="50" t="s">
        <v>826</v>
      </c>
      <c r="N131" s="130" t="s">
        <v>185</v>
      </c>
      <c r="O131" s="129">
        <v>42019</v>
      </c>
      <c r="P131" s="124">
        <f t="shared" ref="P131" si="291">O131-C131</f>
        <v>0</v>
      </c>
      <c r="Q131" s="50" t="s">
        <v>703</v>
      </c>
      <c r="R131" s="4" t="s">
        <v>17</v>
      </c>
      <c r="S131" s="4" t="s">
        <v>104</v>
      </c>
      <c r="T131" s="50" t="s">
        <v>104</v>
      </c>
      <c r="U131" s="132">
        <v>42023</v>
      </c>
      <c r="V131" s="126" t="s">
        <v>186</v>
      </c>
      <c r="W131" s="127">
        <f t="shared" ref="W131" si="292">COUNTBLANK(C131:V131)</f>
        <v>0</v>
      </c>
      <c r="X131" s="127" t="str">
        <f t="shared" ref="X131" si="293">IF(W131=0,"Correcto","Incorrecto")</f>
        <v>Correcto</v>
      </c>
      <c r="Y131" s="34"/>
      <c r="Z131" s="34"/>
      <c r="AA131" s="34"/>
    </row>
    <row r="132" spans="1:27" s="72" customFormat="1" ht="24.75" customHeight="1" x14ac:dyDescent="0.2">
      <c r="A132" s="144">
        <v>123</v>
      </c>
      <c r="B132" s="122" t="s">
        <v>321</v>
      </c>
      <c r="C132" s="123">
        <v>42019</v>
      </c>
      <c r="D132" s="4">
        <v>2</v>
      </c>
      <c r="E132" s="4" t="s">
        <v>93</v>
      </c>
      <c r="F132" s="4" t="s">
        <v>825</v>
      </c>
      <c r="G132" s="4" t="s">
        <v>202</v>
      </c>
      <c r="H132" s="129">
        <v>42023</v>
      </c>
      <c r="I132" s="4" t="s">
        <v>187</v>
      </c>
      <c r="J132" s="4" t="s">
        <v>103</v>
      </c>
      <c r="K132" s="4" t="s">
        <v>704</v>
      </c>
      <c r="L132" s="129">
        <v>42023</v>
      </c>
      <c r="M132" s="50" t="s">
        <v>826</v>
      </c>
      <c r="N132" s="130" t="s">
        <v>185</v>
      </c>
      <c r="O132" s="129">
        <v>42023</v>
      </c>
      <c r="P132" s="124">
        <f>O132-C132</f>
        <v>4</v>
      </c>
      <c r="Q132" s="50" t="s">
        <v>705</v>
      </c>
      <c r="R132" s="4" t="s">
        <v>17</v>
      </c>
      <c r="S132" s="4" t="s">
        <v>191</v>
      </c>
      <c r="T132" s="50" t="s">
        <v>101</v>
      </c>
      <c r="U132" s="132">
        <v>42026</v>
      </c>
      <c r="V132" s="126" t="s">
        <v>186</v>
      </c>
      <c r="W132" s="127">
        <f t="shared" ref="W132" si="294">COUNTBLANK(C132:V132)</f>
        <v>0</v>
      </c>
      <c r="X132" s="127" t="str">
        <f t="shared" ref="X132" si="295">IF(W132=0,"Correcto","Incorrecto")</f>
        <v>Correcto</v>
      </c>
      <c r="Y132" s="34"/>
      <c r="Z132" s="34"/>
      <c r="AA132" s="34"/>
    </row>
    <row r="133" spans="1:27" s="72" customFormat="1" ht="24.75" customHeight="1" x14ac:dyDescent="0.2">
      <c r="A133" s="144">
        <v>124</v>
      </c>
      <c r="B133" s="122" t="s">
        <v>322</v>
      </c>
      <c r="C133" s="123">
        <v>42019</v>
      </c>
      <c r="D133" s="4">
        <v>2</v>
      </c>
      <c r="E133" s="4" t="s">
        <v>93</v>
      </c>
      <c r="F133" s="4" t="s">
        <v>825</v>
      </c>
      <c r="G133" s="4" t="s">
        <v>202</v>
      </c>
      <c r="H133" s="129">
        <v>42024</v>
      </c>
      <c r="I133" s="4" t="s">
        <v>187</v>
      </c>
      <c r="J133" s="4" t="s">
        <v>103</v>
      </c>
      <c r="K133" s="4" t="s">
        <v>706</v>
      </c>
      <c r="L133" s="129">
        <v>42024</v>
      </c>
      <c r="M133" s="50" t="s">
        <v>825</v>
      </c>
      <c r="N133" s="130" t="s">
        <v>707</v>
      </c>
      <c r="O133" s="129">
        <v>42024</v>
      </c>
      <c r="P133" s="124">
        <f t="shared" ref="P133:P157" si="296">O133-C133</f>
        <v>5</v>
      </c>
      <c r="Q133" s="50" t="s">
        <v>706</v>
      </c>
      <c r="R133" s="4" t="s">
        <v>17</v>
      </c>
      <c r="S133" s="4" t="s">
        <v>198</v>
      </c>
      <c r="T133" s="50" t="s">
        <v>101</v>
      </c>
      <c r="U133" s="132">
        <v>42026</v>
      </c>
      <c r="V133" s="126" t="s">
        <v>186</v>
      </c>
      <c r="W133" s="127">
        <f t="shared" ref="W133" si="297">COUNTBLANK(C133:V133)</f>
        <v>0</v>
      </c>
      <c r="X133" s="127" t="str">
        <f t="shared" ref="X133" si="298">IF(W133=0,"Correcto","Incorrecto")</f>
        <v>Correcto</v>
      </c>
      <c r="Y133" s="34"/>
      <c r="Z133" s="34"/>
      <c r="AA133" s="34"/>
    </row>
    <row r="134" spans="1:27" s="72" customFormat="1" ht="24.75" customHeight="1" x14ac:dyDescent="0.2">
      <c r="A134" s="4">
        <v>125</v>
      </c>
      <c r="B134" s="122" t="s">
        <v>323</v>
      </c>
      <c r="C134" s="123">
        <v>42019</v>
      </c>
      <c r="D134" s="4">
        <v>2</v>
      </c>
      <c r="E134" s="4" t="s">
        <v>93</v>
      </c>
      <c r="F134" s="4" t="s">
        <v>825</v>
      </c>
      <c r="G134" s="4" t="s">
        <v>202</v>
      </c>
      <c r="H134" s="129">
        <v>42023</v>
      </c>
      <c r="I134" s="4" t="s">
        <v>187</v>
      </c>
      <c r="J134" s="4" t="s">
        <v>103</v>
      </c>
      <c r="K134" s="4" t="s">
        <v>708</v>
      </c>
      <c r="L134" s="129">
        <v>42023</v>
      </c>
      <c r="M134" s="50" t="s">
        <v>826</v>
      </c>
      <c r="N134" s="130" t="s">
        <v>185</v>
      </c>
      <c r="O134" s="129">
        <v>42024</v>
      </c>
      <c r="P134" s="124">
        <f>O134-C134</f>
        <v>5</v>
      </c>
      <c r="Q134" s="50" t="s">
        <v>709</v>
      </c>
      <c r="R134" s="4" t="s">
        <v>501</v>
      </c>
      <c r="S134" s="4" t="s">
        <v>710</v>
      </c>
      <c r="T134" s="50" t="s">
        <v>1035</v>
      </c>
      <c r="U134" s="132">
        <v>42026</v>
      </c>
      <c r="V134" s="126" t="s">
        <v>186</v>
      </c>
      <c r="W134" s="127">
        <f t="shared" ref="W134" si="299">COUNTBLANK(C134:V134)</f>
        <v>0</v>
      </c>
      <c r="X134" s="127" t="str">
        <f t="shared" ref="X134" si="300">IF(W134=0,"Correcto","Incorrecto")</f>
        <v>Correcto</v>
      </c>
      <c r="Y134" s="34"/>
      <c r="Z134" s="34"/>
      <c r="AA134" s="34"/>
    </row>
    <row r="135" spans="1:27" s="72" customFormat="1" ht="24.75" customHeight="1" x14ac:dyDescent="0.2">
      <c r="A135" s="144">
        <v>126</v>
      </c>
      <c r="B135" s="122" t="s">
        <v>324</v>
      </c>
      <c r="C135" s="123">
        <v>42019</v>
      </c>
      <c r="D135" s="4">
        <v>2</v>
      </c>
      <c r="E135" s="4" t="s">
        <v>93</v>
      </c>
      <c r="F135" s="4" t="s">
        <v>827</v>
      </c>
      <c r="G135" s="4" t="s">
        <v>202</v>
      </c>
      <c r="H135" s="129">
        <v>42023</v>
      </c>
      <c r="I135" s="4" t="s">
        <v>187</v>
      </c>
      <c r="J135" s="4" t="s">
        <v>103</v>
      </c>
      <c r="K135" s="4" t="s">
        <v>711</v>
      </c>
      <c r="L135" s="129">
        <v>42023</v>
      </c>
      <c r="M135" s="50" t="s">
        <v>826</v>
      </c>
      <c r="N135" s="130" t="s">
        <v>185</v>
      </c>
      <c r="O135" s="129">
        <v>42024</v>
      </c>
      <c r="P135" s="124">
        <f t="shared" si="296"/>
        <v>5</v>
      </c>
      <c r="Q135" s="50" t="s">
        <v>712</v>
      </c>
      <c r="R135" s="4" t="s">
        <v>17</v>
      </c>
      <c r="S135" s="4" t="s">
        <v>104</v>
      </c>
      <c r="T135" s="50" t="s">
        <v>713</v>
      </c>
      <c r="U135" s="132">
        <v>42024</v>
      </c>
      <c r="V135" s="126" t="s">
        <v>186</v>
      </c>
      <c r="W135" s="127">
        <f t="shared" ref="W135:W136" si="301">COUNTBLANK(C135:V135)</f>
        <v>0</v>
      </c>
      <c r="X135" s="127" t="str">
        <f t="shared" ref="X135:X136" si="302">IF(W135=0,"Correcto","Incorrecto")</f>
        <v>Correcto</v>
      </c>
      <c r="Y135" s="34"/>
      <c r="Z135" s="34"/>
      <c r="AA135" s="34"/>
    </row>
    <row r="136" spans="1:27" s="72" customFormat="1" ht="24.75" customHeight="1" x14ac:dyDescent="0.2">
      <c r="A136" s="144">
        <v>127</v>
      </c>
      <c r="B136" s="122" t="s">
        <v>1073</v>
      </c>
      <c r="C136" s="123">
        <v>42019</v>
      </c>
      <c r="D136" s="4">
        <v>57</v>
      </c>
      <c r="E136" s="4" t="s">
        <v>93</v>
      </c>
      <c r="F136" s="4" t="s">
        <v>827</v>
      </c>
      <c r="G136" s="4" t="s">
        <v>202</v>
      </c>
      <c r="H136" s="129">
        <v>42024</v>
      </c>
      <c r="I136" s="4" t="s">
        <v>187</v>
      </c>
      <c r="J136" s="4" t="s">
        <v>103</v>
      </c>
      <c r="K136" s="50" t="s">
        <v>1074</v>
      </c>
      <c r="L136" s="129">
        <v>42024</v>
      </c>
      <c r="M136" s="50" t="s">
        <v>826</v>
      </c>
      <c r="N136" s="130" t="s">
        <v>185</v>
      </c>
      <c r="O136" s="129">
        <v>42024</v>
      </c>
      <c r="P136" s="124">
        <f t="shared" ref="P136" si="303">O136-C136</f>
        <v>5</v>
      </c>
      <c r="Q136" s="50" t="s">
        <v>1074</v>
      </c>
      <c r="R136" s="4" t="s">
        <v>17</v>
      </c>
      <c r="S136" s="4" t="s">
        <v>104</v>
      </c>
      <c r="T136" s="50" t="s">
        <v>1075</v>
      </c>
      <c r="U136" s="132">
        <v>42024</v>
      </c>
      <c r="V136" s="126" t="s">
        <v>186</v>
      </c>
      <c r="W136" s="127">
        <f t="shared" si="301"/>
        <v>0</v>
      </c>
      <c r="X136" s="127" t="str">
        <f t="shared" si="302"/>
        <v>Correcto</v>
      </c>
      <c r="Y136" s="34"/>
      <c r="Z136" s="34"/>
      <c r="AA136" s="34"/>
    </row>
    <row r="137" spans="1:27" s="72" customFormat="1" ht="24.75" customHeight="1" x14ac:dyDescent="0.2">
      <c r="A137" s="4">
        <v>128</v>
      </c>
      <c r="B137" s="122" t="s">
        <v>325</v>
      </c>
      <c r="C137" s="123">
        <v>42020</v>
      </c>
      <c r="D137" s="4">
        <v>3</v>
      </c>
      <c r="E137" s="4" t="s">
        <v>93</v>
      </c>
      <c r="F137" s="4" t="s">
        <v>827</v>
      </c>
      <c r="G137" s="4" t="s">
        <v>202</v>
      </c>
      <c r="H137" s="129">
        <v>42020</v>
      </c>
      <c r="I137" s="4" t="s">
        <v>187</v>
      </c>
      <c r="J137" s="4" t="s">
        <v>103</v>
      </c>
      <c r="K137" s="4" t="s">
        <v>714</v>
      </c>
      <c r="L137" s="129">
        <v>42020</v>
      </c>
      <c r="M137" s="50" t="s">
        <v>826</v>
      </c>
      <c r="N137" s="130" t="s">
        <v>185</v>
      </c>
      <c r="O137" s="129">
        <v>42020</v>
      </c>
      <c r="P137" s="124">
        <f t="shared" si="296"/>
        <v>0</v>
      </c>
      <c r="Q137" s="50" t="s">
        <v>715</v>
      </c>
      <c r="R137" s="4" t="s">
        <v>17</v>
      </c>
      <c r="S137" s="4" t="s">
        <v>104</v>
      </c>
      <c r="T137" s="50" t="s">
        <v>1072</v>
      </c>
      <c r="U137" s="132">
        <v>42024</v>
      </c>
      <c r="V137" s="126" t="s">
        <v>186</v>
      </c>
      <c r="W137" s="127">
        <f t="shared" ref="W137" si="304">COUNTBLANK(C137:V137)</f>
        <v>0</v>
      </c>
      <c r="X137" s="127" t="str">
        <f t="shared" ref="X137" si="305">IF(W137=0,"Correcto","Incorrecto")</f>
        <v>Correcto</v>
      </c>
      <c r="Y137" s="34"/>
      <c r="Z137" s="34"/>
      <c r="AA137" s="34"/>
    </row>
    <row r="138" spans="1:27" s="72" customFormat="1" ht="24.75" customHeight="1" x14ac:dyDescent="0.2">
      <c r="A138" s="144">
        <v>129</v>
      </c>
      <c r="B138" s="122" t="s">
        <v>326</v>
      </c>
      <c r="C138" s="123">
        <v>42020</v>
      </c>
      <c r="D138" s="4">
        <v>2</v>
      </c>
      <c r="E138" s="4" t="s">
        <v>93</v>
      </c>
      <c r="F138" s="4" t="s">
        <v>827</v>
      </c>
      <c r="G138" s="4" t="s">
        <v>202</v>
      </c>
      <c r="H138" s="129">
        <v>42023</v>
      </c>
      <c r="I138" s="4" t="s">
        <v>187</v>
      </c>
      <c r="J138" s="4" t="s">
        <v>103</v>
      </c>
      <c r="K138" s="4" t="s">
        <v>716</v>
      </c>
      <c r="L138" s="129">
        <v>42023</v>
      </c>
      <c r="M138" s="50" t="s">
        <v>826</v>
      </c>
      <c r="N138" s="130" t="s">
        <v>185</v>
      </c>
      <c r="O138" s="129">
        <v>42025</v>
      </c>
      <c r="P138" s="124">
        <f t="shared" si="296"/>
        <v>5</v>
      </c>
      <c r="Q138" s="50" t="s">
        <v>717</v>
      </c>
      <c r="R138" s="4" t="s">
        <v>501</v>
      </c>
      <c r="S138" s="4" t="s">
        <v>710</v>
      </c>
      <c r="T138" s="50" t="s">
        <v>1035</v>
      </c>
      <c r="U138" s="132">
        <v>42026</v>
      </c>
      <c r="V138" s="126" t="s">
        <v>186</v>
      </c>
      <c r="W138" s="127">
        <f t="shared" ref="W138" si="306">COUNTBLANK(C138:V138)</f>
        <v>0</v>
      </c>
      <c r="X138" s="127" t="str">
        <f t="shared" ref="X138" si="307">IF(W138=0,"Correcto","Incorrecto")</f>
        <v>Correcto</v>
      </c>
      <c r="Y138" s="34"/>
      <c r="Z138" s="34"/>
      <c r="AA138" s="34"/>
    </row>
    <row r="139" spans="1:27" s="72" customFormat="1" ht="24.75" customHeight="1" x14ac:dyDescent="0.2">
      <c r="A139" s="144">
        <v>130</v>
      </c>
      <c r="B139" s="122" t="s">
        <v>327</v>
      </c>
      <c r="C139" s="123">
        <v>42020</v>
      </c>
      <c r="D139" s="4">
        <v>4</v>
      </c>
      <c r="E139" s="4" t="s">
        <v>93</v>
      </c>
      <c r="F139" s="4" t="s">
        <v>825</v>
      </c>
      <c r="G139" s="4" t="s">
        <v>202</v>
      </c>
      <c r="H139" s="129">
        <v>42023</v>
      </c>
      <c r="I139" s="4" t="s">
        <v>187</v>
      </c>
      <c r="J139" s="4" t="s">
        <v>103</v>
      </c>
      <c r="K139" s="4" t="s">
        <v>718</v>
      </c>
      <c r="L139" s="129">
        <v>42023</v>
      </c>
      <c r="M139" s="50" t="s">
        <v>826</v>
      </c>
      <c r="N139" s="130" t="s">
        <v>185</v>
      </c>
      <c r="O139" s="129">
        <v>42024</v>
      </c>
      <c r="P139" s="124">
        <f t="shared" si="296"/>
        <v>4</v>
      </c>
      <c r="Q139" s="50" t="s">
        <v>719</v>
      </c>
      <c r="R139" s="4" t="s">
        <v>501</v>
      </c>
      <c r="S139" s="4" t="s">
        <v>710</v>
      </c>
      <c r="T139" s="50" t="s">
        <v>1035</v>
      </c>
      <c r="U139" s="132">
        <v>42026</v>
      </c>
      <c r="V139" s="126" t="s">
        <v>186</v>
      </c>
      <c r="W139" s="127">
        <f t="shared" ref="W139" si="308">COUNTBLANK(C139:V139)</f>
        <v>0</v>
      </c>
      <c r="X139" s="127" t="str">
        <f t="shared" ref="X139" si="309">IF(W139=0,"Correcto","Incorrecto")</f>
        <v>Correcto</v>
      </c>
      <c r="Y139" s="34"/>
      <c r="Z139" s="34"/>
      <c r="AA139" s="34"/>
    </row>
    <row r="140" spans="1:27" s="72" customFormat="1" ht="24.75" customHeight="1" x14ac:dyDescent="0.2">
      <c r="A140" s="4">
        <v>131</v>
      </c>
      <c r="B140" s="122" t="s">
        <v>328</v>
      </c>
      <c r="C140" s="123">
        <v>42020</v>
      </c>
      <c r="D140" s="4">
        <v>2</v>
      </c>
      <c r="E140" s="4" t="s">
        <v>93</v>
      </c>
      <c r="F140" s="4" t="s">
        <v>827</v>
      </c>
      <c r="G140" s="4" t="s">
        <v>202</v>
      </c>
      <c r="H140" s="129">
        <v>42020</v>
      </c>
      <c r="I140" s="4" t="s">
        <v>187</v>
      </c>
      <c r="J140" s="4" t="s">
        <v>103</v>
      </c>
      <c r="K140" s="4" t="s">
        <v>720</v>
      </c>
      <c r="L140" s="129">
        <v>42020</v>
      </c>
      <c r="M140" s="50" t="s">
        <v>826</v>
      </c>
      <c r="N140" s="130" t="s">
        <v>185</v>
      </c>
      <c r="O140" s="129">
        <v>42020</v>
      </c>
      <c r="P140" s="124">
        <f t="shared" si="296"/>
        <v>0</v>
      </c>
      <c r="Q140" s="50" t="s">
        <v>721</v>
      </c>
      <c r="R140" s="4" t="s">
        <v>17</v>
      </c>
      <c r="S140" s="4" t="s">
        <v>104</v>
      </c>
      <c r="T140" s="50" t="s">
        <v>722</v>
      </c>
      <c r="U140" s="132">
        <v>42024</v>
      </c>
      <c r="V140" s="126" t="s">
        <v>186</v>
      </c>
      <c r="W140" s="127">
        <f t="shared" ref="W140" si="310">COUNTBLANK(C140:V140)</f>
        <v>0</v>
      </c>
      <c r="X140" s="127" t="str">
        <f t="shared" ref="X140" si="311">IF(W140=0,"Correcto","Incorrecto")</f>
        <v>Correcto</v>
      </c>
      <c r="Y140" s="34"/>
      <c r="Z140" s="34"/>
      <c r="AA140" s="34"/>
    </row>
    <row r="141" spans="1:27" s="72" customFormat="1" ht="24.75" customHeight="1" x14ac:dyDescent="0.2">
      <c r="A141" s="144">
        <v>132</v>
      </c>
      <c r="B141" s="122" t="s">
        <v>329</v>
      </c>
      <c r="C141" s="123">
        <v>42020</v>
      </c>
      <c r="D141" s="4">
        <v>2</v>
      </c>
      <c r="E141" s="4" t="s">
        <v>93</v>
      </c>
      <c r="F141" s="4" t="s">
        <v>825</v>
      </c>
      <c r="G141" s="4" t="s">
        <v>202</v>
      </c>
      <c r="H141" s="129">
        <v>42023</v>
      </c>
      <c r="I141" s="4" t="s">
        <v>187</v>
      </c>
      <c r="J141" s="4" t="s">
        <v>103</v>
      </c>
      <c r="K141" s="4" t="s">
        <v>723</v>
      </c>
      <c r="L141" s="129">
        <v>42023</v>
      </c>
      <c r="M141" s="50" t="s">
        <v>826</v>
      </c>
      <c r="N141" s="130" t="s">
        <v>185</v>
      </c>
      <c r="O141" s="129">
        <v>42025</v>
      </c>
      <c r="P141" s="124">
        <f t="shared" si="296"/>
        <v>5</v>
      </c>
      <c r="Q141" s="50" t="s">
        <v>724</v>
      </c>
      <c r="R141" s="4" t="s">
        <v>17</v>
      </c>
      <c r="S141" s="4" t="s">
        <v>198</v>
      </c>
      <c r="T141" s="50" t="s">
        <v>101</v>
      </c>
      <c r="U141" s="132">
        <v>42027</v>
      </c>
      <c r="V141" s="126" t="s">
        <v>186</v>
      </c>
      <c r="W141" s="127">
        <f t="shared" ref="W141" si="312">COUNTBLANK(C141:V141)</f>
        <v>0</v>
      </c>
      <c r="X141" s="127" t="str">
        <f t="shared" ref="X141" si="313">IF(W141=0,"Correcto","Incorrecto")</f>
        <v>Correcto</v>
      </c>
      <c r="Y141" s="34"/>
      <c r="Z141" s="34"/>
      <c r="AA141" s="34"/>
    </row>
    <row r="142" spans="1:27" s="72" customFormat="1" ht="24.75" customHeight="1" x14ac:dyDescent="0.2">
      <c r="A142" s="144">
        <v>133</v>
      </c>
      <c r="B142" s="122" t="s">
        <v>330</v>
      </c>
      <c r="C142" s="123">
        <v>42020</v>
      </c>
      <c r="D142" s="4">
        <v>2</v>
      </c>
      <c r="E142" s="4" t="s">
        <v>93</v>
      </c>
      <c r="F142" s="4" t="s">
        <v>827</v>
      </c>
      <c r="G142" s="4" t="s">
        <v>202</v>
      </c>
      <c r="H142" s="129">
        <v>42023</v>
      </c>
      <c r="I142" s="4" t="s">
        <v>187</v>
      </c>
      <c r="J142" s="4" t="s">
        <v>103</v>
      </c>
      <c r="K142" s="4" t="s">
        <v>725</v>
      </c>
      <c r="L142" s="129">
        <v>42023</v>
      </c>
      <c r="M142" s="50" t="s">
        <v>826</v>
      </c>
      <c r="N142" s="130" t="s">
        <v>185</v>
      </c>
      <c r="O142" s="129">
        <v>42023</v>
      </c>
      <c r="P142" s="124">
        <f t="shared" si="296"/>
        <v>3</v>
      </c>
      <c r="Q142" s="50" t="s">
        <v>726</v>
      </c>
      <c r="R142" s="4" t="s">
        <v>17</v>
      </c>
      <c r="S142" s="4" t="s">
        <v>104</v>
      </c>
      <c r="T142" s="50" t="s">
        <v>727</v>
      </c>
      <c r="U142" s="132">
        <v>42024</v>
      </c>
      <c r="V142" s="126" t="s">
        <v>186</v>
      </c>
      <c r="W142" s="127">
        <f t="shared" ref="W142" si="314">COUNTBLANK(C142:V142)</f>
        <v>0</v>
      </c>
      <c r="X142" s="127" t="str">
        <f t="shared" ref="X142" si="315">IF(W142=0,"Correcto","Incorrecto")</f>
        <v>Correcto</v>
      </c>
      <c r="Y142" s="34"/>
      <c r="Z142" s="34"/>
      <c r="AA142" s="34"/>
    </row>
    <row r="143" spans="1:27" s="72" customFormat="1" ht="24.75" customHeight="1" x14ac:dyDescent="0.2">
      <c r="A143" s="4">
        <v>134</v>
      </c>
      <c r="B143" s="122" t="s">
        <v>331</v>
      </c>
      <c r="C143" s="123">
        <v>42020</v>
      </c>
      <c r="D143" s="4">
        <v>2</v>
      </c>
      <c r="E143" s="4" t="s">
        <v>93</v>
      </c>
      <c r="F143" s="4" t="s">
        <v>825</v>
      </c>
      <c r="G143" s="4" t="s">
        <v>202</v>
      </c>
      <c r="H143" s="129">
        <v>42023</v>
      </c>
      <c r="I143" s="4" t="s">
        <v>187</v>
      </c>
      <c r="J143" s="4" t="s">
        <v>103</v>
      </c>
      <c r="K143" s="4" t="s">
        <v>730</v>
      </c>
      <c r="L143" s="129">
        <v>42023</v>
      </c>
      <c r="M143" s="50" t="s">
        <v>826</v>
      </c>
      <c r="N143" s="130" t="s">
        <v>185</v>
      </c>
      <c r="O143" s="129">
        <v>42025</v>
      </c>
      <c r="P143" s="124">
        <f t="shared" si="296"/>
        <v>5</v>
      </c>
      <c r="Q143" s="50" t="s">
        <v>731</v>
      </c>
      <c r="R143" s="4" t="s">
        <v>729</v>
      </c>
      <c r="S143" s="4" t="s">
        <v>728</v>
      </c>
      <c r="T143" s="50" t="s">
        <v>1036</v>
      </c>
      <c r="U143" s="132">
        <v>42026</v>
      </c>
      <c r="V143" s="126" t="s">
        <v>186</v>
      </c>
      <c r="W143" s="127">
        <f t="shared" ref="W143" si="316">COUNTBLANK(C143:V143)</f>
        <v>0</v>
      </c>
      <c r="X143" s="127" t="str">
        <f t="shared" ref="X143" si="317">IF(W143=0,"Correcto","Incorrecto")</f>
        <v>Correcto</v>
      </c>
      <c r="Y143" s="34"/>
      <c r="Z143" s="34"/>
      <c r="AA143" s="34"/>
    </row>
    <row r="144" spans="1:27" s="72" customFormat="1" ht="24.75" customHeight="1" x14ac:dyDescent="0.2">
      <c r="A144" s="144">
        <v>135</v>
      </c>
      <c r="B144" s="122" t="s">
        <v>332</v>
      </c>
      <c r="C144" s="123">
        <v>42020</v>
      </c>
      <c r="D144" s="4">
        <v>2</v>
      </c>
      <c r="E144" s="4" t="s">
        <v>93</v>
      </c>
      <c r="F144" s="4" t="s">
        <v>825</v>
      </c>
      <c r="G144" s="4" t="s">
        <v>202</v>
      </c>
      <c r="H144" s="129">
        <v>42023</v>
      </c>
      <c r="I144" s="4" t="s">
        <v>187</v>
      </c>
      <c r="J144" s="4" t="s">
        <v>103</v>
      </c>
      <c r="K144" s="4" t="s">
        <v>732</v>
      </c>
      <c r="L144" s="129">
        <v>42023</v>
      </c>
      <c r="M144" s="50" t="s">
        <v>826</v>
      </c>
      <c r="N144" s="130" t="s">
        <v>185</v>
      </c>
      <c r="O144" s="129">
        <v>42025</v>
      </c>
      <c r="P144" s="124">
        <f t="shared" si="296"/>
        <v>5</v>
      </c>
      <c r="Q144" s="50" t="s">
        <v>733</v>
      </c>
      <c r="R144" s="4" t="s">
        <v>17</v>
      </c>
      <c r="S144" s="4" t="s">
        <v>681</v>
      </c>
      <c r="T144" s="50" t="s">
        <v>101</v>
      </c>
      <c r="U144" s="132">
        <v>42026</v>
      </c>
      <c r="V144" s="126" t="s">
        <v>186</v>
      </c>
      <c r="W144" s="127">
        <f t="shared" ref="W144" si="318">COUNTBLANK(C144:V144)</f>
        <v>0</v>
      </c>
      <c r="X144" s="127" t="str">
        <f t="shared" ref="X144" si="319">IF(W144=0,"Correcto","Incorrecto")</f>
        <v>Correcto</v>
      </c>
      <c r="Y144" s="34"/>
      <c r="Z144" s="34"/>
      <c r="AA144" s="34"/>
    </row>
    <row r="145" spans="1:27" s="72" customFormat="1" ht="24.75" customHeight="1" x14ac:dyDescent="0.2">
      <c r="A145" s="144">
        <v>136</v>
      </c>
      <c r="B145" s="122" t="s">
        <v>333</v>
      </c>
      <c r="C145" s="123">
        <v>42020</v>
      </c>
      <c r="D145" s="4">
        <v>2</v>
      </c>
      <c r="E145" s="4" t="s">
        <v>93</v>
      </c>
      <c r="F145" s="4" t="s">
        <v>825</v>
      </c>
      <c r="G145" s="4" t="s">
        <v>202</v>
      </c>
      <c r="H145" s="129">
        <v>42023</v>
      </c>
      <c r="I145" s="4" t="s">
        <v>187</v>
      </c>
      <c r="J145" s="4" t="s">
        <v>103</v>
      </c>
      <c r="K145" s="4" t="s">
        <v>734</v>
      </c>
      <c r="L145" s="129">
        <v>42023</v>
      </c>
      <c r="M145" s="50" t="s">
        <v>826</v>
      </c>
      <c r="N145" s="130" t="s">
        <v>185</v>
      </c>
      <c r="O145" s="129">
        <v>42026</v>
      </c>
      <c r="P145" s="124">
        <f t="shared" si="296"/>
        <v>6</v>
      </c>
      <c r="Q145" s="50" t="s">
        <v>1037</v>
      </c>
      <c r="R145" s="4" t="s">
        <v>17</v>
      </c>
      <c r="S145" s="4" t="s">
        <v>198</v>
      </c>
      <c r="T145" s="50" t="s">
        <v>101</v>
      </c>
      <c r="U145" s="132">
        <v>42027</v>
      </c>
      <c r="V145" s="126" t="s">
        <v>186</v>
      </c>
      <c r="W145" s="127">
        <f t="shared" ref="W145" si="320">COUNTBLANK(C145:V145)</f>
        <v>0</v>
      </c>
      <c r="X145" s="127" t="str">
        <f t="shared" ref="X145" si="321">IF(W145=0,"Correcto","Incorrecto")</f>
        <v>Correcto</v>
      </c>
      <c r="Y145" s="34"/>
      <c r="Z145" s="34"/>
      <c r="AA145" s="34"/>
    </row>
    <row r="146" spans="1:27" s="72" customFormat="1" ht="24.75" customHeight="1" x14ac:dyDescent="0.2">
      <c r="A146" s="4">
        <v>137</v>
      </c>
      <c r="B146" s="122" t="s">
        <v>1076</v>
      </c>
      <c r="C146" s="123">
        <v>42020</v>
      </c>
      <c r="D146" s="4">
        <v>2</v>
      </c>
      <c r="E146" s="4" t="s">
        <v>93</v>
      </c>
      <c r="F146" s="4" t="s">
        <v>825</v>
      </c>
      <c r="G146" s="4" t="s">
        <v>202</v>
      </c>
      <c r="H146" s="129">
        <v>42023</v>
      </c>
      <c r="I146" s="4" t="s">
        <v>187</v>
      </c>
      <c r="J146" s="4" t="s">
        <v>103</v>
      </c>
      <c r="K146" s="4" t="s">
        <v>1077</v>
      </c>
      <c r="L146" s="129">
        <v>42045</v>
      </c>
      <c r="M146" s="50" t="s">
        <v>1078</v>
      </c>
      <c r="N146" s="130" t="s">
        <v>1079</v>
      </c>
      <c r="O146" s="129">
        <v>42047</v>
      </c>
      <c r="P146" s="124">
        <f t="shared" ref="P146" si="322">O146-C146</f>
        <v>27</v>
      </c>
      <c r="Q146" s="50" t="s">
        <v>1080</v>
      </c>
      <c r="R146" s="4" t="s">
        <v>17</v>
      </c>
      <c r="S146" s="4" t="s">
        <v>198</v>
      </c>
      <c r="T146" s="50" t="s">
        <v>101</v>
      </c>
      <c r="U146" s="132">
        <v>42047</v>
      </c>
      <c r="V146" s="126" t="s">
        <v>186</v>
      </c>
      <c r="W146" s="127">
        <f t="shared" ref="W146" si="323">COUNTBLANK(C146:V146)</f>
        <v>0</v>
      </c>
      <c r="X146" s="127" t="str">
        <f t="shared" ref="X146" si="324">IF(W146=0,"Correcto","Incorrecto")</f>
        <v>Correcto</v>
      </c>
      <c r="Y146" s="34"/>
      <c r="Z146" s="34"/>
      <c r="AA146" s="34"/>
    </row>
    <row r="147" spans="1:27" s="72" customFormat="1" ht="24.75" customHeight="1" x14ac:dyDescent="0.2">
      <c r="A147" s="144">
        <v>138</v>
      </c>
      <c r="B147" s="122" t="s">
        <v>1081</v>
      </c>
      <c r="C147" s="123">
        <v>42020</v>
      </c>
      <c r="D147" s="4">
        <v>2</v>
      </c>
      <c r="E147" s="4" t="s">
        <v>93</v>
      </c>
      <c r="F147" s="4" t="s">
        <v>825</v>
      </c>
      <c r="G147" s="4" t="s">
        <v>202</v>
      </c>
      <c r="H147" s="129">
        <v>42023</v>
      </c>
      <c r="I147" s="4" t="s">
        <v>187</v>
      </c>
      <c r="J147" s="4" t="s">
        <v>103</v>
      </c>
      <c r="K147" s="4" t="s">
        <v>1082</v>
      </c>
      <c r="L147" s="129">
        <v>42045</v>
      </c>
      <c r="M147" s="50" t="s">
        <v>1078</v>
      </c>
      <c r="N147" s="130" t="s">
        <v>1079</v>
      </c>
      <c r="O147" s="129">
        <v>42047</v>
      </c>
      <c r="P147" s="124">
        <f t="shared" ref="P147" si="325">O147-C147</f>
        <v>27</v>
      </c>
      <c r="Q147" s="50" t="s">
        <v>1083</v>
      </c>
      <c r="R147" s="4" t="s">
        <v>17</v>
      </c>
      <c r="S147" s="4" t="s">
        <v>198</v>
      </c>
      <c r="T147" s="50" t="s">
        <v>101</v>
      </c>
      <c r="U147" s="132">
        <v>42047</v>
      </c>
      <c r="V147" s="126" t="s">
        <v>186</v>
      </c>
      <c r="W147" s="127">
        <f t="shared" ref="W147" si="326">COUNTBLANK(C147:V147)</f>
        <v>0</v>
      </c>
      <c r="X147" s="127" t="str">
        <f t="shared" ref="X147" si="327">IF(W147=0,"Correcto","Incorrecto")</f>
        <v>Correcto</v>
      </c>
      <c r="Y147" s="34"/>
      <c r="Z147" s="34"/>
      <c r="AA147" s="34"/>
    </row>
    <row r="148" spans="1:27" s="72" customFormat="1" ht="24.75" customHeight="1" x14ac:dyDescent="0.2">
      <c r="A148" s="144">
        <v>139</v>
      </c>
      <c r="B148" s="122" t="s">
        <v>334</v>
      </c>
      <c r="C148" s="123">
        <v>42020</v>
      </c>
      <c r="D148" s="4">
        <v>2</v>
      </c>
      <c r="E148" s="4" t="s">
        <v>93</v>
      </c>
      <c r="F148" s="4" t="s">
        <v>825</v>
      </c>
      <c r="G148" s="4" t="s">
        <v>202</v>
      </c>
      <c r="H148" s="129">
        <v>42023</v>
      </c>
      <c r="I148" s="4" t="s">
        <v>187</v>
      </c>
      <c r="J148" s="4" t="s">
        <v>103</v>
      </c>
      <c r="K148" s="4" t="s">
        <v>735</v>
      </c>
      <c r="L148" s="129">
        <v>42023</v>
      </c>
      <c r="M148" s="50" t="s">
        <v>826</v>
      </c>
      <c r="N148" s="130" t="s">
        <v>185</v>
      </c>
      <c r="O148" s="129">
        <v>42025</v>
      </c>
      <c r="P148" s="124">
        <f t="shared" si="296"/>
        <v>5</v>
      </c>
      <c r="Q148" s="50" t="s">
        <v>736</v>
      </c>
      <c r="R148" s="4" t="s">
        <v>17</v>
      </c>
      <c r="S148" s="4" t="s">
        <v>192</v>
      </c>
      <c r="T148" s="50" t="s">
        <v>101</v>
      </c>
      <c r="U148" s="132">
        <v>42027</v>
      </c>
      <c r="V148" s="126" t="s">
        <v>186</v>
      </c>
      <c r="W148" s="127">
        <f t="shared" ref="W148" si="328">COUNTBLANK(C148:V148)</f>
        <v>0</v>
      </c>
      <c r="X148" s="127" t="str">
        <f t="shared" ref="X148" si="329">IF(W148=0,"Correcto","Incorrecto")</f>
        <v>Correcto</v>
      </c>
      <c r="Y148" s="34"/>
      <c r="Z148" s="34"/>
      <c r="AA148" s="34"/>
    </row>
    <row r="149" spans="1:27" s="72" customFormat="1" ht="24.75" customHeight="1" x14ac:dyDescent="0.2">
      <c r="A149" s="4">
        <v>140</v>
      </c>
      <c r="B149" s="122" t="s">
        <v>335</v>
      </c>
      <c r="C149" s="123">
        <v>42020</v>
      </c>
      <c r="D149" s="4">
        <v>2</v>
      </c>
      <c r="E149" s="4" t="s">
        <v>93</v>
      </c>
      <c r="F149" s="4" t="s">
        <v>827</v>
      </c>
      <c r="G149" s="4" t="s">
        <v>202</v>
      </c>
      <c r="H149" s="129">
        <v>42023</v>
      </c>
      <c r="I149" s="4" t="s">
        <v>187</v>
      </c>
      <c r="J149" s="4" t="s">
        <v>103</v>
      </c>
      <c r="K149" s="4" t="s">
        <v>737</v>
      </c>
      <c r="L149" s="129">
        <v>42023</v>
      </c>
      <c r="M149" s="50" t="s">
        <v>826</v>
      </c>
      <c r="N149" s="130" t="s">
        <v>185</v>
      </c>
      <c r="O149" s="129">
        <v>42023</v>
      </c>
      <c r="P149" s="124">
        <f t="shared" si="296"/>
        <v>3</v>
      </c>
      <c r="Q149" s="50" t="s">
        <v>738</v>
      </c>
      <c r="R149" s="4" t="s">
        <v>17</v>
      </c>
      <c r="S149" s="4" t="s">
        <v>104</v>
      </c>
      <c r="T149" s="50" t="s">
        <v>739</v>
      </c>
      <c r="U149" s="132">
        <v>42024</v>
      </c>
      <c r="V149" s="126" t="s">
        <v>186</v>
      </c>
      <c r="W149" s="127">
        <f t="shared" ref="W149" si="330">COUNTBLANK(C149:V149)</f>
        <v>0</v>
      </c>
      <c r="X149" s="127" t="str">
        <f t="shared" ref="X149" si="331">IF(W149=0,"Correcto","Incorrecto")</f>
        <v>Correcto</v>
      </c>
      <c r="Y149" s="34"/>
      <c r="Z149" s="34"/>
      <c r="AA149" s="34"/>
    </row>
    <row r="150" spans="1:27" s="72" customFormat="1" ht="24.75" customHeight="1" x14ac:dyDescent="0.2">
      <c r="A150" s="144">
        <v>141</v>
      </c>
      <c r="B150" s="122" t="s">
        <v>336</v>
      </c>
      <c r="C150" s="123">
        <v>42020</v>
      </c>
      <c r="D150" s="4">
        <v>2</v>
      </c>
      <c r="E150" s="4" t="s">
        <v>93</v>
      </c>
      <c r="F150" s="4" t="s">
        <v>825</v>
      </c>
      <c r="G150" s="4" t="s">
        <v>202</v>
      </c>
      <c r="H150" s="129">
        <v>42023</v>
      </c>
      <c r="I150" s="4" t="s">
        <v>187</v>
      </c>
      <c r="J150" s="4" t="s">
        <v>103</v>
      </c>
      <c r="K150" s="4" t="s">
        <v>740</v>
      </c>
      <c r="L150" s="129">
        <v>42023</v>
      </c>
      <c r="M150" s="50" t="s">
        <v>826</v>
      </c>
      <c r="N150" s="130" t="s">
        <v>185</v>
      </c>
      <c r="O150" s="129">
        <v>42025</v>
      </c>
      <c r="P150" s="124">
        <f t="shared" si="296"/>
        <v>5</v>
      </c>
      <c r="Q150" s="50" t="s">
        <v>741</v>
      </c>
      <c r="R150" s="4" t="s">
        <v>17</v>
      </c>
      <c r="S150" s="4" t="s">
        <v>194</v>
      </c>
      <c r="T150" s="50" t="s">
        <v>101</v>
      </c>
      <c r="U150" s="132">
        <v>42027</v>
      </c>
      <c r="V150" s="126" t="s">
        <v>186</v>
      </c>
      <c r="W150" s="127">
        <f t="shared" ref="W150" si="332">COUNTBLANK(C150:V150)</f>
        <v>0</v>
      </c>
      <c r="X150" s="127" t="str">
        <f t="shared" ref="X150" si="333">IF(W150=0,"Correcto","Incorrecto")</f>
        <v>Correcto</v>
      </c>
      <c r="Y150" s="34"/>
      <c r="Z150" s="34"/>
      <c r="AA150" s="34"/>
    </row>
    <row r="151" spans="1:27" s="72" customFormat="1" ht="24.75" customHeight="1" x14ac:dyDescent="0.2">
      <c r="A151" s="144">
        <v>142</v>
      </c>
      <c r="B151" s="122" t="s">
        <v>337</v>
      </c>
      <c r="C151" s="123">
        <v>42020</v>
      </c>
      <c r="D151" s="4">
        <v>17</v>
      </c>
      <c r="E151" s="4" t="s">
        <v>93</v>
      </c>
      <c r="F151" s="4" t="s">
        <v>827</v>
      </c>
      <c r="G151" s="4" t="s">
        <v>202</v>
      </c>
      <c r="H151" s="129">
        <v>42025</v>
      </c>
      <c r="I151" s="4" t="s">
        <v>187</v>
      </c>
      <c r="J151" s="4" t="s">
        <v>103</v>
      </c>
      <c r="K151" s="4" t="s">
        <v>743</v>
      </c>
      <c r="L151" s="129">
        <v>42025</v>
      </c>
      <c r="M151" s="50" t="s">
        <v>826</v>
      </c>
      <c r="N151" s="130" t="s">
        <v>185</v>
      </c>
      <c r="O151" s="129">
        <v>42025</v>
      </c>
      <c r="P151" s="124">
        <f t="shared" si="296"/>
        <v>5</v>
      </c>
      <c r="Q151" s="50" t="s">
        <v>744</v>
      </c>
      <c r="R151" s="4" t="s">
        <v>17</v>
      </c>
      <c r="S151" s="4" t="s">
        <v>742</v>
      </c>
      <c r="T151" s="50" t="s">
        <v>104</v>
      </c>
      <c r="U151" s="132">
        <v>42026</v>
      </c>
      <c r="V151" s="126" t="s">
        <v>186</v>
      </c>
      <c r="W151" s="127">
        <f t="shared" ref="W151" si="334">COUNTBLANK(C151:V151)</f>
        <v>0</v>
      </c>
      <c r="X151" s="127" t="str">
        <f t="shared" ref="X151" si="335">IF(W151=0,"Correcto","Incorrecto")</f>
        <v>Correcto</v>
      </c>
      <c r="Y151" s="34"/>
      <c r="Z151" s="34"/>
      <c r="AA151" s="34"/>
    </row>
    <row r="152" spans="1:27" s="72" customFormat="1" ht="24.75" customHeight="1" x14ac:dyDescent="0.2">
      <c r="A152" s="4">
        <v>143</v>
      </c>
      <c r="B152" s="122" t="s">
        <v>338</v>
      </c>
      <c r="C152" s="123">
        <v>42020</v>
      </c>
      <c r="D152" s="4">
        <v>13</v>
      </c>
      <c r="E152" s="4" t="s">
        <v>93</v>
      </c>
      <c r="F152" s="4" t="s">
        <v>825</v>
      </c>
      <c r="G152" s="4" t="s">
        <v>202</v>
      </c>
      <c r="H152" s="129">
        <v>42023</v>
      </c>
      <c r="I152" s="4" t="s">
        <v>187</v>
      </c>
      <c r="J152" s="4" t="s">
        <v>103</v>
      </c>
      <c r="K152" s="4" t="s">
        <v>745</v>
      </c>
      <c r="L152" s="129">
        <v>42023</v>
      </c>
      <c r="M152" s="50" t="s">
        <v>826</v>
      </c>
      <c r="N152" s="130" t="s">
        <v>185</v>
      </c>
      <c r="O152" s="129">
        <v>42024</v>
      </c>
      <c r="P152" s="124">
        <f t="shared" si="296"/>
        <v>4</v>
      </c>
      <c r="Q152" s="50" t="s">
        <v>746</v>
      </c>
      <c r="R152" s="4" t="s">
        <v>17</v>
      </c>
      <c r="S152" s="4" t="s">
        <v>675</v>
      </c>
      <c r="T152" s="50" t="s">
        <v>101</v>
      </c>
      <c r="U152" s="132">
        <v>42026</v>
      </c>
      <c r="V152" s="126" t="s">
        <v>186</v>
      </c>
      <c r="W152" s="127">
        <f t="shared" ref="W152" si="336">COUNTBLANK(C152:V152)</f>
        <v>0</v>
      </c>
      <c r="X152" s="127" t="str">
        <f t="shared" ref="X152" si="337">IF(W152=0,"Correcto","Incorrecto")</f>
        <v>Correcto</v>
      </c>
      <c r="Y152" s="34"/>
      <c r="Z152" s="34"/>
      <c r="AA152" s="34"/>
    </row>
    <row r="153" spans="1:27" s="72" customFormat="1" ht="24.75" customHeight="1" x14ac:dyDescent="0.2">
      <c r="A153" s="144">
        <v>144</v>
      </c>
      <c r="B153" s="122" t="s">
        <v>339</v>
      </c>
      <c r="C153" s="123">
        <v>42020</v>
      </c>
      <c r="D153" s="4">
        <v>13</v>
      </c>
      <c r="E153" s="4" t="s">
        <v>93</v>
      </c>
      <c r="F153" s="4" t="s">
        <v>825</v>
      </c>
      <c r="G153" s="4" t="s">
        <v>202</v>
      </c>
      <c r="H153" s="129">
        <v>42023</v>
      </c>
      <c r="I153" s="4" t="s">
        <v>187</v>
      </c>
      <c r="J153" s="4" t="s">
        <v>103</v>
      </c>
      <c r="K153" s="4" t="s">
        <v>747</v>
      </c>
      <c r="L153" s="129">
        <v>42023</v>
      </c>
      <c r="M153" s="50" t="s">
        <v>826</v>
      </c>
      <c r="N153" s="130" t="s">
        <v>185</v>
      </c>
      <c r="O153" s="129">
        <v>42025</v>
      </c>
      <c r="P153" s="124">
        <f t="shared" si="296"/>
        <v>5</v>
      </c>
      <c r="Q153" s="50" t="s">
        <v>748</v>
      </c>
      <c r="R153" s="4" t="s">
        <v>17</v>
      </c>
      <c r="S153" s="4" t="s">
        <v>198</v>
      </c>
      <c r="T153" s="50" t="s">
        <v>101</v>
      </c>
      <c r="U153" s="132">
        <v>42026</v>
      </c>
      <c r="V153" s="126" t="s">
        <v>186</v>
      </c>
      <c r="W153" s="127">
        <f t="shared" ref="W153" si="338">COUNTBLANK(C153:V153)</f>
        <v>0</v>
      </c>
      <c r="X153" s="127" t="str">
        <f t="shared" ref="X153" si="339">IF(W153=0,"Correcto","Incorrecto")</f>
        <v>Correcto</v>
      </c>
      <c r="Y153" s="34"/>
      <c r="Z153" s="34"/>
      <c r="AA153" s="34"/>
    </row>
    <row r="154" spans="1:27" s="72" customFormat="1" ht="24.75" customHeight="1" x14ac:dyDescent="0.2">
      <c r="A154" s="144">
        <v>145</v>
      </c>
      <c r="B154" s="122" t="s">
        <v>340</v>
      </c>
      <c r="C154" s="123">
        <v>42020</v>
      </c>
      <c r="D154" s="4">
        <v>2</v>
      </c>
      <c r="E154" s="4" t="s">
        <v>93</v>
      </c>
      <c r="F154" s="4" t="s">
        <v>825</v>
      </c>
      <c r="G154" s="4" t="s">
        <v>202</v>
      </c>
      <c r="H154" s="129">
        <v>42023</v>
      </c>
      <c r="I154" s="4" t="s">
        <v>187</v>
      </c>
      <c r="J154" s="4" t="s">
        <v>103</v>
      </c>
      <c r="K154" s="4" t="s">
        <v>749</v>
      </c>
      <c r="L154" s="129">
        <v>42023</v>
      </c>
      <c r="M154" s="50" t="s">
        <v>826</v>
      </c>
      <c r="N154" s="130" t="s">
        <v>185</v>
      </c>
      <c r="O154" s="129">
        <v>42025</v>
      </c>
      <c r="P154" s="124">
        <f t="shared" si="296"/>
        <v>5</v>
      </c>
      <c r="Q154" s="50" t="s">
        <v>750</v>
      </c>
      <c r="R154" s="4" t="s">
        <v>17</v>
      </c>
      <c r="S154" s="4" t="s">
        <v>191</v>
      </c>
      <c r="T154" s="50" t="s">
        <v>101</v>
      </c>
      <c r="U154" s="132">
        <v>42027</v>
      </c>
      <c r="V154" s="126" t="s">
        <v>186</v>
      </c>
      <c r="W154" s="127">
        <f t="shared" ref="W154" si="340">COUNTBLANK(C154:V154)</f>
        <v>0</v>
      </c>
      <c r="X154" s="127" t="str">
        <f t="shared" ref="X154" si="341">IF(W154=0,"Correcto","Incorrecto")</f>
        <v>Correcto</v>
      </c>
      <c r="Y154" s="34"/>
      <c r="Z154" s="34"/>
      <c r="AA154" s="34"/>
    </row>
    <row r="155" spans="1:27" s="72" customFormat="1" ht="24.75" customHeight="1" x14ac:dyDescent="0.2">
      <c r="A155" s="4">
        <v>146</v>
      </c>
      <c r="B155" s="122" t="s">
        <v>341</v>
      </c>
      <c r="C155" s="123">
        <v>42020</v>
      </c>
      <c r="D155" s="4">
        <v>1</v>
      </c>
      <c r="E155" s="4" t="s">
        <v>94</v>
      </c>
      <c r="F155" s="4" t="s">
        <v>751</v>
      </c>
      <c r="G155" s="4" t="s">
        <v>188</v>
      </c>
      <c r="H155" s="129">
        <v>42023</v>
      </c>
      <c r="I155" s="4" t="s">
        <v>752</v>
      </c>
      <c r="J155" s="4" t="s">
        <v>753</v>
      </c>
      <c r="K155" s="4" t="s">
        <v>826</v>
      </c>
      <c r="L155" s="129">
        <v>42023</v>
      </c>
      <c r="M155" s="50" t="s">
        <v>826</v>
      </c>
      <c r="N155" s="4" t="s">
        <v>188</v>
      </c>
      <c r="O155" s="129">
        <v>42023</v>
      </c>
      <c r="P155" s="124">
        <f t="shared" si="296"/>
        <v>3</v>
      </c>
      <c r="Q155" s="50" t="s">
        <v>948</v>
      </c>
      <c r="R155" s="4" t="s">
        <v>17</v>
      </c>
      <c r="S155" s="4" t="s">
        <v>1025</v>
      </c>
      <c r="T155" s="50" t="s">
        <v>1025</v>
      </c>
      <c r="U155" s="129">
        <v>42023</v>
      </c>
      <c r="V155" s="126" t="s">
        <v>186</v>
      </c>
      <c r="W155" s="127">
        <f t="shared" ref="W155" si="342">COUNTBLANK(C155:V155)</f>
        <v>0</v>
      </c>
      <c r="X155" s="127" t="str">
        <f t="shared" ref="X155" si="343">IF(W155=0,"Correcto","Incorrecto")</f>
        <v>Correcto</v>
      </c>
      <c r="Y155" s="34"/>
      <c r="Z155" s="34"/>
      <c r="AA155" s="34"/>
    </row>
    <row r="156" spans="1:27" s="72" customFormat="1" ht="24.75" customHeight="1" x14ac:dyDescent="0.2">
      <c r="A156" s="144">
        <v>147</v>
      </c>
      <c r="B156" s="122" t="s">
        <v>342</v>
      </c>
      <c r="C156" s="123">
        <v>42020</v>
      </c>
      <c r="D156" s="4">
        <v>2</v>
      </c>
      <c r="E156" s="4" t="s">
        <v>93</v>
      </c>
      <c r="F156" s="4" t="s">
        <v>825</v>
      </c>
      <c r="G156" s="4" t="s">
        <v>202</v>
      </c>
      <c r="H156" s="129">
        <v>42023</v>
      </c>
      <c r="I156" s="4" t="s">
        <v>187</v>
      </c>
      <c r="J156" s="4" t="s">
        <v>103</v>
      </c>
      <c r="K156" s="4" t="s">
        <v>754</v>
      </c>
      <c r="L156" s="129">
        <v>42023</v>
      </c>
      <c r="M156" s="50" t="s">
        <v>826</v>
      </c>
      <c r="N156" s="130" t="s">
        <v>185</v>
      </c>
      <c r="O156" s="129">
        <v>42025</v>
      </c>
      <c r="P156" s="124">
        <f t="shared" si="296"/>
        <v>5</v>
      </c>
      <c r="Q156" s="50" t="s">
        <v>755</v>
      </c>
      <c r="R156" s="4" t="s">
        <v>17</v>
      </c>
      <c r="S156" s="4" t="s">
        <v>681</v>
      </c>
      <c r="T156" s="50" t="s">
        <v>101</v>
      </c>
      <c r="U156" s="132">
        <v>42027</v>
      </c>
      <c r="V156" s="126" t="s">
        <v>186</v>
      </c>
      <c r="W156" s="127">
        <f t="shared" ref="W156" si="344">COUNTBLANK(C156:V156)</f>
        <v>0</v>
      </c>
      <c r="X156" s="127" t="str">
        <f t="shared" ref="X156" si="345">IF(W156=0,"Correcto","Incorrecto")</f>
        <v>Correcto</v>
      </c>
      <c r="Y156" s="34"/>
      <c r="Z156" s="34"/>
      <c r="AA156" s="34"/>
    </row>
    <row r="157" spans="1:27" s="72" customFormat="1" ht="24.75" customHeight="1" x14ac:dyDescent="0.2">
      <c r="A157" s="144">
        <v>148</v>
      </c>
      <c r="B157" s="122" t="s">
        <v>343</v>
      </c>
      <c r="C157" s="123">
        <v>42020</v>
      </c>
      <c r="D157" s="4">
        <v>2</v>
      </c>
      <c r="E157" s="4" t="s">
        <v>93</v>
      </c>
      <c r="F157" s="4" t="s">
        <v>825</v>
      </c>
      <c r="G157" s="4" t="s">
        <v>202</v>
      </c>
      <c r="H157" s="129">
        <v>42023</v>
      </c>
      <c r="I157" s="4" t="s">
        <v>187</v>
      </c>
      <c r="J157" s="4" t="s">
        <v>103</v>
      </c>
      <c r="K157" s="4" t="s">
        <v>756</v>
      </c>
      <c r="L157" s="129">
        <v>42023</v>
      </c>
      <c r="M157" s="50" t="s">
        <v>826</v>
      </c>
      <c r="N157" s="130" t="s">
        <v>185</v>
      </c>
      <c r="O157" s="129">
        <v>42026</v>
      </c>
      <c r="P157" s="124">
        <f t="shared" si="296"/>
        <v>6</v>
      </c>
      <c r="Q157" s="50" t="s">
        <v>757</v>
      </c>
      <c r="R157" s="4" t="s">
        <v>17</v>
      </c>
      <c r="S157" s="4" t="s">
        <v>196</v>
      </c>
      <c r="T157" s="50" t="s">
        <v>101</v>
      </c>
      <c r="U157" s="132">
        <v>42027</v>
      </c>
      <c r="V157" s="126" t="s">
        <v>186</v>
      </c>
      <c r="W157" s="127">
        <f t="shared" ref="W157" si="346">COUNTBLANK(C157:V157)</f>
        <v>0</v>
      </c>
      <c r="X157" s="127" t="str">
        <f t="shared" ref="X157" si="347">IF(W157=0,"Correcto","Incorrecto")</f>
        <v>Correcto</v>
      </c>
      <c r="Y157" s="34"/>
      <c r="Z157" s="34"/>
      <c r="AA157" s="34"/>
    </row>
    <row r="158" spans="1:27" s="72" customFormat="1" ht="24.75" customHeight="1" x14ac:dyDescent="0.2">
      <c r="A158" s="4">
        <v>149</v>
      </c>
      <c r="B158" s="122" t="s">
        <v>344</v>
      </c>
      <c r="C158" s="123">
        <v>42020</v>
      </c>
      <c r="D158" s="4">
        <v>2</v>
      </c>
      <c r="E158" s="4" t="s">
        <v>93</v>
      </c>
      <c r="F158" s="4" t="s">
        <v>825</v>
      </c>
      <c r="G158" s="4" t="s">
        <v>202</v>
      </c>
      <c r="H158" s="129">
        <v>42023</v>
      </c>
      <c r="I158" s="4" t="s">
        <v>187</v>
      </c>
      <c r="J158" s="4" t="s">
        <v>103</v>
      </c>
      <c r="K158" s="4" t="s">
        <v>758</v>
      </c>
      <c r="L158" s="129">
        <v>42023</v>
      </c>
      <c r="M158" s="50" t="s">
        <v>826</v>
      </c>
      <c r="N158" s="130" t="s">
        <v>185</v>
      </c>
      <c r="O158" s="129">
        <v>42025</v>
      </c>
      <c r="P158" s="124">
        <f t="shared" ref="P158" si="348">O158-C158</f>
        <v>5</v>
      </c>
      <c r="Q158" s="50" t="s">
        <v>759</v>
      </c>
      <c r="R158" s="4" t="s">
        <v>17</v>
      </c>
      <c r="S158" s="4" t="s">
        <v>196</v>
      </c>
      <c r="T158" s="50" t="s">
        <v>101</v>
      </c>
      <c r="U158" s="132">
        <v>42027</v>
      </c>
      <c r="V158" s="126" t="s">
        <v>186</v>
      </c>
      <c r="W158" s="127">
        <f t="shared" ref="W158" si="349">COUNTBLANK(C158:V158)</f>
        <v>0</v>
      </c>
      <c r="X158" s="127" t="str">
        <f t="shared" ref="X158" si="350">IF(W158=0,"Correcto","Incorrecto")</f>
        <v>Correcto</v>
      </c>
      <c r="Y158" s="34"/>
      <c r="Z158" s="34"/>
      <c r="AA158" s="34"/>
    </row>
    <row r="159" spans="1:27" s="72" customFormat="1" ht="24.75" customHeight="1" x14ac:dyDescent="0.2">
      <c r="A159" s="144">
        <v>150</v>
      </c>
      <c r="B159" s="122" t="s">
        <v>345</v>
      </c>
      <c r="C159" s="123">
        <v>42020</v>
      </c>
      <c r="D159" s="4">
        <v>2</v>
      </c>
      <c r="E159" s="4" t="s">
        <v>93</v>
      </c>
      <c r="F159" s="4" t="s">
        <v>825</v>
      </c>
      <c r="G159" s="4" t="s">
        <v>202</v>
      </c>
      <c r="H159" s="129">
        <v>42023</v>
      </c>
      <c r="I159" s="4" t="s">
        <v>187</v>
      </c>
      <c r="J159" s="4" t="s">
        <v>103</v>
      </c>
      <c r="K159" s="4" t="s">
        <v>760</v>
      </c>
      <c r="L159" s="129">
        <v>42023</v>
      </c>
      <c r="M159" s="50" t="s">
        <v>826</v>
      </c>
      <c r="N159" s="130" t="s">
        <v>185</v>
      </c>
      <c r="O159" s="129">
        <v>42025</v>
      </c>
      <c r="P159" s="124">
        <f t="shared" ref="P159" si="351">O159-C159</f>
        <v>5</v>
      </c>
      <c r="Q159" s="50" t="s">
        <v>761</v>
      </c>
      <c r="R159" s="4" t="s">
        <v>605</v>
      </c>
      <c r="S159" s="4" t="s">
        <v>201</v>
      </c>
      <c r="T159" s="50" t="s">
        <v>101</v>
      </c>
      <c r="U159" s="132">
        <v>42025</v>
      </c>
      <c r="V159" s="126" t="s">
        <v>186</v>
      </c>
      <c r="W159" s="127">
        <f t="shared" ref="W159" si="352">COUNTBLANK(C159:V159)</f>
        <v>0</v>
      </c>
      <c r="X159" s="127" t="str">
        <f t="shared" ref="X159" si="353">IF(W159=0,"Correcto","Incorrecto")</f>
        <v>Correcto</v>
      </c>
      <c r="Y159" s="34"/>
      <c r="Z159" s="34"/>
      <c r="AA159" s="34"/>
    </row>
    <row r="160" spans="1:27" s="72" customFormat="1" ht="24.75" customHeight="1" x14ac:dyDescent="0.2">
      <c r="A160" s="144">
        <v>151</v>
      </c>
      <c r="B160" s="122" t="s">
        <v>346</v>
      </c>
      <c r="C160" s="123">
        <v>42020</v>
      </c>
      <c r="D160" s="4">
        <v>2</v>
      </c>
      <c r="E160" s="4" t="s">
        <v>93</v>
      </c>
      <c r="F160" s="4" t="s">
        <v>827</v>
      </c>
      <c r="G160" s="4" t="s">
        <v>202</v>
      </c>
      <c r="H160" s="129">
        <v>42023</v>
      </c>
      <c r="I160" s="4" t="s">
        <v>187</v>
      </c>
      <c r="J160" s="4" t="s">
        <v>103</v>
      </c>
      <c r="K160" s="4" t="s">
        <v>762</v>
      </c>
      <c r="L160" s="129">
        <v>42023</v>
      </c>
      <c r="M160" s="50" t="s">
        <v>826</v>
      </c>
      <c r="N160" s="130" t="s">
        <v>185</v>
      </c>
      <c r="O160" s="129">
        <v>42024</v>
      </c>
      <c r="P160" s="124">
        <f t="shared" ref="P160" si="354">O160-C160</f>
        <v>4</v>
      </c>
      <c r="Q160" s="50" t="s">
        <v>763</v>
      </c>
      <c r="R160" s="4" t="s">
        <v>17</v>
      </c>
      <c r="S160" s="4" t="s">
        <v>104</v>
      </c>
      <c r="T160" s="50" t="s">
        <v>764</v>
      </c>
      <c r="U160" s="132">
        <v>42025</v>
      </c>
      <c r="V160" s="126" t="s">
        <v>186</v>
      </c>
      <c r="W160" s="127">
        <f t="shared" ref="W160" si="355">COUNTBLANK(C160:V160)</f>
        <v>0</v>
      </c>
      <c r="X160" s="127" t="str">
        <f t="shared" ref="X160" si="356">IF(W160=0,"Correcto","Incorrecto")</f>
        <v>Correcto</v>
      </c>
      <c r="Y160" s="34"/>
      <c r="Z160" s="34"/>
      <c r="AA160" s="34"/>
    </row>
    <row r="161" spans="1:27" s="72" customFormat="1" ht="24.75" customHeight="1" x14ac:dyDescent="0.2">
      <c r="A161" s="4">
        <v>152</v>
      </c>
      <c r="B161" s="122" t="s">
        <v>347</v>
      </c>
      <c r="C161" s="123">
        <v>42020</v>
      </c>
      <c r="D161" s="4">
        <v>2</v>
      </c>
      <c r="E161" s="4" t="s">
        <v>93</v>
      </c>
      <c r="F161" s="4" t="s">
        <v>827</v>
      </c>
      <c r="G161" s="4" t="s">
        <v>202</v>
      </c>
      <c r="H161" s="129">
        <v>42023</v>
      </c>
      <c r="I161" s="4" t="s">
        <v>187</v>
      </c>
      <c r="J161" s="4" t="s">
        <v>103</v>
      </c>
      <c r="K161" s="4" t="s">
        <v>762</v>
      </c>
      <c r="L161" s="129">
        <v>42023</v>
      </c>
      <c r="M161" s="50" t="s">
        <v>826</v>
      </c>
      <c r="N161" s="130" t="s">
        <v>185</v>
      </c>
      <c r="O161" s="129">
        <v>42024</v>
      </c>
      <c r="P161" s="124">
        <f t="shared" ref="P161" si="357">O161-C161</f>
        <v>4</v>
      </c>
      <c r="Q161" s="50" t="s">
        <v>765</v>
      </c>
      <c r="R161" s="4" t="s">
        <v>17</v>
      </c>
      <c r="S161" s="4" t="s">
        <v>104</v>
      </c>
      <c r="T161" s="50" t="s">
        <v>766</v>
      </c>
      <c r="U161" s="132">
        <v>42025</v>
      </c>
      <c r="V161" s="126" t="s">
        <v>186</v>
      </c>
      <c r="W161" s="127">
        <f t="shared" ref="W161" si="358">COUNTBLANK(C161:V161)</f>
        <v>0</v>
      </c>
      <c r="X161" s="127" t="str">
        <f t="shared" ref="X161" si="359">IF(W161=0,"Correcto","Incorrecto")</f>
        <v>Correcto</v>
      </c>
      <c r="Y161" s="34"/>
      <c r="Z161" s="34"/>
      <c r="AA161" s="34"/>
    </row>
    <row r="162" spans="1:27" s="72" customFormat="1" ht="24.75" customHeight="1" x14ac:dyDescent="0.2">
      <c r="A162" s="144">
        <v>153</v>
      </c>
      <c r="B162" s="122" t="s">
        <v>348</v>
      </c>
      <c r="C162" s="123">
        <v>42023</v>
      </c>
      <c r="D162" s="4">
        <v>2</v>
      </c>
      <c r="E162" s="4" t="s">
        <v>93</v>
      </c>
      <c r="F162" s="4" t="s">
        <v>825</v>
      </c>
      <c r="G162" s="4" t="s">
        <v>202</v>
      </c>
      <c r="H162" s="129">
        <v>42025</v>
      </c>
      <c r="I162" s="4" t="s">
        <v>187</v>
      </c>
      <c r="J162" s="4" t="s">
        <v>103</v>
      </c>
      <c r="K162" s="4" t="s">
        <v>767</v>
      </c>
      <c r="L162" s="129">
        <v>42023</v>
      </c>
      <c r="M162" s="50" t="s">
        <v>826</v>
      </c>
      <c r="N162" s="130" t="s">
        <v>185</v>
      </c>
      <c r="O162" s="129">
        <v>42026</v>
      </c>
      <c r="P162" s="124">
        <f t="shared" ref="P162" si="360">O162-C162</f>
        <v>3</v>
      </c>
      <c r="Q162" s="50" t="s">
        <v>768</v>
      </c>
      <c r="R162" s="4" t="s">
        <v>17</v>
      </c>
      <c r="S162" s="4" t="s">
        <v>197</v>
      </c>
      <c r="T162" s="50" t="s">
        <v>101</v>
      </c>
      <c r="U162" s="132">
        <v>42027</v>
      </c>
      <c r="V162" s="126" t="s">
        <v>186</v>
      </c>
      <c r="W162" s="127">
        <f t="shared" ref="W162" si="361">COUNTBLANK(C162:V162)</f>
        <v>0</v>
      </c>
      <c r="X162" s="127" t="str">
        <f t="shared" ref="X162" si="362">IF(W162=0,"Correcto","Incorrecto")</f>
        <v>Correcto</v>
      </c>
      <c r="Y162" s="34"/>
      <c r="Z162" s="34"/>
      <c r="AA162" s="34"/>
    </row>
    <row r="163" spans="1:27" s="72" customFormat="1" ht="24.75" customHeight="1" x14ac:dyDescent="0.2">
      <c r="A163" s="144">
        <v>154</v>
      </c>
      <c r="B163" s="122" t="s">
        <v>349</v>
      </c>
      <c r="C163" s="123">
        <v>42023</v>
      </c>
      <c r="D163" s="4">
        <v>2</v>
      </c>
      <c r="E163" s="4" t="s">
        <v>93</v>
      </c>
      <c r="F163" s="4" t="s">
        <v>823</v>
      </c>
      <c r="G163" s="4" t="s">
        <v>202</v>
      </c>
      <c r="H163" s="129">
        <v>42024</v>
      </c>
      <c r="I163" s="4" t="s">
        <v>187</v>
      </c>
      <c r="J163" s="4" t="s">
        <v>103</v>
      </c>
      <c r="K163" s="4" t="s">
        <v>769</v>
      </c>
      <c r="L163" s="129">
        <v>42024</v>
      </c>
      <c r="M163" s="50" t="s">
        <v>826</v>
      </c>
      <c r="N163" s="130" t="s">
        <v>185</v>
      </c>
      <c r="O163" s="129">
        <v>42024</v>
      </c>
      <c r="P163" s="124">
        <f t="shared" ref="P163" si="363">O163-C163</f>
        <v>1</v>
      </c>
      <c r="Q163" s="50" t="s">
        <v>890</v>
      </c>
      <c r="R163" s="4" t="s">
        <v>17</v>
      </c>
      <c r="S163" s="4" t="s">
        <v>991</v>
      </c>
      <c r="T163" s="50" t="s">
        <v>957</v>
      </c>
      <c r="U163" s="132">
        <v>42025</v>
      </c>
      <c r="V163" s="126" t="s">
        <v>186</v>
      </c>
      <c r="W163" s="127">
        <f t="shared" ref="W163" si="364">COUNTBLANK(C163:V163)</f>
        <v>0</v>
      </c>
      <c r="X163" s="127" t="str">
        <f t="shared" ref="X163" si="365">IF(W163=0,"Correcto","Incorrecto")</f>
        <v>Correcto</v>
      </c>
      <c r="Y163" s="34"/>
      <c r="Z163" s="34"/>
      <c r="AA163" s="34"/>
    </row>
    <row r="164" spans="1:27" s="72" customFormat="1" ht="24.75" customHeight="1" x14ac:dyDescent="0.2">
      <c r="A164" s="4">
        <v>155</v>
      </c>
      <c r="B164" s="122" t="s">
        <v>350</v>
      </c>
      <c r="C164" s="123">
        <v>42023</v>
      </c>
      <c r="D164" s="4">
        <v>2</v>
      </c>
      <c r="E164" s="4" t="s">
        <v>93</v>
      </c>
      <c r="F164" s="4" t="s">
        <v>823</v>
      </c>
      <c r="G164" s="4" t="s">
        <v>202</v>
      </c>
      <c r="H164" s="129">
        <v>42024</v>
      </c>
      <c r="I164" s="4" t="s">
        <v>187</v>
      </c>
      <c r="J164" s="4" t="s">
        <v>103</v>
      </c>
      <c r="K164" s="4" t="s">
        <v>770</v>
      </c>
      <c r="L164" s="129">
        <v>42024</v>
      </c>
      <c r="M164" s="50" t="s">
        <v>826</v>
      </c>
      <c r="N164" s="130" t="s">
        <v>185</v>
      </c>
      <c r="O164" s="129">
        <v>42024</v>
      </c>
      <c r="P164" s="124">
        <f t="shared" ref="P164" si="366">O164-C164</f>
        <v>1</v>
      </c>
      <c r="Q164" s="50" t="s">
        <v>891</v>
      </c>
      <c r="R164" s="4" t="s">
        <v>17</v>
      </c>
      <c r="S164" s="4" t="s">
        <v>992</v>
      </c>
      <c r="T164" s="50" t="s">
        <v>958</v>
      </c>
      <c r="U164" s="132">
        <v>42025</v>
      </c>
      <c r="V164" s="126" t="s">
        <v>186</v>
      </c>
      <c r="W164" s="127">
        <f t="shared" ref="W164" si="367">COUNTBLANK(C164:V164)</f>
        <v>0</v>
      </c>
      <c r="X164" s="127" t="str">
        <f t="shared" ref="X164" si="368">IF(W164=0,"Correcto","Incorrecto")</f>
        <v>Correcto</v>
      </c>
      <c r="Y164" s="34"/>
      <c r="Z164" s="34"/>
      <c r="AA164" s="34"/>
    </row>
    <row r="165" spans="1:27" s="72" customFormat="1" ht="24.75" customHeight="1" x14ac:dyDescent="0.2">
      <c r="A165" s="144">
        <v>156</v>
      </c>
      <c r="B165" s="122" t="s">
        <v>351</v>
      </c>
      <c r="C165" s="123">
        <v>42023</v>
      </c>
      <c r="D165" s="4">
        <v>2</v>
      </c>
      <c r="E165" s="4" t="s">
        <v>93</v>
      </c>
      <c r="F165" s="4" t="s">
        <v>823</v>
      </c>
      <c r="G165" s="4" t="s">
        <v>202</v>
      </c>
      <c r="H165" s="129">
        <v>42024</v>
      </c>
      <c r="I165" s="4" t="s">
        <v>187</v>
      </c>
      <c r="J165" s="4" t="s">
        <v>103</v>
      </c>
      <c r="K165" s="4" t="s">
        <v>771</v>
      </c>
      <c r="L165" s="129">
        <v>42024</v>
      </c>
      <c r="M165" s="50" t="s">
        <v>826</v>
      </c>
      <c r="N165" s="130" t="s">
        <v>185</v>
      </c>
      <c r="O165" s="129">
        <v>42024</v>
      </c>
      <c r="P165" s="124">
        <f t="shared" ref="P165" si="369">O165-C165</f>
        <v>1</v>
      </c>
      <c r="Q165" s="50" t="s">
        <v>892</v>
      </c>
      <c r="R165" s="4" t="s">
        <v>17</v>
      </c>
      <c r="S165" s="4" t="s">
        <v>993</v>
      </c>
      <c r="T165" s="50" t="s">
        <v>959</v>
      </c>
      <c r="U165" s="132">
        <v>42025</v>
      </c>
      <c r="V165" s="126" t="s">
        <v>186</v>
      </c>
      <c r="W165" s="127">
        <f t="shared" ref="W165" si="370">COUNTBLANK(C165:V165)</f>
        <v>0</v>
      </c>
      <c r="X165" s="127" t="str">
        <f t="shared" ref="X165" si="371">IF(W165=0,"Correcto","Incorrecto")</f>
        <v>Correcto</v>
      </c>
      <c r="Y165" s="34"/>
      <c r="Z165" s="34"/>
      <c r="AA165" s="34"/>
    </row>
    <row r="166" spans="1:27" s="72" customFormat="1" ht="24.75" customHeight="1" x14ac:dyDescent="0.2">
      <c r="A166" s="144">
        <v>157</v>
      </c>
      <c r="B166" s="122" t="s">
        <v>352</v>
      </c>
      <c r="C166" s="123">
        <v>42023</v>
      </c>
      <c r="D166" s="4">
        <v>2</v>
      </c>
      <c r="E166" s="4" t="s">
        <v>93</v>
      </c>
      <c r="F166" s="4" t="s">
        <v>823</v>
      </c>
      <c r="G166" s="4" t="s">
        <v>202</v>
      </c>
      <c r="H166" s="129">
        <v>42024</v>
      </c>
      <c r="I166" s="4" t="s">
        <v>187</v>
      </c>
      <c r="J166" s="4" t="s">
        <v>103</v>
      </c>
      <c r="K166" s="50" t="s">
        <v>893</v>
      </c>
      <c r="L166" s="129">
        <v>42024</v>
      </c>
      <c r="M166" s="50" t="s">
        <v>826</v>
      </c>
      <c r="N166" s="130" t="s">
        <v>185</v>
      </c>
      <c r="O166" s="129">
        <v>42024</v>
      </c>
      <c r="P166" s="124">
        <f t="shared" ref="P166" si="372">O166-C166</f>
        <v>1</v>
      </c>
      <c r="Q166" s="50" t="s">
        <v>893</v>
      </c>
      <c r="R166" s="4" t="s">
        <v>17</v>
      </c>
      <c r="S166" s="4" t="s">
        <v>994</v>
      </c>
      <c r="T166" s="50" t="s">
        <v>104</v>
      </c>
      <c r="U166" s="132">
        <v>42025</v>
      </c>
      <c r="V166" s="126" t="s">
        <v>186</v>
      </c>
      <c r="W166" s="127">
        <f t="shared" ref="W166" si="373">COUNTBLANK(C166:V166)</f>
        <v>0</v>
      </c>
      <c r="X166" s="127" t="str">
        <f t="shared" ref="X166" si="374">IF(W166=0,"Correcto","Incorrecto")</f>
        <v>Correcto</v>
      </c>
      <c r="Y166" s="34"/>
      <c r="Z166" s="34"/>
      <c r="AA166" s="34"/>
    </row>
    <row r="167" spans="1:27" s="72" customFormat="1" ht="24.75" customHeight="1" x14ac:dyDescent="0.2">
      <c r="A167" s="4">
        <v>158</v>
      </c>
      <c r="B167" s="122" t="s">
        <v>353</v>
      </c>
      <c r="C167" s="123">
        <v>42023</v>
      </c>
      <c r="D167" s="4">
        <v>2</v>
      </c>
      <c r="E167" s="4" t="s">
        <v>93</v>
      </c>
      <c r="F167" s="4" t="s">
        <v>823</v>
      </c>
      <c r="G167" s="4" t="s">
        <v>202</v>
      </c>
      <c r="H167" s="129">
        <v>42024</v>
      </c>
      <c r="I167" s="4" t="s">
        <v>187</v>
      </c>
      <c r="J167" s="4" t="s">
        <v>103</v>
      </c>
      <c r="K167" s="4" t="s">
        <v>772</v>
      </c>
      <c r="L167" s="129">
        <v>42024</v>
      </c>
      <c r="M167" s="50" t="s">
        <v>826</v>
      </c>
      <c r="N167" s="130" t="s">
        <v>185</v>
      </c>
      <c r="O167" s="129">
        <v>42024</v>
      </c>
      <c r="P167" s="124">
        <f t="shared" ref="P167" si="375">O167-C167</f>
        <v>1</v>
      </c>
      <c r="Q167" s="50" t="s">
        <v>894</v>
      </c>
      <c r="R167" s="4" t="s">
        <v>17</v>
      </c>
      <c r="S167" s="4" t="s">
        <v>995</v>
      </c>
      <c r="T167" s="50" t="s">
        <v>960</v>
      </c>
      <c r="U167" s="132">
        <v>42025</v>
      </c>
      <c r="V167" s="126" t="s">
        <v>186</v>
      </c>
      <c r="W167" s="127">
        <f t="shared" ref="W167" si="376">COUNTBLANK(C167:V167)</f>
        <v>0</v>
      </c>
      <c r="X167" s="127" t="str">
        <f t="shared" ref="X167" si="377">IF(W167=0,"Correcto","Incorrecto")</f>
        <v>Correcto</v>
      </c>
      <c r="Y167" s="34"/>
      <c r="Z167" s="34"/>
      <c r="AA167" s="34"/>
    </row>
    <row r="168" spans="1:27" s="72" customFormat="1" ht="24.75" customHeight="1" x14ac:dyDescent="0.2">
      <c r="A168" s="144">
        <v>159</v>
      </c>
      <c r="B168" s="122" t="s">
        <v>354</v>
      </c>
      <c r="C168" s="123">
        <v>42023</v>
      </c>
      <c r="D168" s="4">
        <v>2</v>
      </c>
      <c r="E168" s="4" t="s">
        <v>93</v>
      </c>
      <c r="F168" s="4" t="s">
        <v>824</v>
      </c>
      <c r="G168" s="4" t="s">
        <v>202</v>
      </c>
      <c r="H168" s="129">
        <v>42025</v>
      </c>
      <c r="I168" s="4" t="s">
        <v>187</v>
      </c>
      <c r="J168" s="4" t="s">
        <v>103</v>
      </c>
      <c r="K168" s="4" t="s">
        <v>773</v>
      </c>
      <c r="L168" s="129">
        <v>42025</v>
      </c>
      <c r="M168" s="50" t="s">
        <v>826</v>
      </c>
      <c r="N168" s="130" t="s">
        <v>185</v>
      </c>
      <c r="O168" s="129">
        <v>42026</v>
      </c>
      <c r="P168" s="124">
        <f t="shared" ref="P168" si="378">O168-C168</f>
        <v>3</v>
      </c>
      <c r="Q168" s="50" t="s">
        <v>895</v>
      </c>
      <c r="R168" s="4" t="s">
        <v>17</v>
      </c>
      <c r="S168" s="4" t="s">
        <v>101</v>
      </c>
      <c r="T168" s="50" t="s">
        <v>996</v>
      </c>
      <c r="U168" s="132">
        <v>42030</v>
      </c>
      <c r="V168" s="126" t="s">
        <v>186</v>
      </c>
      <c r="W168" s="127">
        <f t="shared" ref="W168" si="379">COUNTBLANK(C168:V168)</f>
        <v>0</v>
      </c>
      <c r="X168" s="127" t="str">
        <f t="shared" ref="X168" si="380">IF(W168=0,"Correcto","Incorrecto")</f>
        <v>Correcto</v>
      </c>
      <c r="Y168" s="34"/>
      <c r="Z168" s="34"/>
      <c r="AA168" s="34"/>
    </row>
    <row r="169" spans="1:27" s="72" customFormat="1" ht="24.75" customHeight="1" x14ac:dyDescent="0.2">
      <c r="A169" s="144">
        <v>160</v>
      </c>
      <c r="B169" s="122" t="s">
        <v>355</v>
      </c>
      <c r="C169" s="123">
        <v>42023</v>
      </c>
      <c r="D169" s="4">
        <v>2</v>
      </c>
      <c r="E169" s="4" t="s">
        <v>93</v>
      </c>
      <c r="F169" s="4" t="s">
        <v>823</v>
      </c>
      <c r="G169" s="4" t="s">
        <v>202</v>
      </c>
      <c r="H169" s="129">
        <v>42024</v>
      </c>
      <c r="I169" s="4" t="s">
        <v>187</v>
      </c>
      <c r="J169" s="4" t="s">
        <v>103</v>
      </c>
      <c r="K169" s="4" t="s">
        <v>774</v>
      </c>
      <c r="L169" s="129">
        <v>42024</v>
      </c>
      <c r="M169" s="50" t="s">
        <v>826</v>
      </c>
      <c r="N169" s="130" t="s">
        <v>185</v>
      </c>
      <c r="O169" s="129">
        <v>42024</v>
      </c>
      <c r="P169" s="124">
        <f t="shared" ref="P169" si="381">O169-C169</f>
        <v>1</v>
      </c>
      <c r="Q169" s="50" t="s">
        <v>896</v>
      </c>
      <c r="R169" s="4" t="s">
        <v>17</v>
      </c>
      <c r="S169" s="4" t="s">
        <v>997</v>
      </c>
      <c r="T169" s="50" t="s">
        <v>961</v>
      </c>
      <c r="U169" s="132">
        <v>42030</v>
      </c>
      <c r="V169" s="126" t="s">
        <v>186</v>
      </c>
      <c r="W169" s="127">
        <f t="shared" ref="W169" si="382">COUNTBLANK(C169:V169)</f>
        <v>0</v>
      </c>
      <c r="X169" s="127" t="str">
        <f t="shared" ref="X169" si="383">IF(W169=0,"Correcto","Incorrecto")</f>
        <v>Correcto</v>
      </c>
      <c r="Y169" s="34"/>
      <c r="Z169" s="34"/>
      <c r="AA169" s="34"/>
    </row>
    <row r="170" spans="1:27" s="72" customFormat="1" ht="24.75" customHeight="1" x14ac:dyDescent="0.2">
      <c r="A170" s="4">
        <v>161</v>
      </c>
      <c r="B170" s="122" t="s">
        <v>356</v>
      </c>
      <c r="C170" s="123">
        <v>42023</v>
      </c>
      <c r="D170" s="4">
        <v>26</v>
      </c>
      <c r="E170" s="4" t="s">
        <v>93</v>
      </c>
      <c r="F170" s="4" t="s">
        <v>823</v>
      </c>
      <c r="G170" s="4" t="s">
        <v>202</v>
      </c>
      <c r="H170" s="129">
        <v>42026</v>
      </c>
      <c r="I170" s="4" t="s">
        <v>187</v>
      </c>
      <c r="J170" s="4" t="s">
        <v>103</v>
      </c>
      <c r="K170" s="4" t="s">
        <v>775</v>
      </c>
      <c r="L170" s="129">
        <v>42026</v>
      </c>
      <c r="M170" s="50" t="s">
        <v>826</v>
      </c>
      <c r="N170" s="130" t="s">
        <v>185</v>
      </c>
      <c r="O170" s="129">
        <v>42026</v>
      </c>
      <c r="P170" s="124">
        <f t="shared" ref="P170" si="384">O170-C170</f>
        <v>3</v>
      </c>
      <c r="Q170" s="50" t="s">
        <v>897</v>
      </c>
      <c r="R170" s="4" t="s">
        <v>17</v>
      </c>
      <c r="S170" s="4" t="s">
        <v>998</v>
      </c>
      <c r="T170" s="50" t="s">
        <v>104</v>
      </c>
      <c r="U170" s="132">
        <v>42030</v>
      </c>
      <c r="V170" s="126" t="s">
        <v>186</v>
      </c>
      <c r="W170" s="127">
        <f t="shared" ref="W170" si="385">COUNTBLANK(C170:V170)</f>
        <v>0</v>
      </c>
      <c r="X170" s="127" t="str">
        <f t="shared" ref="X170" si="386">IF(W170=0,"Correcto","Incorrecto")</f>
        <v>Correcto</v>
      </c>
      <c r="Y170" s="34"/>
      <c r="Z170" s="34"/>
      <c r="AA170" s="34"/>
    </row>
    <row r="171" spans="1:27" s="72" customFormat="1" ht="24.75" customHeight="1" x14ac:dyDescent="0.2">
      <c r="A171" s="144">
        <v>162</v>
      </c>
      <c r="B171" s="122" t="s">
        <v>357</v>
      </c>
      <c r="C171" s="123">
        <v>42024</v>
      </c>
      <c r="D171" s="4">
        <v>2</v>
      </c>
      <c r="E171" s="4" t="s">
        <v>93</v>
      </c>
      <c r="F171" s="4" t="s">
        <v>824</v>
      </c>
      <c r="G171" s="4" t="s">
        <v>202</v>
      </c>
      <c r="H171" s="129">
        <v>42025</v>
      </c>
      <c r="I171" s="4" t="s">
        <v>187</v>
      </c>
      <c r="J171" s="4" t="s">
        <v>103</v>
      </c>
      <c r="K171" s="4" t="s">
        <v>776</v>
      </c>
      <c r="L171" s="129">
        <v>42025</v>
      </c>
      <c r="M171" s="50" t="s">
        <v>826</v>
      </c>
      <c r="N171" s="130" t="s">
        <v>185</v>
      </c>
      <c r="O171" s="129">
        <v>42026</v>
      </c>
      <c r="P171" s="124">
        <f t="shared" ref="P171" si="387">O171-C171</f>
        <v>2</v>
      </c>
      <c r="Q171" s="50" t="s">
        <v>898</v>
      </c>
      <c r="R171" s="4" t="s">
        <v>17</v>
      </c>
      <c r="S171" s="4" t="s">
        <v>101</v>
      </c>
      <c r="T171" s="50" t="s">
        <v>101</v>
      </c>
      <c r="U171" s="132">
        <v>42027</v>
      </c>
      <c r="V171" s="126" t="s">
        <v>186</v>
      </c>
      <c r="W171" s="127">
        <f t="shared" ref="W171" si="388">COUNTBLANK(C171:V171)</f>
        <v>0</v>
      </c>
      <c r="X171" s="127" t="str">
        <f t="shared" ref="X171" si="389">IF(W171=0,"Correcto","Incorrecto")</f>
        <v>Correcto</v>
      </c>
      <c r="Y171" s="34"/>
      <c r="Z171" s="34"/>
      <c r="AA171" s="34"/>
    </row>
    <row r="172" spans="1:27" s="72" customFormat="1" ht="24.75" customHeight="1" x14ac:dyDescent="0.2">
      <c r="A172" s="144">
        <v>163</v>
      </c>
      <c r="B172" s="122" t="s">
        <v>358</v>
      </c>
      <c r="C172" s="123">
        <v>42024</v>
      </c>
      <c r="D172" s="4">
        <v>2</v>
      </c>
      <c r="E172" s="4" t="s">
        <v>93</v>
      </c>
      <c r="F172" s="4" t="s">
        <v>824</v>
      </c>
      <c r="G172" s="4" t="s">
        <v>202</v>
      </c>
      <c r="H172" s="129">
        <v>42025</v>
      </c>
      <c r="I172" s="4" t="s">
        <v>187</v>
      </c>
      <c r="J172" s="4" t="s">
        <v>103</v>
      </c>
      <c r="K172" s="4" t="s">
        <v>777</v>
      </c>
      <c r="L172" s="129">
        <v>42025</v>
      </c>
      <c r="M172" s="50" t="s">
        <v>826</v>
      </c>
      <c r="N172" s="130" t="s">
        <v>185</v>
      </c>
      <c r="O172" s="129">
        <v>42026</v>
      </c>
      <c r="P172" s="124">
        <f t="shared" ref="P172" si="390">O172-C172</f>
        <v>2</v>
      </c>
      <c r="Q172" s="50" t="s">
        <v>899</v>
      </c>
      <c r="R172" s="4" t="s">
        <v>17</v>
      </c>
      <c r="S172" s="4" t="s">
        <v>101</v>
      </c>
      <c r="T172" s="50" t="s">
        <v>953</v>
      </c>
      <c r="U172" s="132">
        <v>42027</v>
      </c>
      <c r="V172" s="126" t="s">
        <v>186</v>
      </c>
      <c r="W172" s="127">
        <f t="shared" ref="W172" si="391">COUNTBLANK(C172:V172)</f>
        <v>0</v>
      </c>
      <c r="X172" s="127" t="str">
        <f t="shared" ref="X172" si="392">IF(W172=0,"Correcto","Incorrecto")</f>
        <v>Correcto</v>
      </c>
      <c r="Y172" s="34"/>
      <c r="Z172" s="34"/>
      <c r="AA172" s="34"/>
    </row>
    <row r="173" spans="1:27" s="72" customFormat="1" ht="24.75" customHeight="1" x14ac:dyDescent="0.2">
      <c r="A173" s="4">
        <v>164</v>
      </c>
      <c r="B173" s="122" t="s">
        <v>359</v>
      </c>
      <c r="C173" s="123">
        <v>42024</v>
      </c>
      <c r="D173" s="4">
        <v>2</v>
      </c>
      <c r="E173" s="4" t="s">
        <v>93</v>
      </c>
      <c r="F173" s="4" t="s">
        <v>823</v>
      </c>
      <c r="G173" s="4" t="s">
        <v>202</v>
      </c>
      <c r="H173" s="129">
        <v>42025</v>
      </c>
      <c r="I173" s="4" t="s">
        <v>187</v>
      </c>
      <c r="J173" s="4" t="s">
        <v>103</v>
      </c>
      <c r="K173" s="4" t="s">
        <v>778</v>
      </c>
      <c r="L173" s="129">
        <v>42025</v>
      </c>
      <c r="M173" s="50" t="s">
        <v>826</v>
      </c>
      <c r="N173" s="130" t="s">
        <v>185</v>
      </c>
      <c r="O173" s="129">
        <v>42026</v>
      </c>
      <c r="P173" s="124">
        <f t="shared" ref="P173" si="393">O173-C173</f>
        <v>2</v>
      </c>
      <c r="Q173" s="50" t="s">
        <v>900</v>
      </c>
      <c r="R173" s="4" t="s">
        <v>17</v>
      </c>
      <c r="S173" s="4" t="s">
        <v>999</v>
      </c>
      <c r="T173" s="50" t="s">
        <v>962</v>
      </c>
      <c r="U173" s="132">
        <v>42030</v>
      </c>
      <c r="V173" s="126" t="s">
        <v>186</v>
      </c>
      <c r="W173" s="127">
        <f t="shared" ref="W173" si="394">COUNTBLANK(C173:V173)</f>
        <v>0</v>
      </c>
      <c r="X173" s="127" t="str">
        <f t="shared" ref="X173" si="395">IF(W173=0,"Correcto","Incorrecto")</f>
        <v>Correcto</v>
      </c>
      <c r="Y173" s="34"/>
      <c r="Z173" s="34"/>
      <c r="AA173" s="34"/>
    </row>
    <row r="174" spans="1:27" s="72" customFormat="1" ht="24.75" customHeight="1" x14ac:dyDescent="0.2">
      <c r="A174" s="144">
        <v>165</v>
      </c>
      <c r="B174" s="122" t="s">
        <v>360</v>
      </c>
      <c r="C174" s="123">
        <v>42024</v>
      </c>
      <c r="D174" s="4">
        <v>2</v>
      </c>
      <c r="E174" s="4" t="s">
        <v>93</v>
      </c>
      <c r="F174" s="4" t="s">
        <v>823</v>
      </c>
      <c r="G174" s="4" t="s">
        <v>202</v>
      </c>
      <c r="H174" s="129">
        <v>42025</v>
      </c>
      <c r="I174" s="4" t="s">
        <v>187</v>
      </c>
      <c r="J174" s="4" t="s">
        <v>103</v>
      </c>
      <c r="K174" s="4" t="s">
        <v>779</v>
      </c>
      <c r="L174" s="129">
        <v>42025</v>
      </c>
      <c r="M174" s="50" t="s">
        <v>826</v>
      </c>
      <c r="N174" s="130" t="s">
        <v>185</v>
      </c>
      <c r="O174" s="129">
        <v>42026</v>
      </c>
      <c r="P174" s="124">
        <f t="shared" ref="P174" si="396">O174-C174</f>
        <v>2</v>
      </c>
      <c r="Q174" s="50" t="s">
        <v>901</v>
      </c>
      <c r="R174" s="4" t="s">
        <v>17</v>
      </c>
      <c r="S174" s="4" t="s">
        <v>1000</v>
      </c>
      <c r="T174" s="50" t="s">
        <v>963</v>
      </c>
      <c r="U174" s="132">
        <v>42030</v>
      </c>
      <c r="V174" s="126" t="s">
        <v>186</v>
      </c>
      <c r="W174" s="127">
        <f t="shared" ref="W174" si="397">COUNTBLANK(C174:V174)</f>
        <v>0</v>
      </c>
      <c r="X174" s="127" t="str">
        <f t="shared" ref="X174" si="398">IF(W174=0,"Correcto","Incorrecto")</f>
        <v>Correcto</v>
      </c>
      <c r="Y174" s="34"/>
      <c r="Z174" s="34"/>
      <c r="AA174" s="34"/>
    </row>
    <row r="175" spans="1:27" s="72" customFormat="1" ht="24.75" customHeight="1" x14ac:dyDescent="0.2">
      <c r="A175" s="144">
        <v>166</v>
      </c>
      <c r="B175" s="122" t="s">
        <v>361</v>
      </c>
      <c r="C175" s="123">
        <v>42025</v>
      </c>
      <c r="D175" s="4">
        <v>2</v>
      </c>
      <c r="E175" s="4" t="s">
        <v>93</v>
      </c>
      <c r="F175" s="4" t="s">
        <v>823</v>
      </c>
      <c r="G175" s="4" t="s">
        <v>202</v>
      </c>
      <c r="H175" s="129">
        <v>42026</v>
      </c>
      <c r="I175" s="4" t="s">
        <v>187</v>
      </c>
      <c r="J175" s="4" t="s">
        <v>103</v>
      </c>
      <c r="K175" s="4" t="s">
        <v>780</v>
      </c>
      <c r="L175" s="129">
        <v>42026</v>
      </c>
      <c r="M175" s="50" t="s">
        <v>826</v>
      </c>
      <c r="N175" s="130" t="s">
        <v>185</v>
      </c>
      <c r="O175" s="129">
        <v>42026</v>
      </c>
      <c r="P175" s="124">
        <f t="shared" ref="P175" si="399">O175-C175</f>
        <v>1</v>
      </c>
      <c r="Q175" s="50" t="s">
        <v>902</v>
      </c>
      <c r="R175" s="4" t="s">
        <v>17</v>
      </c>
      <c r="S175" s="4" t="s">
        <v>1001</v>
      </c>
      <c r="T175" s="50" t="s">
        <v>964</v>
      </c>
      <c r="U175" s="132">
        <v>42030</v>
      </c>
      <c r="V175" s="126" t="s">
        <v>186</v>
      </c>
      <c r="W175" s="127">
        <f t="shared" ref="W175" si="400">COUNTBLANK(C175:V175)</f>
        <v>0</v>
      </c>
      <c r="X175" s="127" t="str">
        <f t="shared" ref="X175" si="401">IF(W175=0,"Correcto","Incorrecto")</f>
        <v>Correcto</v>
      </c>
      <c r="Y175" s="34"/>
      <c r="Z175" s="34"/>
      <c r="AA175" s="34"/>
    </row>
    <row r="176" spans="1:27" s="72" customFormat="1" ht="24.75" customHeight="1" x14ac:dyDescent="0.2">
      <c r="A176" s="4">
        <v>167</v>
      </c>
      <c r="B176" s="122" t="s">
        <v>362</v>
      </c>
      <c r="C176" s="123">
        <v>42025</v>
      </c>
      <c r="D176" s="4">
        <v>2</v>
      </c>
      <c r="E176" s="4" t="s">
        <v>93</v>
      </c>
      <c r="F176" s="4" t="s">
        <v>823</v>
      </c>
      <c r="G176" s="4" t="s">
        <v>202</v>
      </c>
      <c r="H176" s="129">
        <v>42026</v>
      </c>
      <c r="I176" s="4" t="s">
        <v>187</v>
      </c>
      <c r="J176" s="4" t="s">
        <v>103</v>
      </c>
      <c r="K176" s="4" t="s">
        <v>781</v>
      </c>
      <c r="L176" s="129">
        <v>42026</v>
      </c>
      <c r="M176" s="50" t="s">
        <v>826</v>
      </c>
      <c r="N176" s="130" t="s">
        <v>185</v>
      </c>
      <c r="O176" s="129">
        <v>42026</v>
      </c>
      <c r="P176" s="124">
        <f t="shared" ref="P176" si="402">O176-C176</f>
        <v>1</v>
      </c>
      <c r="Q176" s="50" t="s">
        <v>903</v>
      </c>
      <c r="R176" s="4" t="s">
        <v>17</v>
      </c>
      <c r="S176" s="4" t="s">
        <v>1002</v>
      </c>
      <c r="T176" s="50" t="s">
        <v>965</v>
      </c>
      <c r="U176" s="132">
        <v>42030</v>
      </c>
      <c r="V176" s="126" t="s">
        <v>186</v>
      </c>
      <c r="W176" s="127">
        <f t="shared" ref="W176" si="403">COUNTBLANK(C176:V176)</f>
        <v>0</v>
      </c>
      <c r="X176" s="127" t="str">
        <f t="shared" ref="X176" si="404">IF(W176=0,"Correcto","Incorrecto")</f>
        <v>Correcto</v>
      </c>
      <c r="Y176" s="34"/>
      <c r="Z176" s="34"/>
      <c r="AA176" s="34"/>
    </row>
    <row r="177" spans="1:27" s="72" customFormat="1" ht="24.75" customHeight="1" x14ac:dyDescent="0.2">
      <c r="A177" s="144">
        <v>168</v>
      </c>
      <c r="B177" s="122" t="s">
        <v>363</v>
      </c>
      <c r="C177" s="123">
        <v>42025</v>
      </c>
      <c r="D177" s="4">
        <v>2</v>
      </c>
      <c r="E177" s="4" t="s">
        <v>93</v>
      </c>
      <c r="F177" s="4" t="s">
        <v>823</v>
      </c>
      <c r="G177" s="4" t="s">
        <v>202</v>
      </c>
      <c r="H177" s="129">
        <v>42026</v>
      </c>
      <c r="I177" s="4" t="s">
        <v>187</v>
      </c>
      <c r="J177" s="4" t="s">
        <v>103</v>
      </c>
      <c r="K177" s="4" t="s">
        <v>782</v>
      </c>
      <c r="L177" s="129">
        <v>42026</v>
      </c>
      <c r="M177" s="50" t="s">
        <v>826</v>
      </c>
      <c r="N177" s="130" t="s">
        <v>185</v>
      </c>
      <c r="O177" s="129">
        <v>42026</v>
      </c>
      <c r="P177" s="124">
        <f t="shared" ref="P177" si="405">O177-C177</f>
        <v>1</v>
      </c>
      <c r="Q177" s="50" t="s">
        <v>904</v>
      </c>
      <c r="R177" s="4" t="s">
        <v>17</v>
      </c>
      <c r="S177" s="4" t="s">
        <v>1003</v>
      </c>
      <c r="T177" s="50" t="s">
        <v>966</v>
      </c>
      <c r="U177" s="132">
        <v>42030</v>
      </c>
      <c r="V177" s="126" t="s">
        <v>186</v>
      </c>
      <c r="W177" s="127">
        <f t="shared" ref="W177" si="406">COUNTBLANK(C177:V177)</f>
        <v>0</v>
      </c>
      <c r="X177" s="127" t="str">
        <f t="shared" ref="X177" si="407">IF(W177=0,"Correcto","Incorrecto")</f>
        <v>Correcto</v>
      </c>
      <c r="Y177" s="34"/>
      <c r="Z177" s="34"/>
      <c r="AA177" s="34"/>
    </row>
    <row r="178" spans="1:27" s="72" customFormat="1" ht="24.75" customHeight="1" x14ac:dyDescent="0.2">
      <c r="A178" s="144">
        <v>169</v>
      </c>
      <c r="B178" s="122" t="s">
        <v>364</v>
      </c>
      <c r="C178" s="123">
        <v>42025</v>
      </c>
      <c r="D178" s="4">
        <v>2</v>
      </c>
      <c r="E178" s="4" t="s">
        <v>93</v>
      </c>
      <c r="F178" s="4" t="s">
        <v>824</v>
      </c>
      <c r="G178" s="4" t="s">
        <v>202</v>
      </c>
      <c r="H178" s="129">
        <v>42026</v>
      </c>
      <c r="I178" s="4" t="s">
        <v>187</v>
      </c>
      <c r="J178" s="4" t="s">
        <v>103</v>
      </c>
      <c r="K178" s="4" t="s">
        <v>783</v>
      </c>
      <c r="L178" s="129">
        <v>42026</v>
      </c>
      <c r="M178" s="50" t="s">
        <v>826</v>
      </c>
      <c r="N178" s="130" t="s">
        <v>185</v>
      </c>
      <c r="O178" s="129">
        <v>42026</v>
      </c>
      <c r="P178" s="124">
        <f t="shared" ref="P178" si="408">O178-C178</f>
        <v>1</v>
      </c>
      <c r="Q178" s="50" t="s">
        <v>905</v>
      </c>
      <c r="R178" s="4" t="s">
        <v>17</v>
      </c>
      <c r="S178" s="4" t="s">
        <v>101</v>
      </c>
      <c r="T178" s="50" t="s">
        <v>953</v>
      </c>
      <c r="U178" s="132">
        <v>42027</v>
      </c>
      <c r="V178" s="126" t="s">
        <v>186</v>
      </c>
      <c r="W178" s="127">
        <f t="shared" ref="W178" si="409">COUNTBLANK(C178:V178)</f>
        <v>0</v>
      </c>
      <c r="X178" s="127" t="str">
        <f t="shared" ref="X178" si="410">IF(W178=0,"Correcto","Incorrecto")</f>
        <v>Correcto</v>
      </c>
      <c r="Y178" s="34"/>
      <c r="Z178" s="34"/>
      <c r="AA178" s="34"/>
    </row>
    <row r="179" spans="1:27" s="72" customFormat="1" ht="24.75" customHeight="1" x14ac:dyDescent="0.2">
      <c r="A179" s="4">
        <v>170</v>
      </c>
      <c r="B179" s="122" t="s">
        <v>365</v>
      </c>
      <c r="C179" s="123">
        <v>42025</v>
      </c>
      <c r="D179" s="4">
        <v>2</v>
      </c>
      <c r="E179" s="4" t="s">
        <v>93</v>
      </c>
      <c r="F179" s="4" t="s">
        <v>824</v>
      </c>
      <c r="G179" s="4" t="s">
        <v>202</v>
      </c>
      <c r="H179" s="129">
        <v>42026</v>
      </c>
      <c r="I179" s="4" t="s">
        <v>187</v>
      </c>
      <c r="J179" s="4" t="s">
        <v>103</v>
      </c>
      <c r="K179" s="4" t="s">
        <v>784</v>
      </c>
      <c r="L179" s="129">
        <v>42026</v>
      </c>
      <c r="M179" s="50" t="s">
        <v>826</v>
      </c>
      <c r="N179" s="130" t="s">
        <v>185</v>
      </c>
      <c r="O179" s="129">
        <v>42026</v>
      </c>
      <c r="P179" s="124">
        <f t="shared" ref="P179" si="411">O179-C179</f>
        <v>1</v>
      </c>
      <c r="Q179" s="50" t="s">
        <v>906</v>
      </c>
      <c r="R179" s="4" t="s">
        <v>17</v>
      </c>
      <c r="S179" s="4" t="s">
        <v>101</v>
      </c>
      <c r="T179" s="50" t="s">
        <v>953</v>
      </c>
      <c r="U179" s="132">
        <v>42027</v>
      </c>
      <c r="V179" s="126" t="s">
        <v>186</v>
      </c>
      <c r="W179" s="127">
        <f t="shared" ref="W179" si="412">COUNTBLANK(C179:V179)</f>
        <v>0</v>
      </c>
      <c r="X179" s="127" t="str">
        <f t="shared" ref="X179" si="413">IF(W179=0,"Correcto","Incorrecto")</f>
        <v>Correcto</v>
      </c>
      <c r="Y179" s="34"/>
      <c r="Z179" s="34"/>
      <c r="AA179" s="34"/>
    </row>
    <row r="180" spans="1:27" s="72" customFormat="1" ht="24.75" customHeight="1" x14ac:dyDescent="0.2">
      <c r="A180" s="144">
        <v>171</v>
      </c>
      <c r="B180" s="122" t="s">
        <v>366</v>
      </c>
      <c r="C180" s="123">
        <v>42025</v>
      </c>
      <c r="D180" s="4">
        <v>2</v>
      </c>
      <c r="E180" s="4" t="s">
        <v>93</v>
      </c>
      <c r="F180" s="4" t="s">
        <v>823</v>
      </c>
      <c r="G180" s="4" t="s">
        <v>202</v>
      </c>
      <c r="H180" s="129">
        <v>42026</v>
      </c>
      <c r="I180" s="4" t="s">
        <v>187</v>
      </c>
      <c r="J180" s="4" t="s">
        <v>103</v>
      </c>
      <c r="K180" s="4" t="s">
        <v>785</v>
      </c>
      <c r="L180" s="129">
        <v>42026</v>
      </c>
      <c r="M180" s="50" t="s">
        <v>826</v>
      </c>
      <c r="N180" s="130" t="s">
        <v>185</v>
      </c>
      <c r="O180" s="129">
        <v>42026</v>
      </c>
      <c r="P180" s="124">
        <f t="shared" ref="P180" si="414">O180-C180</f>
        <v>1</v>
      </c>
      <c r="Q180" s="50" t="s">
        <v>907</v>
      </c>
      <c r="R180" s="4" t="s">
        <v>17</v>
      </c>
      <c r="S180" s="4" t="s">
        <v>1004</v>
      </c>
      <c r="T180" s="50" t="s">
        <v>104</v>
      </c>
      <c r="U180" s="132">
        <v>42031</v>
      </c>
      <c r="V180" s="126" t="s">
        <v>186</v>
      </c>
      <c r="W180" s="127">
        <f t="shared" ref="W180" si="415">COUNTBLANK(C180:V180)</f>
        <v>0</v>
      </c>
      <c r="X180" s="127" t="str">
        <f t="shared" ref="X180" si="416">IF(W180=0,"Correcto","Incorrecto")</f>
        <v>Correcto</v>
      </c>
      <c r="Y180" s="34"/>
      <c r="Z180" s="34"/>
      <c r="AA180" s="34"/>
    </row>
    <row r="181" spans="1:27" s="72" customFormat="1" ht="24.75" customHeight="1" x14ac:dyDescent="0.2">
      <c r="A181" s="144">
        <v>172</v>
      </c>
      <c r="B181" s="122" t="s">
        <v>367</v>
      </c>
      <c r="C181" s="123">
        <v>42025</v>
      </c>
      <c r="D181" s="4">
        <v>4</v>
      </c>
      <c r="E181" s="4" t="s">
        <v>93</v>
      </c>
      <c r="F181" s="4" t="s">
        <v>824</v>
      </c>
      <c r="G181" s="4" t="s">
        <v>202</v>
      </c>
      <c r="H181" s="129">
        <v>42026</v>
      </c>
      <c r="I181" s="4" t="s">
        <v>187</v>
      </c>
      <c r="J181" s="4" t="s">
        <v>103</v>
      </c>
      <c r="K181" s="4" t="s">
        <v>786</v>
      </c>
      <c r="L181" s="129">
        <v>42026</v>
      </c>
      <c r="M181" s="50" t="s">
        <v>826</v>
      </c>
      <c r="N181" s="130" t="s">
        <v>185</v>
      </c>
      <c r="O181" s="129">
        <v>42026</v>
      </c>
      <c r="P181" s="124">
        <f t="shared" ref="P181" si="417">O181-C181</f>
        <v>1</v>
      </c>
      <c r="Q181" s="50" t="s">
        <v>908</v>
      </c>
      <c r="R181" s="4" t="s">
        <v>17</v>
      </c>
      <c r="S181" s="4" t="s">
        <v>101</v>
      </c>
      <c r="T181" s="50" t="s">
        <v>953</v>
      </c>
      <c r="U181" s="132">
        <v>42027</v>
      </c>
      <c r="V181" s="126" t="s">
        <v>186</v>
      </c>
      <c r="W181" s="127">
        <f t="shared" ref="W181" si="418">COUNTBLANK(C181:V181)</f>
        <v>0</v>
      </c>
      <c r="X181" s="127" t="str">
        <f t="shared" ref="X181" si="419">IF(W181=0,"Correcto","Incorrecto")</f>
        <v>Correcto</v>
      </c>
      <c r="Y181" s="34"/>
      <c r="Z181" s="34"/>
      <c r="AA181" s="34"/>
    </row>
    <row r="182" spans="1:27" s="72" customFormat="1" ht="24.75" customHeight="1" x14ac:dyDescent="0.2">
      <c r="A182" s="4">
        <v>173</v>
      </c>
      <c r="B182" s="122" t="s">
        <v>368</v>
      </c>
      <c r="C182" s="123">
        <v>42025</v>
      </c>
      <c r="D182" s="4">
        <v>2</v>
      </c>
      <c r="E182" s="4" t="s">
        <v>93</v>
      </c>
      <c r="F182" s="4" t="s">
        <v>824</v>
      </c>
      <c r="G182" s="4" t="s">
        <v>202</v>
      </c>
      <c r="H182" s="129">
        <v>42026</v>
      </c>
      <c r="I182" s="4" t="s">
        <v>187</v>
      </c>
      <c r="J182" s="4" t="s">
        <v>103</v>
      </c>
      <c r="K182" s="4" t="s">
        <v>787</v>
      </c>
      <c r="L182" s="129">
        <v>42026</v>
      </c>
      <c r="M182" s="50" t="s">
        <v>826</v>
      </c>
      <c r="N182" s="130" t="s">
        <v>185</v>
      </c>
      <c r="O182" s="129">
        <v>42026</v>
      </c>
      <c r="P182" s="124">
        <f t="shared" ref="P182" si="420">O182-C182</f>
        <v>1</v>
      </c>
      <c r="Q182" s="50" t="s">
        <v>909</v>
      </c>
      <c r="R182" s="4" t="s">
        <v>17</v>
      </c>
      <c r="S182" s="4" t="s">
        <v>101</v>
      </c>
      <c r="T182" s="50" t="s">
        <v>953</v>
      </c>
      <c r="U182" s="132">
        <v>42027</v>
      </c>
      <c r="V182" s="126" t="s">
        <v>186</v>
      </c>
      <c r="W182" s="127">
        <f t="shared" ref="W182" si="421">COUNTBLANK(C182:V182)</f>
        <v>0</v>
      </c>
      <c r="X182" s="127" t="str">
        <f t="shared" ref="X182" si="422">IF(W182=0,"Correcto","Incorrecto")</f>
        <v>Correcto</v>
      </c>
      <c r="Y182" s="34"/>
      <c r="Z182" s="34"/>
      <c r="AA182" s="34"/>
    </row>
    <row r="183" spans="1:27" s="72" customFormat="1" ht="24.75" customHeight="1" x14ac:dyDescent="0.2">
      <c r="A183" s="144">
        <v>174</v>
      </c>
      <c r="B183" s="122" t="s">
        <v>1084</v>
      </c>
      <c r="C183" s="123">
        <v>42025</v>
      </c>
      <c r="D183" s="4">
        <v>2</v>
      </c>
      <c r="E183" s="4" t="s">
        <v>93</v>
      </c>
      <c r="F183" s="4" t="s">
        <v>824</v>
      </c>
      <c r="G183" s="4" t="s">
        <v>202</v>
      </c>
      <c r="H183" s="129">
        <v>42046</v>
      </c>
      <c r="I183" s="4" t="s">
        <v>187</v>
      </c>
      <c r="J183" s="4" t="s">
        <v>103</v>
      </c>
      <c r="K183" s="4" t="s">
        <v>1085</v>
      </c>
      <c r="L183" s="129">
        <v>42046</v>
      </c>
      <c r="M183" s="50" t="s">
        <v>826</v>
      </c>
      <c r="N183" s="130" t="s">
        <v>185</v>
      </c>
      <c r="O183" s="129">
        <v>42047</v>
      </c>
      <c r="P183" s="124">
        <f t="shared" ref="P183" si="423">O183-C183</f>
        <v>22</v>
      </c>
      <c r="Q183" s="50" t="s">
        <v>1086</v>
      </c>
      <c r="R183" s="4" t="s">
        <v>17</v>
      </c>
      <c r="S183" s="4" t="s">
        <v>104</v>
      </c>
      <c r="T183" s="50" t="s">
        <v>104</v>
      </c>
      <c r="U183" s="132">
        <v>42047</v>
      </c>
      <c r="V183" s="126" t="s">
        <v>186</v>
      </c>
      <c r="W183" s="127">
        <f t="shared" ref="W183" si="424">COUNTBLANK(C183:V183)</f>
        <v>0</v>
      </c>
      <c r="X183" s="127" t="str">
        <f t="shared" ref="X183" si="425">IF(W183=0,"Correcto","Incorrecto")</f>
        <v>Correcto</v>
      </c>
      <c r="Y183" s="34"/>
      <c r="Z183" s="34"/>
      <c r="AA183" s="34"/>
    </row>
    <row r="184" spans="1:27" s="72" customFormat="1" ht="24.75" customHeight="1" x14ac:dyDescent="0.2">
      <c r="A184" s="144">
        <v>175</v>
      </c>
      <c r="B184" s="122" t="s">
        <v>369</v>
      </c>
      <c r="C184" s="123">
        <v>42025</v>
      </c>
      <c r="D184" s="4">
        <v>2</v>
      </c>
      <c r="E184" s="4" t="s">
        <v>93</v>
      </c>
      <c r="F184" s="4" t="s">
        <v>824</v>
      </c>
      <c r="G184" s="4" t="s">
        <v>202</v>
      </c>
      <c r="H184" s="129">
        <v>42026</v>
      </c>
      <c r="I184" s="4" t="s">
        <v>187</v>
      </c>
      <c r="J184" s="4" t="s">
        <v>103</v>
      </c>
      <c r="K184" s="4" t="s">
        <v>788</v>
      </c>
      <c r="L184" s="129">
        <v>42026</v>
      </c>
      <c r="M184" s="50" t="s">
        <v>826</v>
      </c>
      <c r="N184" s="130" t="s">
        <v>185</v>
      </c>
      <c r="O184" s="129">
        <v>42026</v>
      </c>
      <c r="P184" s="124">
        <f t="shared" ref="P184" si="426">O184-C184</f>
        <v>1</v>
      </c>
      <c r="Q184" s="50" t="s">
        <v>910</v>
      </c>
      <c r="R184" s="4" t="s">
        <v>17</v>
      </c>
      <c r="S184" s="4" t="s">
        <v>101</v>
      </c>
      <c r="T184" s="50" t="s">
        <v>1005</v>
      </c>
      <c r="U184" s="132">
        <v>42027</v>
      </c>
      <c r="V184" s="126" t="s">
        <v>186</v>
      </c>
      <c r="W184" s="127">
        <f t="shared" ref="W184" si="427">COUNTBLANK(C184:V184)</f>
        <v>0</v>
      </c>
      <c r="X184" s="127" t="str">
        <f t="shared" ref="X184" si="428">IF(W184=0,"Correcto","Incorrecto")</f>
        <v>Correcto</v>
      </c>
      <c r="Y184" s="34"/>
      <c r="Z184" s="34"/>
      <c r="AA184" s="34"/>
    </row>
    <row r="185" spans="1:27" s="72" customFormat="1" ht="24.75" customHeight="1" x14ac:dyDescent="0.2">
      <c r="A185" s="4">
        <v>176</v>
      </c>
      <c r="B185" s="122" t="s">
        <v>370</v>
      </c>
      <c r="C185" s="123">
        <v>42025</v>
      </c>
      <c r="D185" s="4">
        <v>2</v>
      </c>
      <c r="E185" s="4" t="s">
        <v>93</v>
      </c>
      <c r="F185" s="4" t="s">
        <v>824</v>
      </c>
      <c r="G185" s="4" t="s">
        <v>202</v>
      </c>
      <c r="H185" s="129">
        <v>42026</v>
      </c>
      <c r="I185" s="4" t="s">
        <v>187</v>
      </c>
      <c r="J185" s="4" t="s">
        <v>103</v>
      </c>
      <c r="K185" s="4" t="s">
        <v>789</v>
      </c>
      <c r="L185" s="129">
        <v>42026</v>
      </c>
      <c r="M185" s="50" t="s">
        <v>826</v>
      </c>
      <c r="N185" s="130" t="s">
        <v>185</v>
      </c>
      <c r="O185" s="129">
        <v>42026</v>
      </c>
      <c r="P185" s="124">
        <f t="shared" ref="P185" si="429">O185-C185</f>
        <v>1</v>
      </c>
      <c r="Q185" s="50" t="s">
        <v>911</v>
      </c>
      <c r="R185" s="4" t="s">
        <v>17</v>
      </c>
      <c r="S185" s="4" t="s">
        <v>101</v>
      </c>
      <c r="T185" s="50" t="s">
        <v>1006</v>
      </c>
      <c r="U185" s="132">
        <v>42027</v>
      </c>
      <c r="V185" s="126" t="s">
        <v>186</v>
      </c>
      <c r="W185" s="127">
        <f t="shared" ref="W185" si="430">COUNTBLANK(C185:V185)</f>
        <v>0</v>
      </c>
      <c r="X185" s="127" t="str">
        <f t="shared" ref="X185" si="431">IF(W185=0,"Correcto","Incorrecto")</f>
        <v>Correcto</v>
      </c>
      <c r="Y185" s="34"/>
      <c r="Z185" s="34"/>
      <c r="AA185" s="34"/>
    </row>
    <row r="186" spans="1:27" s="72" customFormat="1" ht="24.75" customHeight="1" x14ac:dyDescent="0.2">
      <c r="A186" s="144">
        <v>177</v>
      </c>
      <c r="B186" s="122" t="s">
        <v>371</v>
      </c>
      <c r="C186" s="123">
        <v>42025</v>
      </c>
      <c r="D186" s="4">
        <v>2</v>
      </c>
      <c r="E186" s="4" t="s">
        <v>93</v>
      </c>
      <c r="F186" s="4" t="s">
        <v>824</v>
      </c>
      <c r="G186" s="4" t="s">
        <v>202</v>
      </c>
      <c r="H186" s="129">
        <v>42026</v>
      </c>
      <c r="I186" s="4" t="s">
        <v>187</v>
      </c>
      <c r="J186" s="4" t="s">
        <v>103</v>
      </c>
      <c r="K186" s="4" t="s">
        <v>790</v>
      </c>
      <c r="L186" s="129">
        <v>42026</v>
      </c>
      <c r="M186" s="50" t="s">
        <v>826</v>
      </c>
      <c r="N186" s="130" t="s">
        <v>185</v>
      </c>
      <c r="O186" s="129">
        <v>42026</v>
      </c>
      <c r="P186" s="124">
        <f t="shared" ref="P186" si="432">O186-C186</f>
        <v>1</v>
      </c>
      <c r="Q186" s="50" t="s">
        <v>912</v>
      </c>
      <c r="R186" s="4" t="s">
        <v>17</v>
      </c>
      <c r="S186" s="4" t="s">
        <v>101</v>
      </c>
      <c r="T186" s="50" t="s">
        <v>1006</v>
      </c>
      <c r="U186" s="132">
        <v>42027</v>
      </c>
      <c r="V186" s="126" t="s">
        <v>186</v>
      </c>
      <c r="W186" s="127">
        <f t="shared" ref="W186" si="433">COUNTBLANK(C186:V186)</f>
        <v>0</v>
      </c>
      <c r="X186" s="127" t="str">
        <f t="shared" ref="X186" si="434">IF(W186=0,"Correcto","Incorrecto")</f>
        <v>Correcto</v>
      </c>
      <c r="Y186" s="34"/>
      <c r="Z186" s="34"/>
      <c r="AA186" s="34"/>
    </row>
    <row r="187" spans="1:27" s="72" customFormat="1" ht="24.75" customHeight="1" x14ac:dyDescent="0.2">
      <c r="A187" s="144">
        <v>178</v>
      </c>
      <c r="B187" s="122" t="s">
        <v>372</v>
      </c>
      <c r="C187" s="123">
        <v>42025</v>
      </c>
      <c r="D187" s="4">
        <v>2</v>
      </c>
      <c r="E187" s="4" t="s">
        <v>93</v>
      </c>
      <c r="F187" s="4" t="s">
        <v>824</v>
      </c>
      <c r="G187" s="4" t="s">
        <v>202</v>
      </c>
      <c r="H187" s="129">
        <v>42026</v>
      </c>
      <c r="I187" s="4" t="s">
        <v>187</v>
      </c>
      <c r="J187" s="4" t="s">
        <v>103</v>
      </c>
      <c r="K187" s="4" t="s">
        <v>791</v>
      </c>
      <c r="L187" s="129">
        <v>42026</v>
      </c>
      <c r="M187" s="50" t="s">
        <v>826</v>
      </c>
      <c r="N187" s="130" t="s">
        <v>185</v>
      </c>
      <c r="O187" s="129">
        <v>42026</v>
      </c>
      <c r="P187" s="124">
        <f t="shared" ref="P187" si="435">O187-C187</f>
        <v>1</v>
      </c>
      <c r="Q187" s="50" t="s">
        <v>913</v>
      </c>
      <c r="R187" s="4" t="s">
        <v>17</v>
      </c>
      <c r="S187" s="4" t="s">
        <v>101</v>
      </c>
      <c r="T187" s="50" t="s">
        <v>1007</v>
      </c>
      <c r="U187" s="132">
        <v>42027</v>
      </c>
      <c r="V187" s="126" t="s">
        <v>186</v>
      </c>
      <c r="W187" s="127">
        <f t="shared" ref="W187" si="436">COUNTBLANK(C187:V187)</f>
        <v>0</v>
      </c>
      <c r="X187" s="127" t="str">
        <f t="shared" ref="X187" si="437">IF(W187=0,"Correcto","Incorrecto")</f>
        <v>Correcto</v>
      </c>
      <c r="Y187" s="34"/>
      <c r="Z187" s="34"/>
      <c r="AA187" s="34"/>
    </row>
    <row r="188" spans="1:27" s="72" customFormat="1" ht="24.75" customHeight="1" x14ac:dyDescent="0.2">
      <c r="A188" s="4">
        <v>179</v>
      </c>
      <c r="B188" s="122" t="s">
        <v>373</v>
      </c>
      <c r="C188" s="123">
        <v>42025</v>
      </c>
      <c r="D188" s="4">
        <v>2</v>
      </c>
      <c r="E188" s="4" t="s">
        <v>93</v>
      </c>
      <c r="F188" s="4" t="s">
        <v>824</v>
      </c>
      <c r="G188" s="4" t="s">
        <v>202</v>
      </c>
      <c r="H188" s="129">
        <v>42026</v>
      </c>
      <c r="I188" s="4" t="s">
        <v>187</v>
      </c>
      <c r="J188" s="4" t="s">
        <v>103</v>
      </c>
      <c r="K188" s="4" t="s">
        <v>792</v>
      </c>
      <c r="L188" s="129">
        <v>42026</v>
      </c>
      <c r="M188" s="50" t="s">
        <v>826</v>
      </c>
      <c r="N188" s="130" t="s">
        <v>185</v>
      </c>
      <c r="O188" s="129">
        <v>42026</v>
      </c>
      <c r="P188" s="124">
        <f t="shared" ref="P188" si="438">O188-C188</f>
        <v>1</v>
      </c>
      <c r="Q188" s="50" t="s">
        <v>914</v>
      </c>
      <c r="R188" s="4" t="s">
        <v>1026</v>
      </c>
      <c r="S188" s="4" t="s">
        <v>101</v>
      </c>
      <c r="T188" s="50" t="s">
        <v>1038</v>
      </c>
      <c r="U188" s="132">
        <v>42027</v>
      </c>
      <c r="V188" s="126" t="s">
        <v>186</v>
      </c>
      <c r="W188" s="127">
        <f t="shared" ref="W188" si="439">COUNTBLANK(C188:V188)</f>
        <v>0</v>
      </c>
      <c r="X188" s="127" t="str">
        <f t="shared" ref="X188" si="440">IF(W188=0,"Correcto","Incorrecto")</f>
        <v>Correcto</v>
      </c>
      <c r="Y188" s="34"/>
      <c r="Z188" s="34"/>
      <c r="AA188" s="34"/>
    </row>
    <row r="189" spans="1:27" s="72" customFormat="1" ht="24.75" customHeight="1" x14ac:dyDescent="0.2">
      <c r="A189" s="144">
        <v>180</v>
      </c>
      <c r="B189" s="122" t="s">
        <v>374</v>
      </c>
      <c r="C189" s="123">
        <v>42025</v>
      </c>
      <c r="D189" s="4">
        <v>3</v>
      </c>
      <c r="E189" s="4" t="s">
        <v>93</v>
      </c>
      <c r="F189" s="4" t="s">
        <v>824</v>
      </c>
      <c r="G189" s="4" t="s">
        <v>202</v>
      </c>
      <c r="H189" s="129">
        <v>42026</v>
      </c>
      <c r="I189" s="4" t="s">
        <v>187</v>
      </c>
      <c r="J189" s="4" t="s">
        <v>103</v>
      </c>
      <c r="K189" s="4" t="s">
        <v>793</v>
      </c>
      <c r="L189" s="129">
        <v>42026</v>
      </c>
      <c r="M189" s="50" t="s">
        <v>826</v>
      </c>
      <c r="N189" s="130" t="s">
        <v>185</v>
      </c>
      <c r="O189" s="129">
        <v>42026</v>
      </c>
      <c r="P189" s="124">
        <f t="shared" ref="P189" si="441">O189-C189</f>
        <v>1</v>
      </c>
      <c r="Q189" s="50" t="s">
        <v>915</v>
      </c>
      <c r="R189" s="4" t="s">
        <v>17</v>
      </c>
      <c r="S189" s="4" t="s">
        <v>101</v>
      </c>
      <c r="T189" s="50" t="s">
        <v>1008</v>
      </c>
      <c r="U189" s="132">
        <v>42027</v>
      </c>
      <c r="V189" s="126" t="s">
        <v>186</v>
      </c>
      <c r="W189" s="127">
        <f t="shared" ref="W189" si="442">COUNTBLANK(C189:V189)</f>
        <v>0</v>
      </c>
      <c r="X189" s="127" t="str">
        <f t="shared" ref="X189" si="443">IF(W189=0,"Correcto","Incorrecto")</f>
        <v>Correcto</v>
      </c>
      <c r="Y189" s="34"/>
      <c r="Z189" s="34"/>
      <c r="AA189" s="34"/>
    </row>
    <row r="190" spans="1:27" s="72" customFormat="1" ht="24.75" customHeight="1" x14ac:dyDescent="0.2">
      <c r="A190" s="144">
        <v>181</v>
      </c>
      <c r="B190" s="122" t="s">
        <v>375</v>
      </c>
      <c r="C190" s="123">
        <v>42025</v>
      </c>
      <c r="D190" s="4">
        <v>2</v>
      </c>
      <c r="E190" s="4" t="s">
        <v>93</v>
      </c>
      <c r="F190" s="4" t="s">
        <v>824</v>
      </c>
      <c r="G190" s="4" t="s">
        <v>202</v>
      </c>
      <c r="H190" s="129">
        <v>42026</v>
      </c>
      <c r="I190" s="4" t="s">
        <v>187</v>
      </c>
      <c r="J190" s="4" t="s">
        <v>103</v>
      </c>
      <c r="K190" s="4" t="s">
        <v>794</v>
      </c>
      <c r="L190" s="129">
        <v>42026</v>
      </c>
      <c r="M190" s="50" t="s">
        <v>826</v>
      </c>
      <c r="N190" s="130" t="s">
        <v>185</v>
      </c>
      <c r="O190" s="129">
        <v>42026</v>
      </c>
      <c r="P190" s="124">
        <f t="shared" ref="P190" si="444">O190-C190</f>
        <v>1</v>
      </c>
      <c r="Q190" s="50" t="s">
        <v>916</v>
      </c>
      <c r="R190" s="4" t="s">
        <v>17</v>
      </c>
      <c r="S190" s="4" t="s">
        <v>101</v>
      </c>
      <c r="T190" s="50" t="s">
        <v>1009</v>
      </c>
      <c r="U190" s="132">
        <v>42027</v>
      </c>
      <c r="V190" s="126" t="s">
        <v>186</v>
      </c>
      <c r="W190" s="127">
        <f t="shared" ref="W190" si="445">COUNTBLANK(C190:V190)</f>
        <v>0</v>
      </c>
      <c r="X190" s="127" t="str">
        <f t="shared" ref="X190" si="446">IF(W190=0,"Correcto","Incorrecto")</f>
        <v>Correcto</v>
      </c>
      <c r="Y190" s="34"/>
      <c r="Z190" s="34"/>
      <c r="AA190" s="34"/>
    </row>
    <row r="191" spans="1:27" s="72" customFormat="1" ht="24.75" customHeight="1" x14ac:dyDescent="0.2">
      <c r="A191" s="4">
        <v>182</v>
      </c>
      <c r="B191" s="122" t="s">
        <v>376</v>
      </c>
      <c r="C191" s="123">
        <v>42025</v>
      </c>
      <c r="D191" s="4">
        <v>47</v>
      </c>
      <c r="E191" s="4" t="s">
        <v>93</v>
      </c>
      <c r="F191" s="4" t="s">
        <v>824</v>
      </c>
      <c r="G191" s="4" t="s">
        <v>202</v>
      </c>
      <c r="H191" s="129">
        <v>42026</v>
      </c>
      <c r="I191" s="4" t="s">
        <v>187</v>
      </c>
      <c r="J191" s="4" t="s">
        <v>103</v>
      </c>
      <c r="K191" s="4" t="s">
        <v>795</v>
      </c>
      <c r="L191" s="129">
        <v>42026</v>
      </c>
      <c r="M191" s="50" t="s">
        <v>826</v>
      </c>
      <c r="N191" s="130" t="s">
        <v>185</v>
      </c>
      <c r="O191" s="129">
        <v>42026</v>
      </c>
      <c r="P191" s="124">
        <f t="shared" ref="P191" si="447">O191-C191</f>
        <v>1</v>
      </c>
      <c r="Q191" s="50" t="s">
        <v>917</v>
      </c>
      <c r="R191" s="4" t="s">
        <v>17</v>
      </c>
      <c r="S191" s="4" t="s">
        <v>101</v>
      </c>
      <c r="T191" s="50" t="s">
        <v>1010</v>
      </c>
      <c r="U191" s="132">
        <v>42027</v>
      </c>
      <c r="V191" s="126" t="s">
        <v>186</v>
      </c>
      <c r="W191" s="127">
        <f t="shared" ref="W191" si="448">COUNTBLANK(C191:V191)</f>
        <v>0</v>
      </c>
      <c r="X191" s="127" t="str">
        <f t="shared" ref="X191" si="449">IF(W191=0,"Correcto","Incorrecto")</f>
        <v>Correcto</v>
      </c>
      <c r="Y191" s="34"/>
      <c r="Z191" s="34"/>
      <c r="AA191" s="34"/>
    </row>
    <row r="192" spans="1:27" s="72" customFormat="1" ht="24.75" customHeight="1" x14ac:dyDescent="0.2">
      <c r="A192" s="144">
        <v>183</v>
      </c>
      <c r="B192" s="122" t="s">
        <v>377</v>
      </c>
      <c r="C192" s="123">
        <v>42025</v>
      </c>
      <c r="D192" s="4">
        <v>2</v>
      </c>
      <c r="E192" s="4" t="s">
        <v>93</v>
      </c>
      <c r="F192" s="4" t="s">
        <v>824</v>
      </c>
      <c r="G192" s="4" t="s">
        <v>202</v>
      </c>
      <c r="H192" s="129">
        <v>42026</v>
      </c>
      <c r="I192" s="4" t="s">
        <v>187</v>
      </c>
      <c r="J192" s="4" t="s">
        <v>103</v>
      </c>
      <c r="K192" s="4" t="s">
        <v>796</v>
      </c>
      <c r="L192" s="129">
        <v>42026</v>
      </c>
      <c r="M192" s="50" t="s">
        <v>826</v>
      </c>
      <c r="N192" s="130" t="s">
        <v>185</v>
      </c>
      <c r="O192" s="129">
        <v>42026</v>
      </c>
      <c r="P192" s="124">
        <f t="shared" ref="P192" si="450">O192-C192</f>
        <v>1</v>
      </c>
      <c r="Q192" s="50" t="s">
        <v>918</v>
      </c>
      <c r="R192" s="4" t="s">
        <v>17</v>
      </c>
      <c r="S192" s="4" t="s">
        <v>101</v>
      </c>
      <c r="T192" s="50" t="s">
        <v>1011</v>
      </c>
      <c r="U192" s="132">
        <v>42027</v>
      </c>
      <c r="V192" s="126" t="s">
        <v>186</v>
      </c>
      <c r="W192" s="127">
        <f t="shared" ref="W192" si="451">COUNTBLANK(C192:V192)</f>
        <v>0</v>
      </c>
      <c r="X192" s="127" t="str">
        <f t="shared" ref="X192" si="452">IF(W192=0,"Correcto","Incorrecto")</f>
        <v>Correcto</v>
      </c>
      <c r="Y192" s="34"/>
      <c r="Z192" s="34"/>
      <c r="AA192" s="34"/>
    </row>
    <row r="193" spans="1:27" s="72" customFormat="1" ht="24.75" customHeight="1" x14ac:dyDescent="0.2">
      <c r="A193" s="144">
        <v>184</v>
      </c>
      <c r="B193" s="122" t="s">
        <v>378</v>
      </c>
      <c r="C193" s="123">
        <v>42025</v>
      </c>
      <c r="D193" s="4">
        <v>2</v>
      </c>
      <c r="E193" s="4" t="s">
        <v>93</v>
      </c>
      <c r="F193" s="4" t="s">
        <v>824</v>
      </c>
      <c r="G193" s="4" t="s">
        <v>202</v>
      </c>
      <c r="H193" s="129">
        <v>42026</v>
      </c>
      <c r="I193" s="4" t="s">
        <v>187</v>
      </c>
      <c r="J193" s="4" t="s">
        <v>103</v>
      </c>
      <c r="K193" s="4" t="s">
        <v>797</v>
      </c>
      <c r="L193" s="129">
        <v>42026</v>
      </c>
      <c r="M193" s="50" t="s">
        <v>826</v>
      </c>
      <c r="N193" s="130" t="s">
        <v>185</v>
      </c>
      <c r="O193" s="129">
        <v>42026</v>
      </c>
      <c r="P193" s="124">
        <f t="shared" ref="P193" si="453">O193-C193</f>
        <v>1</v>
      </c>
      <c r="Q193" s="50" t="s">
        <v>919</v>
      </c>
      <c r="R193" s="4" t="s">
        <v>1027</v>
      </c>
      <c r="S193" s="4" t="s">
        <v>101</v>
      </c>
      <c r="T193" s="50" t="s">
        <v>1039</v>
      </c>
      <c r="U193" s="132">
        <v>42027</v>
      </c>
      <c r="V193" s="126" t="s">
        <v>186</v>
      </c>
      <c r="W193" s="127">
        <f t="shared" ref="W193" si="454">COUNTBLANK(C193:V193)</f>
        <v>0</v>
      </c>
      <c r="X193" s="127" t="str">
        <f t="shared" ref="X193" si="455">IF(W193=0,"Correcto","Incorrecto")</f>
        <v>Correcto</v>
      </c>
      <c r="Y193" s="34"/>
      <c r="Z193" s="34"/>
      <c r="AA193" s="34"/>
    </row>
    <row r="194" spans="1:27" s="72" customFormat="1" ht="24.75" customHeight="1" x14ac:dyDescent="0.2">
      <c r="A194" s="4">
        <v>185</v>
      </c>
      <c r="B194" s="122" t="s">
        <v>379</v>
      </c>
      <c r="C194" s="123">
        <v>42025</v>
      </c>
      <c r="D194" s="4">
        <v>2</v>
      </c>
      <c r="E194" s="4" t="s">
        <v>93</v>
      </c>
      <c r="F194" s="4" t="s">
        <v>826</v>
      </c>
      <c r="G194" s="4" t="s">
        <v>202</v>
      </c>
      <c r="H194" s="129">
        <v>42026</v>
      </c>
      <c r="I194" s="4" t="s">
        <v>187</v>
      </c>
      <c r="J194" s="4" t="s">
        <v>944</v>
      </c>
      <c r="K194" s="4" t="s">
        <v>943</v>
      </c>
      <c r="L194" s="129">
        <v>42026</v>
      </c>
      <c r="M194" s="50" t="s">
        <v>826</v>
      </c>
      <c r="N194" s="130" t="s">
        <v>185</v>
      </c>
      <c r="O194" s="129">
        <v>42026</v>
      </c>
      <c r="P194" s="124">
        <f t="shared" ref="P194" si="456">O194-C194</f>
        <v>1</v>
      </c>
      <c r="Q194" s="50" t="s">
        <v>945</v>
      </c>
      <c r="R194" s="4" t="s">
        <v>17</v>
      </c>
      <c r="S194" s="4" t="s">
        <v>101</v>
      </c>
      <c r="T194" s="50" t="s">
        <v>942</v>
      </c>
      <c r="U194" s="132">
        <v>42026</v>
      </c>
      <c r="V194" s="126" t="s">
        <v>186</v>
      </c>
      <c r="W194" s="127">
        <f t="shared" ref="W194" si="457">COUNTBLANK(C194:V194)</f>
        <v>0</v>
      </c>
      <c r="X194" s="127" t="str">
        <f t="shared" ref="X194" si="458">IF(W194=0,"Correcto","Incorrecto")</f>
        <v>Correcto</v>
      </c>
      <c r="Y194" s="34"/>
      <c r="Z194" s="34"/>
      <c r="AA194" s="34"/>
    </row>
    <row r="195" spans="1:27" s="72" customFormat="1" ht="24.75" customHeight="1" x14ac:dyDescent="0.2">
      <c r="A195" s="144">
        <v>186</v>
      </c>
      <c r="B195" s="122" t="s">
        <v>380</v>
      </c>
      <c r="C195" s="123">
        <v>42025</v>
      </c>
      <c r="D195" s="4">
        <v>2</v>
      </c>
      <c r="E195" s="4" t="s">
        <v>93</v>
      </c>
      <c r="F195" s="4" t="s">
        <v>824</v>
      </c>
      <c r="G195" s="4" t="s">
        <v>202</v>
      </c>
      <c r="H195" s="129">
        <v>42026</v>
      </c>
      <c r="I195" s="4" t="s">
        <v>187</v>
      </c>
      <c r="J195" s="4" t="s">
        <v>103</v>
      </c>
      <c r="K195" s="4" t="s">
        <v>798</v>
      </c>
      <c r="L195" s="129">
        <v>42026</v>
      </c>
      <c r="M195" s="50" t="s">
        <v>826</v>
      </c>
      <c r="N195" s="130" t="s">
        <v>185</v>
      </c>
      <c r="O195" s="129">
        <v>42026</v>
      </c>
      <c r="P195" s="124">
        <f t="shared" ref="P195" si="459">O195-C195</f>
        <v>1</v>
      </c>
      <c r="Q195" s="50" t="s">
        <v>920</v>
      </c>
      <c r="R195" s="4" t="s">
        <v>17</v>
      </c>
      <c r="S195" s="4" t="s">
        <v>101</v>
      </c>
      <c r="T195" s="50" t="s">
        <v>1012</v>
      </c>
      <c r="U195" s="132">
        <v>42027</v>
      </c>
      <c r="V195" s="126" t="s">
        <v>186</v>
      </c>
      <c r="W195" s="127">
        <f t="shared" ref="W195" si="460">COUNTBLANK(C195:V195)</f>
        <v>0</v>
      </c>
      <c r="X195" s="127" t="str">
        <f t="shared" ref="X195" si="461">IF(W195=0,"Correcto","Incorrecto")</f>
        <v>Correcto</v>
      </c>
      <c r="Y195" s="34"/>
      <c r="Z195" s="34"/>
      <c r="AA195" s="34"/>
    </row>
    <row r="196" spans="1:27" s="72" customFormat="1" ht="24.75" customHeight="1" x14ac:dyDescent="0.2">
      <c r="A196" s="144">
        <v>187</v>
      </c>
      <c r="B196" s="122" t="s">
        <v>381</v>
      </c>
      <c r="C196" s="123">
        <v>42025</v>
      </c>
      <c r="D196" s="4">
        <v>2</v>
      </c>
      <c r="E196" s="4" t="s">
        <v>93</v>
      </c>
      <c r="F196" s="4" t="s">
        <v>823</v>
      </c>
      <c r="G196" s="4" t="s">
        <v>202</v>
      </c>
      <c r="H196" s="129">
        <v>42026</v>
      </c>
      <c r="I196" s="4" t="s">
        <v>187</v>
      </c>
      <c r="J196" s="4" t="s">
        <v>103</v>
      </c>
      <c r="K196" s="4" t="s">
        <v>799</v>
      </c>
      <c r="L196" s="129">
        <v>42026</v>
      </c>
      <c r="M196" s="50" t="s">
        <v>826</v>
      </c>
      <c r="N196" s="130" t="s">
        <v>185</v>
      </c>
      <c r="O196" s="129">
        <v>42026</v>
      </c>
      <c r="P196" s="124">
        <f t="shared" ref="P196:P197" si="462">O196-C196</f>
        <v>1</v>
      </c>
      <c r="Q196" s="50" t="s">
        <v>921</v>
      </c>
      <c r="R196" s="4" t="s">
        <v>17</v>
      </c>
      <c r="S196" s="4" t="s">
        <v>1013</v>
      </c>
      <c r="T196" s="50" t="s">
        <v>104</v>
      </c>
      <c r="U196" s="132">
        <v>42031</v>
      </c>
      <c r="V196" s="126" t="s">
        <v>186</v>
      </c>
      <c r="W196" s="127">
        <f t="shared" ref="W196:W197" si="463">COUNTBLANK(C196:V196)</f>
        <v>0</v>
      </c>
      <c r="X196" s="127" t="str">
        <f t="shared" ref="X196:X197" si="464">IF(W196=0,"Correcto","Incorrecto")</f>
        <v>Correcto</v>
      </c>
      <c r="Y196" s="34"/>
      <c r="Z196" s="34"/>
      <c r="AA196" s="34"/>
    </row>
    <row r="197" spans="1:27" s="72" customFormat="1" ht="24.75" customHeight="1" x14ac:dyDescent="0.2">
      <c r="A197" s="4">
        <v>188</v>
      </c>
      <c r="B197" s="122" t="s">
        <v>1087</v>
      </c>
      <c r="C197" s="123">
        <v>42025</v>
      </c>
      <c r="D197" s="4">
        <v>2</v>
      </c>
      <c r="E197" s="4" t="s">
        <v>93</v>
      </c>
      <c r="F197" s="4" t="s">
        <v>824</v>
      </c>
      <c r="G197" s="4" t="s">
        <v>202</v>
      </c>
      <c r="H197" s="129">
        <v>42058</v>
      </c>
      <c r="I197" s="4" t="s">
        <v>187</v>
      </c>
      <c r="J197" s="4" t="s">
        <v>103</v>
      </c>
      <c r="K197" s="4" t="s">
        <v>1088</v>
      </c>
      <c r="L197" s="129">
        <v>42058</v>
      </c>
      <c r="M197" s="50" t="s">
        <v>826</v>
      </c>
      <c r="N197" s="130" t="s">
        <v>185</v>
      </c>
      <c r="O197" s="129">
        <v>42060</v>
      </c>
      <c r="P197" s="124">
        <f t="shared" si="462"/>
        <v>35</v>
      </c>
      <c r="Q197" s="50" t="s">
        <v>1089</v>
      </c>
      <c r="R197" s="4" t="s">
        <v>17</v>
      </c>
      <c r="S197" s="4" t="s">
        <v>954</v>
      </c>
      <c r="T197" s="50" t="s">
        <v>1090</v>
      </c>
      <c r="U197" s="132">
        <v>42031</v>
      </c>
      <c r="V197" s="126" t="s">
        <v>186</v>
      </c>
      <c r="W197" s="127">
        <f t="shared" si="463"/>
        <v>0</v>
      </c>
      <c r="X197" s="127" t="str">
        <f t="shared" si="464"/>
        <v>Correcto</v>
      </c>
      <c r="Y197" s="34"/>
      <c r="Z197" s="34"/>
      <c r="AA197" s="34"/>
    </row>
    <row r="198" spans="1:27" s="72" customFormat="1" ht="24.75" customHeight="1" x14ac:dyDescent="0.2">
      <c r="A198" s="144">
        <v>189</v>
      </c>
      <c r="B198" s="122" t="s">
        <v>382</v>
      </c>
      <c r="C198" s="123">
        <v>42025</v>
      </c>
      <c r="D198" s="4">
        <v>2</v>
      </c>
      <c r="E198" s="4" t="s">
        <v>93</v>
      </c>
      <c r="F198" s="4" t="s">
        <v>824</v>
      </c>
      <c r="G198" s="4" t="s">
        <v>202</v>
      </c>
      <c r="H198" s="129">
        <v>42027</v>
      </c>
      <c r="I198" s="4" t="s">
        <v>187</v>
      </c>
      <c r="J198" s="4" t="s">
        <v>103</v>
      </c>
      <c r="K198" s="4" t="s">
        <v>800</v>
      </c>
      <c r="L198" s="129">
        <v>42027</v>
      </c>
      <c r="M198" s="50" t="s">
        <v>826</v>
      </c>
      <c r="N198" s="130" t="s">
        <v>185</v>
      </c>
      <c r="O198" s="129">
        <v>42030</v>
      </c>
      <c r="P198" s="124">
        <f t="shared" ref="P198" si="465">O198-C198</f>
        <v>5</v>
      </c>
      <c r="Q198" s="50" t="s">
        <v>382</v>
      </c>
      <c r="R198" s="4" t="s">
        <v>17</v>
      </c>
      <c r="S198" s="4" t="s">
        <v>954</v>
      </c>
      <c r="T198" s="50" t="s">
        <v>1091</v>
      </c>
      <c r="U198" s="132">
        <v>42031</v>
      </c>
      <c r="V198" s="126" t="s">
        <v>186</v>
      </c>
      <c r="W198" s="127">
        <f t="shared" ref="W198" si="466">COUNTBLANK(C198:V198)</f>
        <v>0</v>
      </c>
      <c r="X198" s="127" t="str">
        <f t="shared" ref="X198" si="467">IF(W198=0,"Correcto","Incorrecto")</f>
        <v>Correcto</v>
      </c>
      <c r="Y198" s="34"/>
      <c r="Z198" s="34"/>
      <c r="AA198" s="34"/>
    </row>
    <row r="199" spans="1:27" s="72" customFormat="1" ht="24.75" customHeight="1" x14ac:dyDescent="0.2">
      <c r="A199" s="144">
        <v>190</v>
      </c>
      <c r="B199" s="122" t="s">
        <v>383</v>
      </c>
      <c r="C199" s="123">
        <v>42025</v>
      </c>
      <c r="D199" s="4">
        <v>2</v>
      </c>
      <c r="E199" s="4" t="s">
        <v>93</v>
      </c>
      <c r="F199" s="4" t="s">
        <v>823</v>
      </c>
      <c r="G199" s="4" t="s">
        <v>202</v>
      </c>
      <c r="H199" s="129">
        <v>42026</v>
      </c>
      <c r="I199" s="4" t="s">
        <v>187</v>
      </c>
      <c r="J199" s="4" t="s">
        <v>103</v>
      </c>
      <c r="K199" s="4" t="s">
        <v>801</v>
      </c>
      <c r="L199" s="129">
        <v>42026</v>
      </c>
      <c r="M199" s="50" t="s">
        <v>826</v>
      </c>
      <c r="N199" s="130" t="s">
        <v>185</v>
      </c>
      <c r="O199" s="129">
        <v>42026</v>
      </c>
      <c r="P199" s="124">
        <f t="shared" ref="P199" si="468">O199-C199</f>
        <v>1</v>
      </c>
      <c r="Q199" s="50" t="s">
        <v>922</v>
      </c>
      <c r="R199" s="4" t="s">
        <v>17</v>
      </c>
      <c r="S199" s="4" t="s">
        <v>1014</v>
      </c>
      <c r="T199" s="50" t="s">
        <v>1092</v>
      </c>
      <c r="U199" s="132">
        <v>42031</v>
      </c>
      <c r="V199" s="126" t="s">
        <v>186</v>
      </c>
      <c r="W199" s="127">
        <f t="shared" ref="W199" si="469">COUNTBLANK(C199:V199)</f>
        <v>0</v>
      </c>
      <c r="X199" s="127" t="str">
        <f t="shared" ref="X199" si="470">IF(W199=0,"Correcto","Incorrecto")</f>
        <v>Correcto</v>
      </c>
      <c r="Y199" s="34"/>
      <c r="Z199" s="34"/>
      <c r="AA199" s="34"/>
    </row>
    <row r="200" spans="1:27" s="72" customFormat="1" ht="24.75" customHeight="1" x14ac:dyDescent="0.2">
      <c r="A200" s="4">
        <v>191</v>
      </c>
      <c r="B200" s="122" t="s">
        <v>384</v>
      </c>
      <c r="C200" s="123">
        <v>42025</v>
      </c>
      <c r="D200" s="4">
        <v>2</v>
      </c>
      <c r="E200" s="4" t="s">
        <v>93</v>
      </c>
      <c r="F200" s="4" t="s">
        <v>824</v>
      </c>
      <c r="G200" s="4" t="s">
        <v>202</v>
      </c>
      <c r="H200" s="129">
        <v>42026</v>
      </c>
      <c r="I200" s="4" t="s">
        <v>187</v>
      </c>
      <c r="J200" s="4" t="s">
        <v>103</v>
      </c>
      <c r="K200" s="4" t="s">
        <v>802</v>
      </c>
      <c r="L200" s="129">
        <v>42026</v>
      </c>
      <c r="M200" s="50" t="s">
        <v>826</v>
      </c>
      <c r="N200" s="130" t="s">
        <v>185</v>
      </c>
      <c r="O200" s="129">
        <v>42027</v>
      </c>
      <c r="P200" s="124">
        <f t="shared" ref="P200" si="471">O200-C200</f>
        <v>2</v>
      </c>
      <c r="Q200" s="50" t="s">
        <v>1040</v>
      </c>
      <c r="R200" s="4" t="s">
        <v>17</v>
      </c>
      <c r="S200" s="4" t="s">
        <v>101</v>
      </c>
      <c r="T200" s="50" t="s">
        <v>101</v>
      </c>
      <c r="U200" s="132">
        <v>42027</v>
      </c>
      <c r="V200" s="126" t="s">
        <v>186</v>
      </c>
      <c r="W200" s="127">
        <f t="shared" ref="W200" si="472">COUNTBLANK(C200:V200)</f>
        <v>0</v>
      </c>
      <c r="X200" s="127" t="str">
        <f t="shared" ref="X200" si="473">IF(W200=0,"Correcto","Incorrecto")</f>
        <v>Correcto</v>
      </c>
      <c r="Y200" s="34"/>
      <c r="Z200" s="34"/>
      <c r="AA200" s="34"/>
    </row>
    <row r="201" spans="1:27" s="72" customFormat="1" ht="24.75" customHeight="1" x14ac:dyDescent="0.2">
      <c r="A201" s="144">
        <v>192</v>
      </c>
      <c r="B201" s="122" t="s">
        <v>385</v>
      </c>
      <c r="C201" s="123">
        <v>42026</v>
      </c>
      <c r="D201" s="4">
        <v>2</v>
      </c>
      <c r="E201" s="4" t="s">
        <v>93</v>
      </c>
      <c r="F201" s="4" t="s">
        <v>823</v>
      </c>
      <c r="G201" s="4" t="s">
        <v>202</v>
      </c>
      <c r="H201" s="129">
        <v>42026</v>
      </c>
      <c r="I201" s="4" t="s">
        <v>187</v>
      </c>
      <c r="J201" s="4" t="s">
        <v>103</v>
      </c>
      <c r="K201" s="4" t="s">
        <v>803</v>
      </c>
      <c r="L201" s="129">
        <v>42026</v>
      </c>
      <c r="M201" s="50" t="s">
        <v>826</v>
      </c>
      <c r="N201" s="130" t="s">
        <v>185</v>
      </c>
      <c r="O201" s="129">
        <v>42026</v>
      </c>
      <c r="P201" s="124">
        <f t="shared" ref="P201" si="474">O201-C201</f>
        <v>0</v>
      </c>
      <c r="Q201" s="50" t="s">
        <v>923</v>
      </c>
      <c r="R201" s="4" t="s">
        <v>17</v>
      </c>
      <c r="S201" s="4" t="s">
        <v>1015</v>
      </c>
      <c r="T201" s="50" t="s">
        <v>104</v>
      </c>
      <c r="U201" s="132">
        <v>42031</v>
      </c>
      <c r="V201" s="126" t="s">
        <v>186</v>
      </c>
      <c r="W201" s="127">
        <f t="shared" ref="W201" si="475">COUNTBLANK(C201:V201)</f>
        <v>0</v>
      </c>
      <c r="X201" s="127" t="str">
        <f t="shared" ref="X201" si="476">IF(W201=0,"Correcto","Incorrecto")</f>
        <v>Correcto</v>
      </c>
      <c r="Y201" s="34"/>
      <c r="Z201" s="34"/>
      <c r="AA201" s="34"/>
    </row>
    <row r="202" spans="1:27" s="72" customFormat="1" ht="24.75" customHeight="1" x14ac:dyDescent="0.2">
      <c r="A202" s="144">
        <v>193</v>
      </c>
      <c r="B202" s="122" t="s">
        <v>386</v>
      </c>
      <c r="C202" s="123">
        <v>42026</v>
      </c>
      <c r="D202" s="4">
        <v>2</v>
      </c>
      <c r="E202" s="4" t="s">
        <v>93</v>
      </c>
      <c r="F202" s="4" t="s">
        <v>823</v>
      </c>
      <c r="G202" s="4" t="s">
        <v>202</v>
      </c>
      <c r="H202" s="129">
        <v>42026</v>
      </c>
      <c r="I202" s="4" t="s">
        <v>187</v>
      </c>
      <c r="J202" s="4" t="s">
        <v>103</v>
      </c>
      <c r="K202" s="4" t="s">
        <v>804</v>
      </c>
      <c r="L202" s="129">
        <v>42026</v>
      </c>
      <c r="M202" s="50" t="s">
        <v>826</v>
      </c>
      <c r="N202" s="130" t="s">
        <v>185</v>
      </c>
      <c r="O202" s="129">
        <v>42026</v>
      </c>
      <c r="P202" s="124">
        <f t="shared" ref="P202" si="477">O202-C202</f>
        <v>0</v>
      </c>
      <c r="Q202" s="50" t="s">
        <v>924</v>
      </c>
      <c r="R202" s="4" t="s">
        <v>17</v>
      </c>
      <c r="S202" s="4" t="s">
        <v>1016</v>
      </c>
      <c r="T202" s="50" t="s">
        <v>104</v>
      </c>
      <c r="U202" s="132">
        <v>42031</v>
      </c>
      <c r="V202" s="126" t="s">
        <v>186</v>
      </c>
      <c r="W202" s="127">
        <f t="shared" ref="W202" si="478">COUNTBLANK(C202:V202)</f>
        <v>0</v>
      </c>
      <c r="X202" s="127" t="str">
        <f t="shared" ref="X202" si="479">IF(W202=0,"Correcto","Incorrecto")</f>
        <v>Correcto</v>
      </c>
      <c r="Y202" s="34"/>
      <c r="Z202" s="34"/>
      <c r="AA202" s="34"/>
    </row>
    <row r="203" spans="1:27" s="72" customFormat="1" ht="24.75" customHeight="1" x14ac:dyDescent="0.2">
      <c r="A203" s="4">
        <v>194</v>
      </c>
      <c r="B203" s="122" t="s">
        <v>387</v>
      </c>
      <c r="C203" s="123">
        <v>42026</v>
      </c>
      <c r="D203" s="4">
        <v>1</v>
      </c>
      <c r="E203" s="4" t="s">
        <v>93</v>
      </c>
      <c r="F203" s="4" t="s">
        <v>946</v>
      </c>
      <c r="G203" s="4" t="s">
        <v>188</v>
      </c>
      <c r="H203" s="129">
        <v>42026</v>
      </c>
      <c r="I203" s="4" t="s">
        <v>752</v>
      </c>
      <c r="J203" s="4" t="s">
        <v>947</v>
      </c>
      <c r="K203" s="4" t="s">
        <v>826</v>
      </c>
      <c r="L203" s="129">
        <v>42026</v>
      </c>
      <c r="M203" s="50" t="s">
        <v>826</v>
      </c>
      <c r="N203" s="130" t="s">
        <v>188</v>
      </c>
      <c r="O203" s="129">
        <v>42039</v>
      </c>
      <c r="P203" s="124">
        <f t="shared" ref="P203" si="480">O203-C203</f>
        <v>13</v>
      </c>
      <c r="Q203" s="50" t="s">
        <v>948</v>
      </c>
      <c r="R203" s="4" t="s">
        <v>17</v>
      </c>
      <c r="S203" s="4" t="s">
        <v>949</v>
      </c>
      <c r="T203" s="50" t="s">
        <v>104</v>
      </c>
      <c r="U203" s="129">
        <v>42039</v>
      </c>
      <c r="V203" s="126" t="s">
        <v>186</v>
      </c>
      <c r="W203" s="127">
        <f t="shared" ref="W203" si="481">COUNTBLANK(C203:V203)</f>
        <v>0</v>
      </c>
      <c r="X203" s="127" t="str">
        <f t="shared" ref="X203" si="482">IF(W203=0,"Correcto","Incorrecto")</f>
        <v>Correcto</v>
      </c>
      <c r="Y203" s="34"/>
      <c r="Z203" s="34"/>
      <c r="AA203" s="34"/>
    </row>
    <row r="204" spans="1:27" s="72" customFormat="1" ht="24.75" customHeight="1" x14ac:dyDescent="0.2">
      <c r="A204" s="144">
        <v>195</v>
      </c>
      <c r="B204" s="122" t="s">
        <v>388</v>
      </c>
      <c r="C204" s="123">
        <v>42026</v>
      </c>
      <c r="D204" s="4">
        <v>2</v>
      </c>
      <c r="E204" s="4" t="s">
        <v>93</v>
      </c>
      <c r="F204" s="4" t="s">
        <v>824</v>
      </c>
      <c r="G204" s="4" t="s">
        <v>202</v>
      </c>
      <c r="H204" s="129">
        <v>42027</v>
      </c>
      <c r="I204" s="4" t="s">
        <v>187</v>
      </c>
      <c r="J204" s="4" t="s">
        <v>103</v>
      </c>
      <c r="K204" s="4" t="s">
        <v>805</v>
      </c>
      <c r="L204" s="129">
        <v>42027</v>
      </c>
      <c r="M204" s="50" t="s">
        <v>826</v>
      </c>
      <c r="N204" s="130" t="s">
        <v>185</v>
      </c>
      <c r="O204" s="129">
        <v>42030</v>
      </c>
      <c r="P204" s="124">
        <f t="shared" ref="P204" si="483">O204-C204</f>
        <v>4</v>
      </c>
      <c r="Q204" s="50" t="s">
        <v>925</v>
      </c>
      <c r="R204" s="4" t="s">
        <v>17</v>
      </c>
      <c r="S204" s="4" t="s">
        <v>101</v>
      </c>
      <c r="T204" s="50" t="s">
        <v>996</v>
      </c>
      <c r="U204" s="132">
        <v>42031</v>
      </c>
      <c r="V204" s="126" t="s">
        <v>186</v>
      </c>
      <c r="W204" s="127">
        <f t="shared" ref="W204" si="484">COUNTBLANK(C204:V204)</f>
        <v>0</v>
      </c>
      <c r="X204" s="127" t="str">
        <f t="shared" ref="X204" si="485">IF(W204=0,"Correcto","Incorrecto")</f>
        <v>Correcto</v>
      </c>
      <c r="Y204" s="34"/>
      <c r="Z204" s="34"/>
      <c r="AA204" s="34"/>
    </row>
    <row r="205" spans="1:27" s="72" customFormat="1" ht="24.75" customHeight="1" x14ac:dyDescent="0.2">
      <c r="A205" s="144">
        <v>196</v>
      </c>
      <c r="B205" s="122" t="s">
        <v>389</v>
      </c>
      <c r="C205" s="123">
        <v>42026</v>
      </c>
      <c r="D205" s="4">
        <v>2</v>
      </c>
      <c r="E205" s="4" t="s">
        <v>93</v>
      </c>
      <c r="F205" s="4" t="s">
        <v>824</v>
      </c>
      <c r="G205" s="4" t="s">
        <v>202</v>
      </c>
      <c r="H205" s="129">
        <v>42027</v>
      </c>
      <c r="I205" s="4" t="s">
        <v>187</v>
      </c>
      <c r="J205" s="4" t="s">
        <v>103</v>
      </c>
      <c r="K205" s="4" t="s">
        <v>806</v>
      </c>
      <c r="L205" s="129">
        <v>42027</v>
      </c>
      <c r="M205" s="50" t="s">
        <v>826</v>
      </c>
      <c r="N205" s="130" t="s">
        <v>185</v>
      </c>
      <c r="O205" s="129">
        <v>42030</v>
      </c>
      <c r="P205" s="124">
        <f t="shared" ref="P205" si="486">O205-C205</f>
        <v>4</v>
      </c>
      <c r="Q205" s="50" t="s">
        <v>926</v>
      </c>
      <c r="R205" s="4" t="s">
        <v>17</v>
      </c>
      <c r="S205" s="4" t="s">
        <v>101</v>
      </c>
      <c r="T205" s="50" t="s">
        <v>1017</v>
      </c>
      <c r="U205" s="132">
        <v>42031</v>
      </c>
      <c r="V205" s="126" t="s">
        <v>186</v>
      </c>
      <c r="W205" s="127">
        <f t="shared" ref="W205" si="487">COUNTBLANK(C205:V205)</f>
        <v>0</v>
      </c>
      <c r="X205" s="127" t="str">
        <f t="shared" ref="X205" si="488">IF(W205=0,"Correcto","Incorrecto")</f>
        <v>Correcto</v>
      </c>
      <c r="Y205" s="34"/>
      <c r="Z205" s="34"/>
      <c r="AA205" s="34"/>
    </row>
    <row r="206" spans="1:27" s="72" customFormat="1" ht="24.75" customHeight="1" x14ac:dyDescent="0.2">
      <c r="A206" s="4">
        <v>197</v>
      </c>
      <c r="B206" s="122" t="s">
        <v>390</v>
      </c>
      <c r="C206" s="123">
        <v>42026</v>
      </c>
      <c r="D206" s="4">
        <v>2</v>
      </c>
      <c r="E206" s="4" t="s">
        <v>93</v>
      </c>
      <c r="F206" s="4" t="s">
        <v>824</v>
      </c>
      <c r="G206" s="4" t="s">
        <v>202</v>
      </c>
      <c r="H206" s="129">
        <v>42027</v>
      </c>
      <c r="I206" s="4" t="s">
        <v>187</v>
      </c>
      <c r="J206" s="4" t="s">
        <v>103</v>
      </c>
      <c r="K206" s="4" t="s">
        <v>807</v>
      </c>
      <c r="L206" s="129">
        <v>42027</v>
      </c>
      <c r="M206" s="50" t="s">
        <v>826</v>
      </c>
      <c r="N206" s="130" t="s">
        <v>185</v>
      </c>
      <c r="O206" s="129">
        <v>42030</v>
      </c>
      <c r="P206" s="124">
        <f t="shared" ref="P206" si="489">O206-C206</f>
        <v>4</v>
      </c>
      <c r="Q206" s="50" t="s">
        <v>927</v>
      </c>
      <c r="R206" s="4" t="s">
        <v>17</v>
      </c>
      <c r="S206" s="4" t="s">
        <v>101</v>
      </c>
      <c r="T206" s="50" t="s">
        <v>1017</v>
      </c>
      <c r="U206" s="132">
        <v>42031</v>
      </c>
      <c r="V206" s="126" t="s">
        <v>186</v>
      </c>
      <c r="W206" s="127">
        <f t="shared" ref="W206" si="490">COUNTBLANK(C206:V206)</f>
        <v>0</v>
      </c>
      <c r="X206" s="127" t="str">
        <f t="shared" ref="X206" si="491">IF(W206=0,"Correcto","Incorrecto")</f>
        <v>Correcto</v>
      </c>
      <c r="Y206" s="34"/>
      <c r="Z206" s="34"/>
      <c r="AA206" s="34"/>
    </row>
    <row r="207" spans="1:27" s="72" customFormat="1" ht="24.75" customHeight="1" x14ac:dyDescent="0.2">
      <c r="A207" s="144">
        <v>198</v>
      </c>
      <c r="B207" s="122" t="s">
        <v>391</v>
      </c>
      <c r="C207" s="123">
        <v>42026</v>
      </c>
      <c r="D207" s="4">
        <v>2</v>
      </c>
      <c r="E207" s="4" t="s">
        <v>93</v>
      </c>
      <c r="F207" s="4" t="s">
        <v>824</v>
      </c>
      <c r="G207" s="4" t="s">
        <v>202</v>
      </c>
      <c r="H207" s="129">
        <v>42027</v>
      </c>
      <c r="I207" s="4" t="s">
        <v>187</v>
      </c>
      <c r="J207" s="4" t="s">
        <v>103</v>
      </c>
      <c r="K207" s="4" t="s">
        <v>808</v>
      </c>
      <c r="L207" s="129">
        <v>42027</v>
      </c>
      <c r="M207" s="50" t="s">
        <v>826</v>
      </c>
      <c r="N207" s="130" t="s">
        <v>185</v>
      </c>
      <c r="O207" s="129">
        <v>42030</v>
      </c>
      <c r="P207" s="124">
        <f t="shared" ref="P207" si="492">O207-C207</f>
        <v>4</v>
      </c>
      <c r="Q207" s="50" t="s">
        <v>928</v>
      </c>
      <c r="R207" s="4" t="s">
        <v>17</v>
      </c>
      <c r="S207" s="4" t="s">
        <v>101</v>
      </c>
      <c r="T207" s="50" t="s">
        <v>1008</v>
      </c>
      <c r="U207" s="132">
        <v>42031</v>
      </c>
      <c r="V207" s="126" t="s">
        <v>186</v>
      </c>
      <c r="W207" s="127">
        <f t="shared" ref="W207" si="493">COUNTBLANK(C207:V207)</f>
        <v>0</v>
      </c>
      <c r="X207" s="127" t="str">
        <f t="shared" ref="X207" si="494">IF(W207=0,"Correcto","Incorrecto")</f>
        <v>Correcto</v>
      </c>
      <c r="Y207" s="34"/>
      <c r="Z207" s="34"/>
      <c r="AA207" s="34"/>
    </row>
    <row r="208" spans="1:27" s="72" customFormat="1" ht="24.75" customHeight="1" x14ac:dyDescent="0.2">
      <c r="A208" s="144">
        <v>199</v>
      </c>
      <c r="B208" s="122" t="s">
        <v>392</v>
      </c>
      <c r="C208" s="123">
        <v>42026</v>
      </c>
      <c r="D208" s="4">
        <v>2</v>
      </c>
      <c r="E208" s="4" t="s">
        <v>93</v>
      </c>
      <c r="F208" s="4" t="s">
        <v>824</v>
      </c>
      <c r="G208" s="4" t="s">
        <v>202</v>
      </c>
      <c r="H208" s="129">
        <v>42027</v>
      </c>
      <c r="I208" s="4" t="s">
        <v>187</v>
      </c>
      <c r="J208" s="4" t="s">
        <v>103</v>
      </c>
      <c r="K208" s="4" t="s">
        <v>809</v>
      </c>
      <c r="L208" s="129">
        <v>42027</v>
      </c>
      <c r="M208" s="50" t="s">
        <v>826</v>
      </c>
      <c r="N208" s="130" t="s">
        <v>185</v>
      </c>
      <c r="O208" s="129">
        <v>42030</v>
      </c>
      <c r="P208" s="124">
        <f t="shared" ref="P208" si="495">O208-C208</f>
        <v>4</v>
      </c>
      <c r="Q208" s="50" t="s">
        <v>929</v>
      </c>
      <c r="R208" s="4" t="s">
        <v>17</v>
      </c>
      <c r="S208" s="4" t="s">
        <v>101</v>
      </c>
      <c r="T208" s="50" t="s">
        <v>1011</v>
      </c>
      <c r="U208" s="132">
        <v>42031</v>
      </c>
      <c r="V208" s="126" t="s">
        <v>186</v>
      </c>
      <c r="W208" s="127">
        <f t="shared" ref="W208" si="496">COUNTBLANK(C208:V208)</f>
        <v>0</v>
      </c>
      <c r="X208" s="127" t="str">
        <f t="shared" ref="X208" si="497">IF(W208=0,"Correcto","Incorrecto")</f>
        <v>Correcto</v>
      </c>
      <c r="Y208" s="34"/>
      <c r="Z208" s="34"/>
      <c r="AA208" s="34"/>
    </row>
    <row r="209" spans="1:27" s="72" customFormat="1" ht="24.75" customHeight="1" x14ac:dyDescent="0.2">
      <c r="A209" s="4">
        <v>200</v>
      </c>
      <c r="B209" s="122" t="s">
        <v>393</v>
      </c>
      <c r="C209" s="123">
        <v>42026</v>
      </c>
      <c r="D209" s="4">
        <v>2</v>
      </c>
      <c r="E209" s="4" t="s">
        <v>93</v>
      </c>
      <c r="F209" s="4" t="s">
        <v>823</v>
      </c>
      <c r="G209" s="4" t="s">
        <v>202</v>
      </c>
      <c r="H209" s="129">
        <v>42026</v>
      </c>
      <c r="I209" s="4" t="s">
        <v>187</v>
      </c>
      <c r="J209" s="4" t="s">
        <v>103</v>
      </c>
      <c r="K209" s="4" t="s">
        <v>810</v>
      </c>
      <c r="L209" s="129">
        <v>42026</v>
      </c>
      <c r="M209" s="50" t="s">
        <v>826</v>
      </c>
      <c r="N209" s="130" t="s">
        <v>185</v>
      </c>
      <c r="O209" s="129">
        <v>42026</v>
      </c>
      <c r="P209" s="124">
        <f t="shared" ref="P209" si="498">O209-C209</f>
        <v>0</v>
      </c>
      <c r="Q209" s="50" t="s">
        <v>930</v>
      </c>
      <c r="R209" s="4" t="s">
        <v>17</v>
      </c>
      <c r="S209" s="4" t="s">
        <v>1018</v>
      </c>
      <c r="T209" s="50" t="s">
        <v>104</v>
      </c>
      <c r="U209" s="132">
        <v>42031</v>
      </c>
      <c r="V209" s="126" t="s">
        <v>186</v>
      </c>
      <c r="W209" s="127">
        <f t="shared" ref="W209" si="499">COUNTBLANK(C209:V209)</f>
        <v>0</v>
      </c>
      <c r="X209" s="127" t="str">
        <f t="shared" ref="X209" si="500">IF(W209=0,"Correcto","Incorrecto")</f>
        <v>Correcto</v>
      </c>
      <c r="Y209" s="34"/>
      <c r="Z209" s="34"/>
      <c r="AA209" s="34"/>
    </row>
    <row r="210" spans="1:27" s="72" customFormat="1" ht="24.75" customHeight="1" x14ac:dyDescent="0.2">
      <c r="A210" s="144">
        <v>201</v>
      </c>
      <c r="B210" s="122" t="s">
        <v>394</v>
      </c>
      <c r="C210" s="123">
        <v>42026</v>
      </c>
      <c r="D210" s="4">
        <v>7</v>
      </c>
      <c r="E210" s="4" t="s">
        <v>93</v>
      </c>
      <c r="F210" s="4" t="s">
        <v>823</v>
      </c>
      <c r="G210" s="4" t="s">
        <v>202</v>
      </c>
      <c r="H210" s="129">
        <v>42026</v>
      </c>
      <c r="I210" s="4" t="s">
        <v>187</v>
      </c>
      <c r="J210" s="4" t="s">
        <v>103</v>
      </c>
      <c r="K210" s="4" t="s">
        <v>811</v>
      </c>
      <c r="L210" s="129">
        <v>42026</v>
      </c>
      <c r="M210" s="50" t="s">
        <v>826</v>
      </c>
      <c r="N210" s="130" t="s">
        <v>185</v>
      </c>
      <c r="O210" s="129">
        <v>42026</v>
      </c>
      <c r="P210" s="124">
        <f t="shared" ref="P210" si="501">O210-C210</f>
        <v>0</v>
      </c>
      <c r="Q210" s="50" t="s">
        <v>811</v>
      </c>
      <c r="R210" s="4" t="s">
        <v>17</v>
      </c>
      <c r="S210" s="50" t="s">
        <v>955</v>
      </c>
      <c r="T210" s="50" t="s">
        <v>104</v>
      </c>
      <c r="U210" s="132">
        <v>42031</v>
      </c>
      <c r="V210" s="126" t="s">
        <v>186</v>
      </c>
      <c r="W210" s="127">
        <f t="shared" ref="W210" si="502">COUNTBLANK(C210:V210)</f>
        <v>0</v>
      </c>
      <c r="X210" s="127" t="str">
        <f t="shared" ref="X210" si="503">IF(W210=0,"Correcto","Incorrecto")</f>
        <v>Correcto</v>
      </c>
      <c r="Y210" s="34"/>
      <c r="Z210" s="34"/>
      <c r="AA210" s="34"/>
    </row>
    <row r="211" spans="1:27" s="72" customFormat="1" ht="24.75" customHeight="1" x14ac:dyDescent="0.2">
      <c r="A211" s="144">
        <v>202</v>
      </c>
      <c r="B211" s="122" t="s">
        <v>395</v>
      </c>
      <c r="C211" s="123">
        <v>42026</v>
      </c>
      <c r="D211" s="4">
        <v>2</v>
      </c>
      <c r="E211" s="4" t="s">
        <v>93</v>
      </c>
      <c r="F211" s="4" t="s">
        <v>824</v>
      </c>
      <c r="G211" s="4" t="s">
        <v>202</v>
      </c>
      <c r="H211" s="129">
        <v>42027</v>
      </c>
      <c r="I211" s="4" t="s">
        <v>187</v>
      </c>
      <c r="J211" s="4" t="s">
        <v>103</v>
      </c>
      <c r="K211" s="4" t="s">
        <v>812</v>
      </c>
      <c r="L211" s="129">
        <v>42027</v>
      </c>
      <c r="M211" s="50" t="s">
        <v>826</v>
      </c>
      <c r="N211" s="130" t="s">
        <v>185</v>
      </c>
      <c r="O211" s="129">
        <v>42031</v>
      </c>
      <c r="P211" s="124">
        <f t="shared" ref="P211" si="504">O211-C211</f>
        <v>5</v>
      </c>
      <c r="Q211" s="50" t="s">
        <v>931</v>
      </c>
      <c r="R211" s="4" t="s">
        <v>17</v>
      </c>
      <c r="S211" s="4" t="s">
        <v>101</v>
      </c>
      <c r="T211" s="50" t="s">
        <v>1019</v>
      </c>
      <c r="U211" s="132">
        <v>42034</v>
      </c>
      <c r="V211" s="126" t="s">
        <v>186</v>
      </c>
      <c r="W211" s="127">
        <f t="shared" ref="W211" si="505">COUNTBLANK(C211:V211)</f>
        <v>0</v>
      </c>
      <c r="X211" s="127" t="str">
        <f t="shared" ref="X211" si="506">IF(W211=0,"Correcto","Incorrecto")</f>
        <v>Correcto</v>
      </c>
      <c r="Y211" s="34"/>
      <c r="Z211" s="34"/>
      <c r="AA211" s="34"/>
    </row>
    <row r="212" spans="1:27" s="72" customFormat="1" ht="24.75" customHeight="1" x14ac:dyDescent="0.2">
      <c r="A212" s="4">
        <v>203</v>
      </c>
      <c r="B212" s="122" t="s">
        <v>396</v>
      </c>
      <c r="C212" s="123">
        <v>42026</v>
      </c>
      <c r="D212" s="4">
        <v>2</v>
      </c>
      <c r="E212" s="4" t="s">
        <v>93</v>
      </c>
      <c r="F212" s="4" t="s">
        <v>823</v>
      </c>
      <c r="G212" s="4" t="s">
        <v>202</v>
      </c>
      <c r="H212" s="129">
        <v>42026</v>
      </c>
      <c r="I212" s="4" t="s">
        <v>187</v>
      </c>
      <c r="J212" s="4" t="s">
        <v>103</v>
      </c>
      <c r="K212" s="4" t="s">
        <v>813</v>
      </c>
      <c r="L212" s="129">
        <v>42026</v>
      </c>
      <c r="M212" s="50" t="s">
        <v>826</v>
      </c>
      <c r="N212" s="130" t="s">
        <v>185</v>
      </c>
      <c r="O212" s="129">
        <v>42026</v>
      </c>
      <c r="P212" s="124">
        <f t="shared" ref="P212" si="507">O212-C212</f>
        <v>0</v>
      </c>
      <c r="Q212" s="50" t="s">
        <v>932</v>
      </c>
      <c r="R212" s="4" t="s">
        <v>17</v>
      </c>
      <c r="S212" s="4" t="s">
        <v>1020</v>
      </c>
      <c r="T212" s="50" t="s">
        <v>104</v>
      </c>
      <c r="U212" s="132">
        <v>42031</v>
      </c>
      <c r="V212" s="126" t="s">
        <v>186</v>
      </c>
      <c r="W212" s="127">
        <f t="shared" ref="W212" si="508">COUNTBLANK(C212:V212)</f>
        <v>0</v>
      </c>
      <c r="X212" s="127" t="str">
        <f t="shared" ref="X212" si="509">IF(W212=0,"Correcto","Incorrecto")</f>
        <v>Correcto</v>
      </c>
      <c r="Y212" s="34"/>
      <c r="Z212" s="34"/>
      <c r="AA212" s="34"/>
    </row>
    <row r="213" spans="1:27" s="72" customFormat="1" ht="24.75" customHeight="1" x14ac:dyDescent="0.2">
      <c r="A213" s="144">
        <v>204</v>
      </c>
      <c r="B213" s="122" t="s">
        <v>397</v>
      </c>
      <c r="C213" s="123">
        <v>42026</v>
      </c>
      <c r="D213" s="4">
        <v>3</v>
      </c>
      <c r="E213" s="4" t="s">
        <v>93</v>
      </c>
      <c r="F213" s="4" t="s">
        <v>824</v>
      </c>
      <c r="G213" s="4" t="s">
        <v>202</v>
      </c>
      <c r="H213" s="129">
        <v>42027</v>
      </c>
      <c r="I213" s="4" t="s">
        <v>187</v>
      </c>
      <c r="J213" s="4" t="s">
        <v>103</v>
      </c>
      <c r="K213" s="4" t="s">
        <v>814</v>
      </c>
      <c r="L213" s="129">
        <v>42027</v>
      </c>
      <c r="M213" s="50" t="s">
        <v>826</v>
      </c>
      <c r="N213" s="130" t="s">
        <v>185</v>
      </c>
      <c r="O213" s="129">
        <v>42030</v>
      </c>
      <c r="P213" s="124">
        <f t="shared" ref="P213" si="510">O213-C213</f>
        <v>4</v>
      </c>
      <c r="Q213" s="50" t="s">
        <v>933</v>
      </c>
      <c r="R213" s="4" t="s">
        <v>17</v>
      </c>
      <c r="S213" s="4" t="s">
        <v>104</v>
      </c>
      <c r="T213" s="50" t="s">
        <v>1021</v>
      </c>
      <c r="U213" s="132">
        <v>42031</v>
      </c>
      <c r="V213" s="126" t="s">
        <v>186</v>
      </c>
      <c r="W213" s="127">
        <f t="shared" ref="W213" si="511">COUNTBLANK(C213:V213)</f>
        <v>0</v>
      </c>
      <c r="X213" s="127" t="str">
        <f t="shared" ref="X213" si="512">IF(W213=0,"Correcto","Incorrecto")</f>
        <v>Correcto</v>
      </c>
      <c r="Y213" s="34"/>
      <c r="Z213" s="34"/>
      <c r="AA213" s="34"/>
    </row>
    <row r="214" spans="1:27" s="72" customFormat="1" ht="24.75" customHeight="1" x14ac:dyDescent="0.2">
      <c r="A214" s="144">
        <v>205</v>
      </c>
      <c r="B214" s="122" t="s">
        <v>398</v>
      </c>
      <c r="C214" s="123">
        <v>42026</v>
      </c>
      <c r="D214" s="4">
        <v>2</v>
      </c>
      <c r="E214" s="4" t="s">
        <v>93</v>
      </c>
      <c r="F214" s="4" t="s">
        <v>824</v>
      </c>
      <c r="G214" s="4" t="s">
        <v>202</v>
      </c>
      <c r="H214" s="129">
        <v>42027</v>
      </c>
      <c r="I214" s="4" t="s">
        <v>187</v>
      </c>
      <c r="J214" s="4" t="s">
        <v>103</v>
      </c>
      <c r="K214" s="4" t="s">
        <v>815</v>
      </c>
      <c r="L214" s="129">
        <v>42027</v>
      </c>
      <c r="M214" s="50" t="s">
        <v>826</v>
      </c>
      <c r="N214" s="130" t="s">
        <v>185</v>
      </c>
      <c r="O214" s="129">
        <v>42030</v>
      </c>
      <c r="P214" s="124">
        <f t="shared" ref="P214" si="513">O214-C214</f>
        <v>4</v>
      </c>
      <c r="Q214" s="50" t="s">
        <v>934</v>
      </c>
      <c r="R214" s="4" t="s">
        <v>17</v>
      </c>
      <c r="S214" s="4" t="s">
        <v>104</v>
      </c>
      <c r="T214" s="50" t="s">
        <v>1022</v>
      </c>
      <c r="U214" s="132">
        <v>42031</v>
      </c>
      <c r="V214" s="126" t="s">
        <v>186</v>
      </c>
      <c r="W214" s="127">
        <f t="shared" ref="W214" si="514">COUNTBLANK(C214:V214)</f>
        <v>0</v>
      </c>
      <c r="X214" s="127" t="str">
        <f t="shared" ref="X214" si="515">IF(W214=0,"Correcto","Incorrecto")</f>
        <v>Correcto</v>
      </c>
      <c r="Y214" s="34"/>
      <c r="Z214" s="34"/>
      <c r="AA214" s="34"/>
    </row>
    <row r="215" spans="1:27" s="72" customFormat="1" ht="24.75" customHeight="1" x14ac:dyDescent="0.2">
      <c r="A215" s="4">
        <v>206</v>
      </c>
      <c r="B215" s="122" t="s">
        <v>399</v>
      </c>
      <c r="C215" s="123">
        <v>42027</v>
      </c>
      <c r="D215" s="4">
        <v>2</v>
      </c>
      <c r="E215" s="4" t="s">
        <v>93</v>
      </c>
      <c r="F215" s="4" t="s">
        <v>824</v>
      </c>
      <c r="G215" s="4" t="s">
        <v>202</v>
      </c>
      <c r="H215" s="129">
        <v>42027</v>
      </c>
      <c r="I215" s="4" t="s">
        <v>187</v>
      </c>
      <c r="J215" s="4" t="s">
        <v>103</v>
      </c>
      <c r="K215" s="4" t="s">
        <v>816</v>
      </c>
      <c r="L215" s="129">
        <v>42027</v>
      </c>
      <c r="M215" s="50" t="s">
        <v>826</v>
      </c>
      <c r="N215" s="130" t="s">
        <v>185</v>
      </c>
      <c r="O215" s="129">
        <v>42030</v>
      </c>
      <c r="P215" s="124">
        <f t="shared" ref="P215" si="516">O215-C215</f>
        <v>3</v>
      </c>
      <c r="Q215" s="50" t="s">
        <v>935</v>
      </c>
      <c r="R215" s="4" t="s">
        <v>17</v>
      </c>
      <c r="S215" s="4" t="s">
        <v>104</v>
      </c>
      <c r="T215" s="50" t="s">
        <v>1023</v>
      </c>
      <c r="U215" s="132">
        <v>42031</v>
      </c>
      <c r="V215" s="126" t="s">
        <v>186</v>
      </c>
      <c r="W215" s="127">
        <f t="shared" ref="W215" si="517">COUNTBLANK(C215:V215)</f>
        <v>0</v>
      </c>
      <c r="X215" s="127" t="str">
        <f t="shared" ref="X215" si="518">IF(W215=0,"Correcto","Incorrecto")</f>
        <v>Correcto</v>
      </c>
      <c r="Y215" s="34"/>
      <c r="Z215" s="34"/>
      <c r="AA215" s="34"/>
    </row>
    <row r="216" spans="1:27" s="72" customFormat="1" ht="24.75" customHeight="1" x14ac:dyDescent="0.2">
      <c r="A216" s="144">
        <v>207</v>
      </c>
      <c r="B216" s="122" t="s">
        <v>400</v>
      </c>
      <c r="C216" s="123">
        <v>42027</v>
      </c>
      <c r="D216" s="4">
        <v>80</v>
      </c>
      <c r="E216" s="4" t="s">
        <v>93</v>
      </c>
      <c r="F216" s="4" t="s">
        <v>824</v>
      </c>
      <c r="G216" s="4" t="s">
        <v>202</v>
      </c>
      <c r="H216" s="129">
        <v>42027</v>
      </c>
      <c r="I216" s="4" t="s">
        <v>187</v>
      </c>
      <c r="J216" s="4" t="s">
        <v>103</v>
      </c>
      <c r="K216" s="4" t="s">
        <v>817</v>
      </c>
      <c r="L216" s="129">
        <v>42027</v>
      </c>
      <c r="M216" s="50" t="s">
        <v>826</v>
      </c>
      <c r="N216" s="130" t="s">
        <v>185</v>
      </c>
      <c r="O216" s="129">
        <v>42030</v>
      </c>
      <c r="P216" s="124">
        <f t="shared" ref="P216" si="519">O216-C216</f>
        <v>3</v>
      </c>
      <c r="Q216" s="50" t="s">
        <v>936</v>
      </c>
      <c r="R216" s="4" t="s">
        <v>17</v>
      </c>
      <c r="S216" s="4" t="s">
        <v>101</v>
      </c>
      <c r="T216" s="50" t="s">
        <v>1024</v>
      </c>
      <c r="U216" s="132">
        <v>42031</v>
      </c>
      <c r="V216" s="126" t="s">
        <v>186</v>
      </c>
      <c r="W216" s="127">
        <f t="shared" ref="W216" si="520">COUNTBLANK(C216:V216)</f>
        <v>0</v>
      </c>
      <c r="X216" s="127" t="str">
        <f t="shared" ref="X216" si="521">IF(W216=0,"Correcto","Incorrecto")</f>
        <v>Correcto</v>
      </c>
      <c r="Y216" s="34"/>
      <c r="Z216" s="34"/>
      <c r="AA216" s="34"/>
    </row>
    <row r="217" spans="1:27" s="72" customFormat="1" ht="24.75" customHeight="1" x14ac:dyDescent="0.2">
      <c r="A217" s="144">
        <v>208</v>
      </c>
      <c r="B217" s="122" t="s">
        <v>401</v>
      </c>
      <c r="C217" s="123">
        <v>42027</v>
      </c>
      <c r="D217" s="4">
        <v>2</v>
      </c>
      <c r="E217" s="4" t="s">
        <v>93</v>
      </c>
      <c r="F217" s="4" t="s">
        <v>824</v>
      </c>
      <c r="G217" s="4" t="s">
        <v>202</v>
      </c>
      <c r="H217" s="129">
        <v>42027</v>
      </c>
      <c r="I217" s="4" t="s">
        <v>187</v>
      </c>
      <c r="J217" s="4" t="s">
        <v>103</v>
      </c>
      <c r="K217" s="4" t="s">
        <v>818</v>
      </c>
      <c r="L217" s="129">
        <v>42027</v>
      </c>
      <c r="M217" s="50" t="s">
        <v>826</v>
      </c>
      <c r="N217" s="130" t="s">
        <v>185</v>
      </c>
      <c r="O217" s="129">
        <v>42030</v>
      </c>
      <c r="P217" s="124">
        <f t="shared" ref="P217" si="522">O217-C217</f>
        <v>3</v>
      </c>
      <c r="Q217" s="50" t="s">
        <v>937</v>
      </c>
      <c r="R217" s="4" t="s">
        <v>17</v>
      </c>
      <c r="S217" s="4" t="s">
        <v>101</v>
      </c>
      <c r="T217" s="50" t="s">
        <v>953</v>
      </c>
      <c r="U217" s="132">
        <v>42031</v>
      </c>
      <c r="V217" s="126" t="s">
        <v>186</v>
      </c>
      <c r="W217" s="127">
        <f t="shared" ref="W217" si="523">COUNTBLANK(C217:V217)</f>
        <v>0</v>
      </c>
      <c r="X217" s="127" t="str">
        <f t="shared" ref="X217" si="524">IF(W217=0,"Correcto","Incorrecto")</f>
        <v>Correcto</v>
      </c>
      <c r="Y217" s="34"/>
      <c r="Z217" s="34"/>
      <c r="AA217" s="34"/>
    </row>
    <row r="218" spans="1:27" s="72" customFormat="1" ht="24.75" customHeight="1" x14ac:dyDescent="0.2">
      <c r="A218" s="4">
        <v>209</v>
      </c>
      <c r="B218" s="122" t="s">
        <v>402</v>
      </c>
      <c r="C218" s="123">
        <v>42027</v>
      </c>
      <c r="D218" s="4">
        <v>2</v>
      </c>
      <c r="E218" s="4" t="s">
        <v>93</v>
      </c>
      <c r="F218" s="4" t="s">
        <v>824</v>
      </c>
      <c r="G218" s="4" t="s">
        <v>202</v>
      </c>
      <c r="H218" s="129">
        <v>42027</v>
      </c>
      <c r="I218" s="4" t="s">
        <v>187</v>
      </c>
      <c r="J218" s="4" t="s">
        <v>103</v>
      </c>
      <c r="K218" s="4" t="s">
        <v>819</v>
      </c>
      <c r="L218" s="129">
        <v>42027</v>
      </c>
      <c r="M218" s="50" t="s">
        <v>826</v>
      </c>
      <c r="N218" s="130" t="s">
        <v>185</v>
      </c>
      <c r="O218" s="129">
        <v>42030</v>
      </c>
      <c r="P218" s="124">
        <f t="shared" ref="P218" si="525">O218-C218</f>
        <v>3</v>
      </c>
      <c r="Q218" s="50" t="s">
        <v>938</v>
      </c>
      <c r="R218" s="4" t="s">
        <v>17</v>
      </c>
      <c r="S218" s="4" t="s">
        <v>104</v>
      </c>
      <c r="T218" s="50" t="s">
        <v>1093</v>
      </c>
      <c r="U218" s="132">
        <v>42031</v>
      </c>
      <c r="V218" s="126" t="s">
        <v>186</v>
      </c>
      <c r="W218" s="127">
        <f t="shared" ref="W218" si="526">COUNTBLANK(C218:V218)</f>
        <v>0</v>
      </c>
      <c r="X218" s="127" t="str">
        <f t="shared" ref="X218" si="527">IF(W218=0,"Correcto","Incorrecto")</f>
        <v>Correcto</v>
      </c>
      <c r="Y218" s="34"/>
      <c r="Z218" s="34"/>
      <c r="AA218" s="34"/>
    </row>
    <row r="219" spans="1:27" s="72" customFormat="1" ht="24.75" customHeight="1" x14ac:dyDescent="0.2">
      <c r="A219" s="144">
        <v>210</v>
      </c>
      <c r="B219" s="122" t="s">
        <v>403</v>
      </c>
      <c r="C219" s="123">
        <v>42027</v>
      </c>
      <c r="D219" s="4">
        <v>2</v>
      </c>
      <c r="E219" s="4" t="s">
        <v>93</v>
      </c>
      <c r="F219" s="4" t="s">
        <v>824</v>
      </c>
      <c r="G219" s="4" t="s">
        <v>202</v>
      </c>
      <c r="H219" s="129">
        <v>42027</v>
      </c>
      <c r="I219" s="4" t="s">
        <v>187</v>
      </c>
      <c r="J219" s="4" t="s">
        <v>103</v>
      </c>
      <c r="K219" s="4" t="s">
        <v>820</v>
      </c>
      <c r="L219" s="129">
        <v>42027</v>
      </c>
      <c r="M219" s="50" t="s">
        <v>826</v>
      </c>
      <c r="N219" s="130" t="s">
        <v>185</v>
      </c>
      <c r="O219" s="129">
        <v>42030</v>
      </c>
      <c r="P219" s="124">
        <f t="shared" ref="P219" si="528">O219-C219</f>
        <v>3</v>
      </c>
      <c r="Q219" s="50" t="s">
        <v>939</v>
      </c>
      <c r="R219" s="4" t="s">
        <v>17</v>
      </c>
      <c r="S219" s="4" t="s">
        <v>104</v>
      </c>
      <c r="T219" s="50" t="s">
        <v>1094</v>
      </c>
      <c r="U219" s="132">
        <v>42031</v>
      </c>
      <c r="V219" s="126" t="s">
        <v>186</v>
      </c>
      <c r="W219" s="127">
        <f t="shared" ref="W219" si="529">COUNTBLANK(C219:V219)</f>
        <v>0</v>
      </c>
      <c r="X219" s="127" t="str">
        <f t="shared" ref="X219" si="530">IF(W219=0,"Correcto","Incorrecto")</f>
        <v>Correcto</v>
      </c>
      <c r="Y219" s="34"/>
      <c r="Z219" s="34"/>
      <c r="AA219" s="34"/>
    </row>
    <row r="220" spans="1:27" s="72" customFormat="1" ht="24.75" customHeight="1" x14ac:dyDescent="0.2">
      <c r="A220" s="144">
        <v>211</v>
      </c>
      <c r="B220" s="122" t="s">
        <v>404</v>
      </c>
      <c r="C220" s="123">
        <v>42027</v>
      </c>
      <c r="D220" s="4">
        <v>2</v>
      </c>
      <c r="E220" s="4" t="s">
        <v>93</v>
      </c>
      <c r="F220" s="4" t="s">
        <v>824</v>
      </c>
      <c r="G220" s="4" t="s">
        <v>202</v>
      </c>
      <c r="H220" s="129">
        <v>42027</v>
      </c>
      <c r="I220" s="4" t="s">
        <v>187</v>
      </c>
      <c r="J220" s="4" t="s">
        <v>103</v>
      </c>
      <c r="K220" s="4" t="s">
        <v>821</v>
      </c>
      <c r="L220" s="129">
        <v>42027</v>
      </c>
      <c r="M220" s="50" t="s">
        <v>826</v>
      </c>
      <c r="N220" s="130" t="s">
        <v>185</v>
      </c>
      <c r="O220" s="129">
        <v>42030</v>
      </c>
      <c r="P220" s="124">
        <f t="shared" ref="P220" si="531">O220-C220</f>
        <v>3</v>
      </c>
      <c r="Q220" s="50" t="s">
        <v>940</v>
      </c>
      <c r="R220" s="4" t="s">
        <v>17</v>
      </c>
      <c r="S220" s="4" t="s">
        <v>104</v>
      </c>
      <c r="T220" s="50" t="s">
        <v>1095</v>
      </c>
      <c r="U220" s="132">
        <v>42031</v>
      </c>
      <c r="V220" s="126" t="s">
        <v>186</v>
      </c>
      <c r="W220" s="127">
        <f t="shared" ref="W220" si="532">COUNTBLANK(C220:V220)</f>
        <v>0</v>
      </c>
      <c r="X220" s="127" t="str">
        <f t="shared" ref="X220" si="533">IF(W220=0,"Correcto","Incorrecto")</f>
        <v>Correcto</v>
      </c>
      <c r="Y220" s="34"/>
      <c r="Z220" s="34"/>
      <c r="AA220" s="34"/>
    </row>
    <row r="221" spans="1:27" s="72" customFormat="1" ht="24.75" customHeight="1" x14ac:dyDescent="0.2">
      <c r="A221" s="4">
        <v>212</v>
      </c>
      <c r="B221" s="122" t="s">
        <v>1096</v>
      </c>
      <c r="C221" s="123">
        <v>42027</v>
      </c>
      <c r="D221" s="4">
        <v>2</v>
      </c>
      <c r="E221" s="4" t="s">
        <v>93</v>
      </c>
      <c r="F221" s="4" t="s">
        <v>824</v>
      </c>
      <c r="G221" s="4" t="s">
        <v>202</v>
      </c>
      <c r="H221" s="129">
        <v>42046</v>
      </c>
      <c r="I221" s="4" t="s">
        <v>187</v>
      </c>
      <c r="J221" s="4" t="s">
        <v>103</v>
      </c>
      <c r="K221" s="4" t="s">
        <v>1097</v>
      </c>
      <c r="L221" s="129">
        <v>42046</v>
      </c>
      <c r="M221" s="50" t="s">
        <v>100</v>
      </c>
      <c r="N221" s="130" t="s">
        <v>1079</v>
      </c>
      <c r="O221" s="129">
        <v>42046</v>
      </c>
      <c r="P221" s="124">
        <f t="shared" ref="P221" si="534">O221-C221</f>
        <v>19</v>
      </c>
      <c r="Q221" s="50" t="s">
        <v>1098</v>
      </c>
      <c r="R221" s="4" t="s">
        <v>17</v>
      </c>
      <c r="S221" s="4" t="s">
        <v>104</v>
      </c>
      <c r="T221" s="50" t="s">
        <v>1099</v>
      </c>
      <c r="U221" s="132">
        <v>42046</v>
      </c>
      <c r="V221" s="126" t="s">
        <v>186</v>
      </c>
      <c r="W221" s="127">
        <f t="shared" ref="W221" si="535">COUNTBLANK(C221:V221)</f>
        <v>0</v>
      </c>
      <c r="X221" s="127" t="str">
        <f t="shared" ref="X221" si="536">IF(W221=0,"Correcto","Incorrecto")</f>
        <v>Correcto</v>
      </c>
      <c r="Y221" s="34"/>
      <c r="Z221" s="34"/>
      <c r="AA221" s="34"/>
    </row>
    <row r="222" spans="1:27" s="72" customFormat="1" ht="24.75" customHeight="1" x14ac:dyDescent="0.2">
      <c r="A222" s="144">
        <v>213</v>
      </c>
      <c r="B222" s="122" t="s">
        <v>405</v>
      </c>
      <c r="C222" s="123">
        <v>42027</v>
      </c>
      <c r="D222" s="4">
        <v>2</v>
      </c>
      <c r="E222" s="4" t="s">
        <v>93</v>
      </c>
      <c r="F222" s="4" t="s">
        <v>824</v>
      </c>
      <c r="G222" s="4" t="s">
        <v>202</v>
      </c>
      <c r="H222" s="129">
        <v>42027</v>
      </c>
      <c r="I222" s="4" t="s">
        <v>187</v>
      </c>
      <c r="J222" s="4" t="s">
        <v>103</v>
      </c>
      <c r="K222" s="4" t="s">
        <v>822</v>
      </c>
      <c r="L222" s="129">
        <v>42027</v>
      </c>
      <c r="M222" s="50" t="s">
        <v>826</v>
      </c>
      <c r="N222" s="130" t="s">
        <v>185</v>
      </c>
      <c r="O222" s="129">
        <v>42030</v>
      </c>
      <c r="P222" s="124">
        <f t="shared" ref="P222" si="537">O222-C222</f>
        <v>3</v>
      </c>
      <c r="Q222" s="50" t="s">
        <v>941</v>
      </c>
      <c r="R222" s="4" t="s">
        <v>17</v>
      </c>
      <c r="S222" s="4" t="s">
        <v>104</v>
      </c>
      <c r="T222" s="50" t="s">
        <v>1100</v>
      </c>
      <c r="U222" s="132">
        <v>42031</v>
      </c>
      <c r="V222" s="126" t="s">
        <v>186</v>
      </c>
      <c r="W222" s="127">
        <f t="shared" ref="W222" si="538">COUNTBLANK(C222:V222)</f>
        <v>0</v>
      </c>
      <c r="X222" s="127" t="str">
        <f t="shared" ref="X222" si="539">IF(W222=0,"Correcto","Incorrecto")</f>
        <v>Correcto</v>
      </c>
      <c r="Y222" s="34"/>
      <c r="Z222" s="34"/>
      <c r="AA222" s="34"/>
    </row>
    <row r="223" spans="1:27" s="72" customFormat="1" ht="24.75" customHeight="1" x14ac:dyDescent="0.2">
      <c r="A223" s="144">
        <v>214</v>
      </c>
      <c r="B223" s="122" t="s">
        <v>406</v>
      </c>
      <c r="C223" s="123">
        <v>42030</v>
      </c>
      <c r="D223" s="4">
        <v>2</v>
      </c>
      <c r="E223" s="4" t="s">
        <v>93</v>
      </c>
      <c r="F223" s="4" t="s">
        <v>824</v>
      </c>
      <c r="G223" s="4" t="s">
        <v>202</v>
      </c>
      <c r="H223" s="129">
        <v>42030</v>
      </c>
      <c r="I223" s="4" t="s">
        <v>187</v>
      </c>
      <c r="J223" s="4" t="s">
        <v>103</v>
      </c>
      <c r="K223" s="4" t="s">
        <v>828</v>
      </c>
      <c r="L223" s="129">
        <v>42030</v>
      </c>
      <c r="M223" s="50" t="s">
        <v>859</v>
      </c>
      <c r="N223" s="130" t="s">
        <v>185</v>
      </c>
      <c r="O223" s="129">
        <v>42031</v>
      </c>
      <c r="P223" s="124">
        <f t="shared" ref="P223" si="540">O223-C223</f>
        <v>1</v>
      </c>
      <c r="Q223" s="50" t="s">
        <v>860</v>
      </c>
      <c r="R223" s="4" t="s">
        <v>17</v>
      </c>
      <c r="S223" s="4" t="s">
        <v>104</v>
      </c>
      <c r="T223" s="50" t="s">
        <v>1101</v>
      </c>
      <c r="U223" s="132">
        <v>42032</v>
      </c>
      <c r="V223" s="126" t="s">
        <v>186</v>
      </c>
      <c r="W223" s="127">
        <f t="shared" ref="W223" si="541">COUNTBLANK(C223:V223)</f>
        <v>0</v>
      </c>
      <c r="X223" s="127" t="str">
        <f t="shared" ref="X223" si="542">IF(W223=0,"Correcto","Incorrecto")</f>
        <v>Correcto</v>
      </c>
      <c r="Y223" s="34"/>
      <c r="Z223" s="34"/>
      <c r="AA223" s="34"/>
    </row>
    <row r="224" spans="1:27" s="72" customFormat="1" ht="24.75" customHeight="1" x14ac:dyDescent="0.2">
      <c r="A224" s="4">
        <v>215</v>
      </c>
      <c r="B224" s="122" t="s">
        <v>407</v>
      </c>
      <c r="C224" s="123">
        <v>42030</v>
      </c>
      <c r="D224" s="4">
        <v>2</v>
      </c>
      <c r="E224" s="4" t="s">
        <v>93</v>
      </c>
      <c r="F224" s="4" t="s">
        <v>824</v>
      </c>
      <c r="G224" s="4" t="s">
        <v>202</v>
      </c>
      <c r="H224" s="129">
        <v>42030</v>
      </c>
      <c r="I224" s="4" t="s">
        <v>187</v>
      </c>
      <c r="J224" s="4" t="s">
        <v>103</v>
      </c>
      <c r="K224" s="4" t="s">
        <v>829</v>
      </c>
      <c r="L224" s="129">
        <v>42030</v>
      </c>
      <c r="M224" s="50" t="s">
        <v>859</v>
      </c>
      <c r="N224" s="130" t="s">
        <v>185</v>
      </c>
      <c r="O224" s="129">
        <v>42030</v>
      </c>
      <c r="P224" s="124">
        <f t="shared" ref="P224" si="543">O224-C224</f>
        <v>0</v>
      </c>
      <c r="Q224" s="50" t="s">
        <v>861</v>
      </c>
      <c r="R224" s="4" t="s">
        <v>17</v>
      </c>
      <c r="S224" s="4" t="s">
        <v>104</v>
      </c>
      <c r="T224" s="50" t="s">
        <v>104</v>
      </c>
      <c r="U224" s="132">
        <v>42031</v>
      </c>
      <c r="V224" s="126" t="s">
        <v>186</v>
      </c>
      <c r="W224" s="127">
        <f t="shared" ref="W224" si="544">COUNTBLANK(C224:V224)</f>
        <v>0</v>
      </c>
      <c r="X224" s="127" t="str">
        <f t="shared" ref="X224" si="545">IF(W224=0,"Correcto","Incorrecto")</f>
        <v>Correcto</v>
      </c>
      <c r="Y224" s="34"/>
      <c r="Z224" s="34"/>
      <c r="AA224" s="34"/>
    </row>
    <row r="225" spans="1:27" s="72" customFormat="1" ht="24.75" customHeight="1" x14ac:dyDescent="0.2">
      <c r="A225" s="144">
        <v>216</v>
      </c>
      <c r="B225" s="122" t="s">
        <v>1102</v>
      </c>
      <c r="C225" s="123">
        <v>42030</v>
      </c>
      <c r="D225" s="4">
        <v>2</v>
      </c>
      <c r="E225" s="4" t="s">
        <v>93</v>
      </c>
      <c r="F225" s="4" t="s">
        <v>824</v>
      </c>
      <c r="G225" s="4" t="s">
        <v>202</v>
      </c>
      <c r="H225" s="129">
        <v>42045</v>
      </c>
      <c r="I225" s="4" t="s">
        <v>187</v>
      </c>
      <c r="J225" s="4" t="s">
        <v>103</v>
      </c>
      <c r="K225" s="4" t="s">
        <v>1103</v>
      </c>
      <c r="L225" s="129">
        <v>42045</v>
      </c>
      <c r="M225" s="50" t="s">
        <v>100</v>
      </c>
      <c r="N225" s="130" t="s">
        <v>185</v>
      </c>
      <c r="O225" s="129">
        <v>42045</v>
      </c>
      <c r="P225" s="124">
        <f t="shared" ref="P225" si="546">O225-C225</f>
        <v>15</v>
      </c>
      <c r="Q225" s="50" t="s">
        <v>1104</v>
      </c>
      <c r="R225" s="4" t="s">
        <v>17</v>
      </c>
      <c r="S225" s="4" t="s">
        <v>101</v>
      </c>
      <c r="T225" s="50" t="s">
        <v>101</v>
      </c>
      <c r="U225" s="132">
        <v>42053</v>
      </c>
      <c r="V225" s="126" t="s">
        <v>186</v>
      </c>
      <c r="W225" s="127">
        <f t="shared" ref="W225" si="547">COUNTBLANK(C225:V225)</f>
        <v>0</v>
      </c>
      <c r="X225" s="127" t="str">
        <f t="shared" ref="X225" si="548">IF(W225=0,"Correcto","Incorrecto")</f>
        <v>Correcto</v>
      </c>
      <c r="Y225" s="34"/>
      <c r="Z225" s="34"/>
      <c r="AA225" s="34"/>
    </row>
    <row r="226" spans="1:27" s="72" customFormat="1" ht="24.75" customHeight="1" x14ac:dyDescent="0.2">
      <c r="A226" s="144">
        <v>217</v>
      </c>
      <c r="B226" s="122" t="s">
        <v>408</v>
      </c>
      <c r="C226" s="123">
        <v>42030</v>
      </c>
      <c r="D226" s="4">
        <v>3</v>
      </c>
      <c r="E226" s="4" t="s">
        <v>93</v>
      </c>
      <c r="F226" s="4" t="s">
        <v>824</v>
      </c>
      <c r="G226" s="4" t="s">
        <v>202</v>
      </c>
      <c r="H226" s="129">
        <v>42030</v>
      </c>
      <c r="I226" s="4" t="s">
        <v>187</v>
      </c>
      <c r="J226" s="4" t="s">
        <v>103</v>
      </c>
      <c r="K226" s="4" t="s">
        <v>830</v>
      </c>
      <c r="L226" s="129">
        <v>42030</v>
      </c>
      <c r="M226" s="50" t="s">
        <v>859</v>
      </c>
      <c r="N226" s="130" t="s">
        <v>185</v>
      </c>
      <c r="O226" s="129">
        <v>42030</v>
      </c>
      <c r="P226" s="124">
        <f t="shared" ref="P226" si="549">O226-C226</f>
        <v>0</v>
      </c>
      <c r="Q226" s="50" t="s">
        <v>862</v>
      </c>
      <c r="R226" s="4" t="s">
        <v>17</v>
      </c>
      <c r="S226" s="4" t="s">
        <v>104</v>
      </c>
      <c r="T226" s="50" t="s">
        <v>1105</v>
      </c>
      <c r="U226" s="132">
        <v>42031</v>
      </c>
      <c r="V226" s="126" t="s">
        <v>186</v>
      </c>
      <c r="W226" s="127">
        <f t="shared" ref="W226" si="550">COUNTBLANK(C226:V226)</f>
        <v>0</v>
      </c>
      <c r="X226" s="127" t="str">
        <f t="shared" ref="X226" si="551">IF(W226=0,"Correcto","Incorrecto")</f>
        <v>Correcto</v>
      </c>
      <c r="Y226" s="34"/>
      <c r="Z226" s="34"/>
      <c r="AA226" s="34"/>
    </row>
    <row r="227" spans="1:27" s="72" customFormat="1" ht="24.75" customHeight="1" x14ac:dyDescent="0.2">
      <c r="A227" s="4">
        <v>218</v>
      </c>
      <c r="B227" s="122" t="s">
        <v>409</v>
      </c>
      <c r="C227" s="123">
        <v>42030</v>
      </c>
      <c r="D227" s="4">
        <v>2</v>
      </c>
      <c r="E227" s="4" t="s">
        <v>93</v>
      </c>
      <c r="F227" s="4" t="s">
        <v>824</v>
      </c>
      <c r="G227" s="4" t="s">
        <v>202</v>
      </c>
      <c r="H227" s="129">
        <v>42030</v>
      </c>
      <c r="I227" s="4" t="s">
        <v>187</v>
      </c>
      <c r="J227" s="4" t="s">
        <v>103</v>
      </c>
      <c r="K227" s="4" t="s">
        <v>831</v>
      </c>
      <c r="L227" s="129">
        <v>42030</v>
      </c>
      <c r="M227" s="50" t="s">
        <v>859</v>
      </c>
      <c r="N227" s="130" t="s">
        <v>185</v>
      </c>
      <c r="O227" s="129">
        <v>42030</v>
      </c>
      <c r="P227" s="124">
        <f t="shared" ref="P227" si="552">O227-C227</f>
        <v>0</v>
      </c>
      <c r="Q227" s="50" t="s">
        <v>863</v>
      </c>
      <c r="R227" s="4" t="s">
        <v>17</v>
      </c>
      <c r="S227" s="4" t="s">
        <v>101</v>
      </c>
      <c r="T227" s="50" t="s">
        <v>101</v>
      </c>
      <c r="U227" s="132">
        <v>42031</v>
      </c>
      <c r="V227" s="126" t="s">
        <v>186</v>
      </c>
      <c r="W227" s="127">
        <f t="shared" ref="W227" si="553">COUNTBLANK(C227:V227)</f>
        <v>0</v>
      </c>
      <c r="X227" s="127" t="str">
        <f t="shared" ref="X227" si="554">IF(W227=0,"Correcto","Incorrecto")</f>
        <v>Correcto</v>
      </c>
      <c r="Y227" s="34"/>
      <c r="Z227" s="34"/>
      <c r="AA227" s="34"/>
    </row>
    <row r="228" spans="1:27" s="72" customFormat="1" ht="24.75" customHeight="1" x14ac:dyDescent="0.2">
      <c r="A228" s="144">
        <v>219</v>
      </c>
      <c r="B228" s="122" t="s">
        <v>410</v>
      </c>
      <c r="C228" s="123">
        <v>42030</v>
      </c>
      <c r="D228" s="4">
        <v>1</v>
      </c>
      <c r="E228" s="4" t="s">
        <v>93</v>
      </c>
      <c r="F228" s="4" t="s">
        <v>950</v>
      </c>
      <c r="G228" s="4" t="s">
        <v>202</v>
      </c>
      <c r="H228" s="129">
        <v>42031</v>
      </c>
      <c r="I228" s="4" t="s">
        <v>187</v>
      </c>
      <c r="J228" s="4" t="s">
        <v>951</v>
      </c>
      <c r="K228" s="4" t="s">
        <v>950</v>
      </c>
      <c r="L228" s="129">
        <v>42031</v>
      </c>
      <c r="M228" s="50" t="s">
        <v>859</v>
      </c>
      <c r="N228" s="130" t="s">
        <v>185</v>
      </c>
      <c r="O228" s="129">
        <v>42031</v>
      </c>
      <c r="P228" s="124">
        <f t="shared" ref="P228" si="555">O228-C228</f>
        <v>1</v>
      </c>
      <c r="Q228" s="50" t="s">
        <v>948</v>
      </c>
      <c r="R228" s="4" t="s">
        <v>17</v>
      </c>
      <c r="S228" s="4" t="s">
        <v>952</v>
      </c>
      <c r="T228" s="50" t="s">
        <v>952</v>
      </c>
      <c r="U228" s="129">
        <v>42031</v>
      </c>
      <c r="V228" s="126" t="s">
        <v>186</v>
      </c>
      <c r="W228" s="127">
        <f t="shared" ref="W228" si="556">COUNTBLANK(C228:V228)</f>
        <v>0</v>
      </c>
      <c r="X228" s="127" t="str">
        <f t="shared" ref="X228" si="557">IF(W228=0,"Correcto","Incorrecto")</f>
        <v>Correcto</v>
      </c>
      <c r="Y228" s="34"/>
      <c r="Z228" s="34"/>
      <c r="AA228" s="34"/>
    </row>
    <row r="229" spans="1:27" s="72" customFormat="1" ht="24.75" customHeight="1" x14ac:dyDescent="0.2">
      <c r="A229" s="144">
        <v>220</v>
      </c>
      <c r="B229" s="122" t="s">
        <v>411</v>
      </c>
      <c r="C229" s="123">
        <v>42030</v>
      </c>
      <c r="D229" s="4">
        <v>3</v>
      </c>
      <c r="E229" s="4" t="s">
        <v>93</v>
      </c>
      <c r="F229" s="4" t="s">
        <v>824</v>
      </c>
      <c r="G229" s="4" t="s">
        <v>202</v>
      </c>
      <c r="H229" s="129">
        <v>42030</v>
      </c>
      <c r="I229" s="4" t="s">
        <v>187</v>
      </c>
      <c r="J229" s="4" t="s">
        <v>103</v>
      </c>
      <c r="K229" s="4" t="s">
        <v>832</v>
      </c>
      <c r="L229" s="129">
        <v>42030</v>
      </c>
      <c r="M229" s="50" t="s">
        <v>859</v>
      </c>
      <c r="N229" s="130" t="s">
        <v>185</v>
      </c>
      <c r="O229" s="129">
        <v>42030</v>
      </c>
      <c r="P229" s="124">
        <f t="shared" ref="P229" si="558">O229-C229</f>
        <v>0</v>
      </c>
      <c r="Q229" s="50" t="s">
        <v>864</v>
      </c>
      <c r="R229" s="4" t="s">
        <v>17</v>
      </c>
      <c r="S229" s="4" t="s">
        <v>104</v>
      </c>
      <c r="T229" s="4">
        <v>1104502874</v>
      </c>
      <c r="U229" s="129">
        <v>42031</v>
      </c>
      <c r="V229" s="126" t="s">
        <v>186</v>
      </c>
      <c r="W229" s="127">
        <f t="shared" ref="W229" si="559">COUNTBLANK(C229:V229)</f>
        <v>0</v>
      </c>
      <c r="X229" s="127" t="str">
        <f t="shared" ref="X229" si="560">IF(W229=0,"Correcto","Incorrecto")</f>
        <v>Correcto</v>
      </c>
      <c r="Y229" s="34"/>
      <c r="Z229" s="34"/>
      <c r="AA229" s="34"/>
    </row>
    <row r="230" spans="1:27" s="72" customFormat="1" ht="24.75" customHeight="1" x14ac:dyDescent="0.2">
      <c r="A230" s="4">
        <v>221</v>
      </c>
      <c r="B230" s="122" t="s">
        <v>412</v>
      </c>
      <c r="C230" s="123">
        <v>42030</v>
      </c>
      <c r="D230" s="4">
        <v>2</v>
      </c>
      <c r="E230" s="4" t="s">
        <v>93</v>
      </c>
      <c r="F230" s="4" t="s">
        <v>824</v>
      </c>
      <c r="G230" s="4" t="s">
        <v>202</v>
      </c>
      <c r="H230" s="129">
        <v>42030</v>
      </c>
      <c r="I230" s="4" t="s">
        <v>187</v>
      </c>
      <c r="J230" s="4" t="s">
        <v>103</v>
      </c>
      <c r="K230" s="4" t="s">
        <v>833</v>
      </c>
      <c r="L230" s="129">
        <v>42030</v>
      </c>
      <c r="M230" s="50" t="s">
        <v>859</v>
      </c>
      <c r="N230" s="130" t="s">
        <v>185</v>
      </c>
      <c r="O230" s="129">
        <v>42030</v>
      </c>
      <c r="P230" s="124">
        <f t="shared" ref="P230" si="561">O230-C230</f>
        <v>0</v>
      </c>
      <c r="Q230" s="50" t="s">
        <v>865</v>
      </c>
      <c r="R230" s="4" t="s">
        <v>17</v>
      </c>
      <c r="S230" s="4" t="s">
        <v>104</v>
      </c>
      <c r="T230" s="4">
        <v>1102612825</v>
      </c>
      <c r="U230" s="129">
        <v>42031</v>
      </c>
      <c r="V230" s="126" t="s">
        <v>186</v>
      </c>
      <c r="W230" s="127">
        <f t="shared" ref="W230" si="562">COUNTBLANK(C230:V230)</f>
        <v>0</v>
      </c>
      <c r="X230" s="127" t="str">
        <f t="shared" ref="X230" si="563">IF(W230=0,"Correcto","Incorrecto")</f>
        <v>Correcto</v>
      </c>
      <c r="Y230" s="34"/>
      <c r="Z230" s="34"/>
      <c r="AA230" s="34"/>
    </row>
    <row r="231" spans="1:27" s="72" customFormat="1" ht="24.75" customHeight="1" x14ac:dyDescent="0.2">
      <c r="A231" s="144">
        <v>222</v>
      </c>
      <c r="B231" s="122" t="s">
        <v>413</v>
      </c>
      <c r="C231" s="123">
        <v>42030</v>
      </c>
      <c r="D231" s="4">
        <v>2</v>
      </c>
      <c r="E231" s="4" t="s">
        <v>93</v>
      </c>
      <c r="F231" s="4" t="s">
        <v>824</v>
      </c>
      <c r="G231" s="4" t="s">
        <v>202</v>
      </c>
      <c r="H231" s="129">
        <v>42031</v>
      </c>
      <c r="I231" s="4" t="s">
        <v>187</v>
      </c>
      <c r="J231" s="4" t="s">
        <v>103</v>
      </c>
      <c r="K231" s="4" t="s">
        <v>834</v>
      </c>
      <c r="L231" s="129">
        <v>42031</v>
      </c>
      <c r="M231" s="50" t="s">
        <v>859</v>
      </c>
      <c r="N231" s="130" t="s">
        <v>185</v>
      </c>
      <c r="O231" s="129">
        <v>42031</v>
      </c>
      <c r="P231" s="124">
        <f t="shared" ref="P231" si="564">O231-C231</f>
        <v>1</v>
      </c>
      <c r="Q231" s="50" t="s">
        <v>866</v>
      </c>
      <c r="R231" s="4" t="s">
        <v>17</v>
      </c>
      <c r="S231" s="4" t="s">
        <v>104</v>
      </c>
      <c r="T231" s="4">
        <v>1105618373</v>
      </c>
      <c r="U231" s="129">
        <v>42031</v>
      </c>
      <c r="V231" s="126" t="s">
        <v>186</v>
      </c>
      <c r="W231" s="127">
        <f t="shared" ref="W231" si="565">COUNTBLANK(C231:V231)</f>
        <v>0</v>
      </c>
      <c r="X231" s="127" t="str">
        <f t="shared" ref="X231" si="566">IF(W231=0,"Correcto","Incorrecto")</f>
        <v>Correcto</v>
      </c>
      <c r="Y231" s="34"/>
      <c r="Z231" s="34"/>
      <c r="AA231" s="34"/>
    </row>
    <row r="232" spans="1:27" s="72" customFormat="1" ht="24.75" customHeight="1" x14ac:dyDescent="0.2">
      <c r="A232" s="144">
        <v>223</v>
      </c>
      <c r="B232" s="122" t="s">
        <v>414</v>
      </c>
      <c r="C232" s="123">
        <v>42030</v>
      </c>
      <c r="D232" s="4">
        <v>2</v>
      </c>
      <c r="E232" s="4" t="s">
        <v>93</v>
      </c>
      <c r="F232" s="4" t="s">
        <v>824</v>
      </c>
      <c r="G232" s="4" t="s">
        <v>202</v>
      </c>
      <c r="H232" s="129">
        <v>42030</v>
      </c>
      <c r="I232" s="4" t="s">
        <v>187</v>
      </c>
      <c r="J232" s="4" t="s">
        <v>103</v>
      </c>
      <c r="K232" s="4" t="s">
        <v>835</v>
      </c>
      <c r="L232" s="129">
        <v>42030</v>
      </c>
      <c r="M232" s="50" t="s">
        <v>859</v>
      </c>
      <c r="N232" s="130" t="s">
        <v>185</v>
      </c>
      <c r="O232" s="129">
        <v>42030</v>
      </c>
      <c r="P232" s="124">
        <f t="shared" ref="P232" si="567">O232-C232</f>
        <v>0</v>
      </c>
      <c r="Q232" s="50" t="s">
        <v>867</v>
      </c>
      <c r="R232" s="4" t="s">
        <v>17</v>
      </c>
      <c r="S232" s="4" t="s">
        <v>104</v>
      </c>
      <c r="T232" s="4">
        <v>1102972245</v>
      </c>
      <c r="U232" s="129">
        <v>42031</v>
      </c>
      <c r="V232" s="126" t="s">
        <v>186</v>
      </c>
      <c r="W232" s="127">
        <f t="shared" ref="W232" si="568">COUNTBLANK(C232:V232)</f>
        <v>0</v>
      </c>
      <c r="X232" s="127" t="str">
        <f t="shared" ref="X232" si="569">IF(W232=0,"Correcto","Incorrecto")</f>
        <v>Correcto</v>
      </c>
      <c r="Y232" s="34"/>
      <c r="Z232" s="34"/>
      <c r="AA232" s="34"/>
    </row>
    <row r="233" spans="1:27" s="72" customFormat="1" ht="24.75" customHeight="1" x14ac:dyDescent="0.2">
      <c r="A233" s="4">
        <v>224</v>
      </c>
      <c r="B233" s="122" t="s">
        <v>415</v>
      </c>
      <c r="C233" s="123">
        <v>42030</v>
      </c>
      <c r="D233" s="4">
        <v>2</v>
      </c>
      <c r="E233" s="4" t="s">
        <v>93</v>
      </c>
      <c r="F233" s="4" t="s">
        <v>824</v>
      </c>
      <c r="G233" s="4" t="s">
        <v>202</v>
      </c>
      <c r="H233" s="129">
        <v>42031</v>
      </c>
      <c r="I233" s="4" t="s">
        <v>187</v>
      </c>
      <c r="J233" s="4" t="s">
        <v>103</v>
      </c>
      <c r="K233" s="4" t="s">
        <v>836</v>
      </c>
      <c r="L233" s="129">
        <v>42031</v>
      </c>
      <c r="M233" s="50" t="s">
        <v>859</v>
      </c>
      <c r="N233" s="130" t="s">
        <v>185</v>
      </c>
      <c r="O233" s="129">
        <v>42031</v>
      </c>
      <c r="P233" s="124">
        <f t="shared" ref="P233" si="570">O233-C233</f>
        <v>1</v>
      </c>
      <c r="Q233" s="50" t="s">
        <v>868</v>
      </c>
      <c r="R233" s="4" t="s">
        <v>17</v>
      </c>
      <c r="S233" s="4" t="s">
        <v>104</v>
      </c>
      <c r="T233" s="4">
        <v>1103809800</v>
      </c>
      <c r="U233" s="129">
        <v>42031</v>
      </c>
      <c r="V233" s="126" t="s">
        <v>186</v>
      </c>
      <c r="W233" s="127">
        <f t="shared" ref="W233" si="571">COUNTBLANK(C233:V233)</f>
        <v>0</v>
      </c>
      <c r="X233" s="127" t="str">
        <f t="shared" ref="X233" si="572">IF(W233=0,"Correcto","Incorrecto")</f>
        <v>Correcto</v>
      </c>
      <c r="Y233" s="34"/>
      <c r="Z233" s="34"/>
      <c r="AA233" s="34"/>
    </row>
    <row r="234" spans="1:27" s="72" customFormat="1" ht="24.75" customHeight="1" x14ac:dyDescent="0.2">
      <c r="A234" s="144">
        <v>225</v>
      </c>
      <c r="B234" s="122" t="s">
        <v>416</v>
      </c>
      <c r="C234" s="123">
        <v>42031</v>
      </c>
      <c r="D234" s="4">
        <v>2</v>
      </c>
      <c r="E234" s="4" t="s">
        <v>93</v>
      </c>
      <c r="F234" s="4" t="s">
        <v>824</v>
      </c>
      <c r="G234" s="4" t="s">
        <v>202</v>
      </c>
      <c r="H234" s="129">
        <v>42031</v>
      </c>
      <c r="I234" s="4" t="s">
        <v>187</v>
      </c>
      <c r="J234" s="4" t="s">
        <v>103</v>
      </c>
      <c r="K234" s="4" t="s">
        <v>837</v>
      </c>
      <c r="L234" s="129">
        <v>42031</v>
      </c>
      <c r="M234" s="50" t="s">
        <v>859</v>
      </c>
      <c r="N234" s="130" t="s">
        <v>185</v>
      </c>
      <c r="O234" s="129">
        <v>42031</v>
      </c>
      <c r="P234" s="124">
        <f t="shared" ref="P234" si="573">O234-C234</f>
        <v>0</v>
      </c>
      <c r="Q234" s="50" t="s">
        <v>869</v>
      </c>
      <c r="R234" s="4" t="s">
        <v>605</v>
      </c>
      <c r="S234" s="4" t="s">
        <v>101</v>
      </c>
      <c r="T234" s="50" t="s">
        <v>1041</v>
      </c>
      <c r="U234" s="132">
        <v>42032</v>
      </c>
      <c r="V234" s="126" t="s">
        <v>186</v>
      </c>
      <c r="W234" s="127">
        <f t="shared" ref="W234" si="574">COUNTBLANK(C234:V234)</f>
        <v>0</v>
      </c>
      <c r="X234" s="127" t="str">
        <f t="shared" ref="X234" si="575">IF(W234=0,"Correcto","Incorrecto")</f>
        <v>Correcto</v>
      </c>
      <c r="Y234" s="34"/>
      <c r="Z234" s="34"/>
      <c r="AA234" s="34"/>
    </row>
    <row r="235" spans="1:27" s="72" customFormat="1" ht="24.75" customHeight="1" x14ac:dyDescent="0.2">
      <c r="A235" s="144">
        <v>226</v>
      </c>
      <c r="B235" s="122" t="s">
        <v>417</v>
      </c>
      <c r="C235" s="123">
        <v>42031</v>
      </c>
      <c r="D235" s="4">
        <v>2</v>
      </c>
      <c r="E235" s="4" t="s">
        <v>93</v>
      </c>
      <c r="F235" s="4" t="s">
        <v>824</v>
      </c>
      <c r="G235" s="4" t="s">
        <v>202</v>
      </c>
      <c r="H235" s="129">
        <v>42031</v>
      </c>
      <c r="I235" s="4" t="s">
        <v>187</v>
      </c>
      <c r="J235" s="4" t="s">
        <v>103</v>
      </c>
      <c r="K235" s="4" t="s">
        <v>838</v>
      </c>
      <c r="L235" s="129">
        <v>42031</v>
      </c>
      <c r="M235" s="50" t="s">
        <v>859</v>
      </c>
      <c r="N235" s="130" t="s">
        <v>185</v>
      </c>
      <c r="O235" s="129">
        <v>42031</v>
      </c>
      <c r="P235" s="124">
        <f t="shared" ref="P235" si="576">O235-C235</f>
        <v>0</v>
      </c>
      <c r="Q235" s="50" t="s">
        <v>870</v>
      </c>
      <c r="R235" s="4" t="s">
        <v>605</v>
      </c>
      <c r="S235" s="4" t="s">
        <v>101</v>
      </c>
      <c r="T235" s="50" t="s">
        <v>1041</v>
      </c>
      <c r="U235" s="132">
        <v>42032</v>
      </c>
      <c r="V235" s="126" t="s">
        <v>186</v>
      </c>
      <c r="W235" s="127">
        <f t="shared" ref="W235" si="577">COUNTBLANK(C235:V235)</f>
        <v>0</v>
      </c>
      <c r="X235" s="127" t="str">
        <f t="shared" ref="X235" si="578">IF(W235=0,"Correcto","Incorrecto")</f>
        <v>Correcto</v>
      </c>
      <c r="Y235" s="34"/>
      <c r="Z235" s="34"/>
      <c r="AA235" s="34"/>
    </row>
    <row r="236" spans="1:27" s="72" customFormat="1" ht="24.75" customHeight="1" x14ac:dyDescent="0.2">
      <c r="A236" s="4">
        <v>227</v>
      </c>
      <c r="B236" s="122" t="s">
        <v>418</v>
      </c>
      <c r="C236" s="123">
        <v>42031</v>
      </c>
      <c r="D236" s="4">
        <v>2</v>
      </c>
      <c r="E236" s="4" t="s">
        <v>93</v>
      </c>
      <c r="F236" s="4" t="s">
        <v>824</v>
      </c>
      <c r="G236" s="4" t="s">
        <v>202</v>
      </c>
      <c r="H236" s="129">
        <v>42031</v>
      </c>
      <c r="I236" s="4" t="s">
        <v>187</v>
      </c>
      <c r="J236" s="4" t="s">
        <v>103</v>
      </c>
      <c r="K236" s="4" t="s">
        <v>839</v>
      </c>
      <c r="L236" s="129">
        <v>42031</v>
      </c>
      <c r="M236" s="50" t="s">
        <v>859</v>
      </c>
      <c r="N236" s="130" t="s">
        <v>185</v>
      </c>
      <c r="O236" s="129">
        <v>42031</v>
      </c>
      <c r="P236" s="124">
        <f t="shared" ref="P236" si="579">O236-C236</f>
        <v>0</v>
      </c>
      <c r="Q236" s="50" t="s">
        <v>871</v>
      </c>
      <c r="R236" s="4" t="s">
        <v>605</v>
      </c>
      <c r="S236" s="4" t="s">
        <v>101</v>
      </c>
      <c r="T236" s="50" t="s">
        <v>1041</v>
      </c>
      <c r="U236" s="132">
        <v>42032</v>
      </c>
      <c r="V236" s="126" t="s">
        <v>186</v>
      </c>
      <c r="W236" s="127">
        <f t="shared" ref="W236" si="580">COUNTBLANK(C236:V236)</f>
        <v>0</v>
      </c>
      <c r="X236" s="127" t="str">
        <f t="shared" ref="X236" si="581">IF(W236=0,"Correcto","Incorrecto")</f>
        <v>Correcto</v>
      </c>
      <c r="Y236" s="34"/>
      <c r="Z236" s="34"/>
      <c r="AA236" s="34"/>
    </row>
    <row r="237" spans="1:27" s="72" customFormat="1" ht="24.75" customHeight="1" x14ac:dyDescent="0.2">
      <c r="A237" s="144">
        <v>228</v>
      </c>
      <c r="B237" s="122" t="s">
        <v>419</v>
      </c>
      <c r="C237" s="123">
        <v>42031</v>
      </c>
      <c r="D237" s="4">
        <v>2</v>
      </c>
      <c r="E237" s="4" t="s">
        <v>93</v>
      </c>
      <c r="F237" s="4" t="s">
        <v>824</v>
      </c>
      <c r="G237" s="4" t="s">
        <v>202</v>
      </c>
      <c r="H237" s="129">
        <v>42031</v>
      </c>
      <c r="I237" s="4" t="s">
        <v>187</v>
      </c>
      <c r="J237" s="4" t="s">
        <v>103</v>
      </c>
      <c r="K237" s="4" t="s">
        <v>840</v>
      </c>
      <c r="L237" s="129">
        <v>42031</v>
      </c>
      <c r="M237" s="50" t="s">
        <v>859</v>
      </c>
      <c r="N237" s="130" t="s">
        <v>185</v>
      </c>
      <c r="O237" s="129">
        <v>42033</v>
      </c>
      <c r="P237" s="124">
        <f t="shared" ref="P237" si="582">O237-C237</f>
        <v>2</v>
      </c>
      <c r="Q237" s="50" t="s">
        <v>872</v>
      </c>
      <c r="R237" s="4" t="s">
        <v>17</v>
      </c>
      <c r="S237" s="4">
        <v>2200113039</v>
      </c>
      <c r="T237" s="50" t="s">
        <v>104</v>
      </c>
      <c r="U237" s="132">
        <v>42034</v>
      </c>
      <c r="V237" s="126" t="s">
        <v>186</v>
      </c>
      <c r="W237" s="127">
        <f t="shared" ref="W237" si="583">COUNTBLANK(C237:V237)</f>
        <v>0</v>
      </c>
      <c r="X237" s="127" t="str">
        <f t="shared" ref="X237" si="584">IF(W237=0,"Correcto","Incorrecto")</f>
        <v>Correcto</v>
      </c>
      <c r="Y237" s="34"/>
      <c r="Z237" s="34"/>
      <c r="AA237" s="34"/>
    </row>
    <row r="238" spans="1:27" s="72" customFormat="1" ht="24.75" customHeight="1" x14ac:dyDescent="0.2">
      <c r="A238" s="144">
        <v>229</v>
      </c>
      <c r="B238" s="122" t="s">
        <v>420</v>
      </c>
      <c r="C238" s="123">
        <v>42031</v>
      </c>
      <c r="D238" s="4">
        <v>3</v>
      </c>
      <c r="E238" s="4" t="s">
        <v>93</v>
      </c>
      <c r="F238" s="4" t="s">
        <v>824</v>
      </c>
      <c r="G238" s="4" t="s">
        <v>202</v>
      </c>
      <c r="H238" s="129">
        <v>42031</v>
      </c>
      <c r="I238" s="4" t="s">
        <v>187</v>
      </c>
      <c r="J238" s="4" t="s">
        <v>103</v>
      </c>
      <c r="K238" s="4" t="s">
        <v>841</v>
      </c>
      <c r="L238" s="129">
        <v>42031</v>
      </c>
      <c r="M238" s="50" t="s">
        <v>859</v>
      </c>
      <c r="N238" s="130" t="s">
        <v>185</v>
      </c>
      <c r="O238" s="129">
        <v>42033</v>
      </c>
      <c r="P238" s="124">
        <f t="shared" ref="P238:P239" si="585">O238-C238</f>
        <v>2</v>
      </c>
      <c r="Q238" s="50" t="s">
        <v>873</v>
      </c>
      <c r="R238" s="4" t="s">
        <v>17</v>
      </c>
      <c r="S238" s="4" t="s">
        <v>101</v>
      </c>
      <c r="T238" s="50" t="s">
        <v>101</v>
      </c>
      <c r="U238" s="132">
        <v>42034</v>
      </c>
      <c r="V238" s="126" t="s">
        <v>186</v>
      </c>
      <c r="W238" s="127">
        <f t="shared" ref="W238:W239" si="586">COUNTBLANK(C238:V238)</f>
        <v>0</v>
      </c>
      <c r="X238" s="127" t="str">
        <f t="shared" ref="X238:X239" si="587">IF(W238=0,"Correcto","Incorrecto")</f>
        <v>Correcto</v>
      </c>
      <c r="Y238" s="34"/>
      <c r="Z238" s="34"/>
      <c r="AA238" s="34"/>
    </row>
    <row r="239" spans="1:27" s="72" customFormat="1" ht="24.75" customHeight="1" x14ac:dyDescent="0.2">
      <c r="A239" s="4">
        <v>230</v>
      </c>
      <c r="B239" s="122" t="s">
        <v>1106</v>
      </c>
      <c r="C239" s="123">
        <v>42031</v>
      </c>
      <c r="D239" s="4">
        <v>60</v>
      </c>
      <c r="E239" s="4" t="s">
        <v>93</v>
      </c>
      <c r="F239" s="4" t="s">
        <v>824</v>
      </c>
      <c r="G239" s="4" t="s">
        <v>202</v>
      </c>
      <c r="H239" s="129">
        <v>42058</v>
      </c>
      <c r="I239" s="4" t="s">
        <v>187</v>
      </c>
      <c r="J239" s="4" t="s">
        <v>103</v>
      </c>
      <c r="K239" s="4" t="s">
        <v>1107</v>
      </c>
      <c r="L239" s="129">
        <v>42058</v>
      </c>
      <c r="M239" s="50" t="s">
        <v>1078</v>
      </c>
      <c r="N239" s="130" t="s">
        <v>1079</v>
      </c>
      <c r="O239" s="129">
        <v>42058</v>
      </c>
      <c r="P239" s="124">
        <f t="shared" si="585"/>
        <v>27</v>
      </c>
      <c r="Q239" s="50" t="s">
        <v>1108</v>
      </c>
      <c r="R239" s="4" t="s">
        <v>17</v>
      </c>
      <c r="S239" s="4" t="s">
        <v>101</v>
      </c>
      <c r="T239" s="50" t="s">
        <v>101</v>
      </c>
      <c r="U239" s="132">
        <v>42062</v>
      </c>
      <c r="V239" s="126" t="s">
        <v>186</v>
      </c>
      <c r="W239" s="127">
        <f t="shared" si="586"/>
        <v>0</v>
      </c>
      <c r="X239" s="127" t="str">
        <f t="shared" si="587"/>
        <v>Correcto</v>
      </c>
      <c r="Y239" s="34"/>
      <c r="Z239" s="34"/>
      <c r="AA239" s="34"/>
    </row>
    <row r="240" spans="1:27" s="72" customFormat="1" ht="24.75" customHeight="1" x14ac:dyDescent="0.2">
      <c r="A240" s="144">
        <v>231</v>
      </c>
      <c r="B240" s="122" t="s">
        <v>421</v>
      </c>
      <c r="C240" s="123">
        <v>42031</v>
      </c>
      <c r="D240" s="4">
        <v>2</v>
      </c>
      <c r="E240" s="4" t="s">
        <v>93</v>
      </c>
      <c r="F240" s="4" t="s">
        <v>824</v>
      </c>
      <c r="G240" s="4" t="s">
        <v>202</v>
      </c>
      <c r="H240" s="129">
        <v>42031</v>
      </c>
      <c r="I240" s="4" t="s">
        <v>187</v>
      </c>
      <c r="J240" s="4" t="s">
        <v>103</v>
      </c>
      <c r="K240" s="4" t="s">
        <v>842</v>
      </c>
      <c r="L240" s="129">
        <v>42031</v>
      </c>
      <c r="M240" s="50" t="s">
        <v>859</v>
      </c>
      <c r="N240" s="130" t="s">
        <v>185</v>
      </c>
      <c r="O240" s="129">
        <v>42033</v>
      </c>
      <c r="P240" s="124">
        <f t="shared" ref="P240" si="588">O240-C240</f>
        <v>2</v>
      </c>
      <c r="Q240" s="50" t="s">
        <v>874</v>
      </c>
      <c r="R240" s="4" t="s">
        <v>17</v>
      </c>
      <c r="S240" s="4" t="s">
        <v>101</v>
      </c>
      <c r="T240" s="50" t="s">
        <v>101</v>
      </c>
      <c r="U240" s="132">
        <v>42034</v>
      </c>
      <c r="V240" s="126" t="s">
        <v>186</v>
      </c>
      <c r="W240" s="127">
        <f t="shared" ref="W240" si="589">COUNTBLANK(C240:V240)</f>
        <v>0</v>
      </c>
      <c r="X240" s="127" t="str">
        <f t="shared" ref="X240" si="590">IF(W240=0,"Correcto","Incorrecto")</f>
        <v>Correcto</v>
      </c>
      <c r="Y240" s="34"/>
      <c r="Z240" s="34"/>
      <c r="AA240" s="34"/>
    </row>
    <row r="241" spans="1:27" s="72" customFormat="1" ht="24.75" customHeight="1" x14ac:dyDescent="0.2">
      <c r="A241" s="144">
        <v>232</v>
      </c>
      <c r="B241" s="122" t="s">
        <v>422</v>
      </c>
      <c r="C241" s="123">
        <v>42031</v>
      </c>
      <c r="D241" s="4">
        <v>2</v>
      </c>
      <c r="E241" s="4" t="s">
        <v>93</v>
      </c>
      <c r="F241" s="4" t="s">
        <v>824</v>
      </c>
      <c r="G241" s="4" t="s">
        <v>202</v>
      </c>
      <c r="H241" s="129">
        <v>42032</v>
      </c>
      <c r="I241" s="4" t="s">
        <v>187</v>
      </c>
      <c r="J241" s="4" t="s">
        <v>103</v>
      </c>
      <c r="K241" s="4" t="s">
        <v>843</v>
      </c>
      <c r="L241" s="129">
        <v>42032</v>
      </c>
      <c r="M241" s="50" t="s">
        <v>859</v>
      </c>
      <c r="N241" s="130" t="s">
        <v>185</v>
      </c>
      <c r="O241" s="129">
        <v>42033</v>
      </c>
      <c r="P241" s="124">
        <f t="shared" ref="P241" si="591">O241-C241</f>
        <v>2</v>
      </c>
      <c r="Q241" s="50" t="s">
        <v>875</v>
      </c>
      <c r="R241" s="4" t="s">
        <v>17</v>
      </c>
      <c r="S241" s="4" t="s">
        <v>101</v>
      </c>
      <c r="T241" s="50" t="s">
        <v>101</v>
      </c>
      <c r="U241" s="132">
        <v>42034</v>
      </c>
      <c r="V241" s="126" t="s">
        <v>186</v>
      </c>
      <c r="W241" s="127">
        <f t="shared" ref="W241" si="592">COUNTBLANK(C241:V241)</f>
        <v>0</v>
      </c>
      <c r="X241" s="127" t="str">
        <f t="shared" ref="X241" si="593">IF(W241=0,"Correcto","Incorrecto")</f>
        <v>Correcto</v>
      </c>
      <c r="Y241" s="34"/>
      <c r="Z241" s="34"/>
      <c r="AA241" s="34"/>
    </row>
    <row r="242" spans="1:27" s="72" customFormat="1" ht="24.75" customHeight="1" x14ac:dyDescent="0.2">
      <c r="A242" s="4">
        <v>233</v>
      </c>
      <c r="B242" s="122" t="s">
        <v>423</v>
      </c>
      <c r="C242" s="123">
        <v>42031</v>
      </c>
      <c r="D242" s="4">
        <v>3</v>
      </c>
      <c r="E242" s="4" t="s">
        <v>93</v>
      </c>
      <c r="F242" s="4" t="s">
        <v>824</v>
      </c>
      <c r="G242" s="4" t="s">
        <v>202</v>
      </c>
      <c r="H242" s="129">
        <v>42032</v>
      </c>
      <c r="I242" s="4" t="s">
        <v>187</v>
      </c>
      <c r="J242" s="4" t="s">
        <v>103</v>
      </c>
      <c r="K242" s="4" t="s">
        <v>844</v>
      </c>
      <c r="L242" s="129">
        <v>42032</v>
      </c>
      <c r="M242" s="50" t="s">
        <v>859</v>
      </c>
      <c r="N242" s="130" t="s">
        <v>185</v>
      </c>
      <c r="O242" s="129">
        <v>42033</v>
      </c>
      <c r="P242" s="124">
        <f t="shared" ref="P242" si="594">O242-C242</f>
        <v>2</v>
      </c>
      <c r="Q242" s="50" t="s">
        <v>876</v>
      </c>
      <c r="R242" s="4" t="s">
        <v>17</v>
      </c>
      <c r="S242" s="4" t="s">
        <v>101</v>
      </c>
      <c r="T242" s="50" t="s">
        <v>101</v>
      </c>
      <c r="U242" s="132">
        <v>42034</v>
      </c>
      <c r="V242" s="126" t="s">
        <v>186</v>
      </c>
      <c r="W242" s="127">
        <f t="shared" ref="W242" si="595">COUNTBLANK(C242:V242)</f>
        <v>0</v>
      </c>
      <c r="X242" s="127" t="str">
        <f t="shared" ref="X242" si="596">IF(W242=0,"Correcto","Incorrecto")</f>
        <v>Correcto</v>
      </c>
      <c r="Y242" s="34"/>
      <c r="Z242" s="34"/>
      <c r="AA242" s="34"/>
    </row>
    <row r="243" spans="1:27" s="143" customFormat="1" ht="24.75" customHeight="1" x14ac:dyDescent="0.2">
      <c r="A243" s="144">
        <v>234</v>
      </c>
      <c r="B243" s="135" t="s">
        <v>424</v>
      </c>
      <c r="C243" s="136">
        <v>42031</v>
      </c>
      <c r="D243" s="137">
        <v>2</v>
      </c>
      <c r="E243" s="137" t="s">
        <v>93</v>
      </c>
      <c r="F243" s="137" t="s">
        <v>824</v>
      </c>
      <c r="G243" s="137" t="s">
        <v>202</v>
      </c>
      <c r="H243" s="138">
        <v>42032</v>
      </c>
      <c r="I243" s="137" t="s">
        <v>187</v>
      </c>
      <c r="J243" s="137" t="s">
        <v>103</v>
      </c>
      <c r="K243" s="137" t="s">
        <v>845</v>
      </c>
      <c r="L243" s="138">
        <v>42032</v>
      </c>
      <c r="M243" s="139" t="s">
        <v>859</v>
      </c>
      <c r="N243" s="124" t="s">
        <v>185</v>
      </c>
      <c r="O243" s="138">
        <v>42033</v>
      </c>
      <c r="P243" s="124">
        <f t="shared" ref="P243" si="597">O243-C243</f>
        <v>2</v>
      </c>
      <c r="Q243" s="139" t="s">
        <v>877</v>
      </c>
      <c r="R243" s="137" t="s">
        <v>17</v>
      </c>
      <c r="S243" s="137" t="s">
        <v>104</v>
      </c>
      <c r="T243" s="139" t="s">
        <v>1109</v>
      </c>
      <c r="U243" s="125">
        <v>42033</v>
      </c>
      <c r="V243" s="140" t="s">
        <v>186</v>
      </c>
      <c r="W243" s="141">
        <f t="shared" ref="W243" si="598">COUNTBLANK(C243:V243)</f>
        <v>0</v>
      </c>
      <c r="X243" s="141" t="str">
        <f t="shared" ref="X243" si="599">IF(W243=0,"Correcto","Incorrecto")</f>
        <v>Correcto</v>
      </c>
      <c r="Y243" s="142"/>
      <c r="Z243" s="142"/>
      <c r="AA243" s="142"/>
    </row>
    <row r="244" spans="1:27" s="72" customFormat="1" ht="24.75" customHeight="1" x14ac:dyDescent="0.2">
      <c r="A244" s="144">
        <v>235</v>
      </c>
      <c r="B244" s="122" t="s">
        <v>425</v>
      </c>
      <c r="C244" s="123">
        <v>42031</v>
      </c>
      <c r="D244" s="4">
        <v>2</v>
      </c>
      <c r="E244" s="4" t="s">
        <v>93</v>
      </c>
      <c r="F244" s="4" t="s">
        <v>824</v>
      </c>
      <c r="G244" s="4" t="s">
        <v>202</v>
      </c>
      <c r="H244" s="129">
        <v>42032</v>
      </c>
      <c r="I244" s="4" t="s">
        <v>187</v>
      </c>
      <c r="J244" s="4" t="s">
        <v>103</v>
      </c>
      <c r="K244" s="4" t="s">
        <v>846</v>
      </c>
      <c r="L244" s="129">
        <v>42032</v>
      </c>
      <c r="M244" s="50" t="s">
        <v>859</v>
      </c>
      <c r="N244" s="130" t="s">
        <v>185</v>
      </c>
      <c r="O244" s="129">
        <v>42033</v>
      </c>
      <c r="P244" s="124">
        <f t="shared" ref="P244" si="600">O244-C244</f>
        <v>2</v>
      </c>
      <c r="Q244" s="50" t="s">
        <v>878</v>
      </c>
      <c r="R244" s="4" t="s">
        <v>17</v>
      </c>
      <c r="S244" s="4" t="s">
        <v>101</v>
      </c>
      <c r="T244" s="50" t="s">
        <v>101</v>
      </c>
      <c r="U244" s="132">
        <v>42034</v>
      </c>
      <c r="V244" s="126" t="s">
        <v>186</v>
      </c>
      <c r="W244" s="127">
        <f t="shared" ref="W244" si="601">COUNTBLANK(C244:V244)</f>
        <v>0</v>
      </c>
      <c r="X244" s="127" t="str">
        <f t="shared" ref="X244" si="602">IF(W244=0,"Correcto","Incorrecto")</f>
        <v>Correcto</v>
      </c>
      <c r="Y244" s="34"/>
      <c r="Z244" s="34"/>
      <c r="AA244" s="34"/>
    </row>
    <row r="245" spans="1:27" s="72" customFormat="1" ht="24.75" customHeight="1" x14ac:dyDescent="0.2">
      <c r="A245" s="4">
        <v>236</v>
      </c>
      <c r="B245" s="122" t="s">
        <v>426</v>
      </c>
      <c r="C245" s="123">
        <v>42031</v>
      </c>
      <c r="D245" s="4">
        <v>2</v>
      </c>
      <c r="E245" s="4" t="s">
        <v>93</v>
      </c>
      <c r="F245" s="4" t="s">
        <v>824</v>
      </c>
      <c r="G245" s="4" t="s">
        <v>202</v>
      </c>
      <c r="H245" s="129">
        <v>42032</v>
      </c>
      <c r="I245" s="4" t="s">
        <v>187</v>
      </c>
      <c r="J245" s="4" t="s">
        <v>103</v>
      </c>
      <c r="K245" s="4" t="s">
        <v>847</v>
      </c>
      <c r="L245" s="129">
        <v>42032</v>
      </c>
      <c r="M245" s="50" t="s">
        <v>859</v>
      </c>
      <c r="N245" s="130" t="s">
        <v>185</v>
      </c>
      <c r="O245" s="129">
        <v>42033</v>
      </c>
      <c r="P245" s="124">
        <f t="shared" ref="P245" si="603">O245-C245</f>
        <v>2</v>
      </c>
      <c r="Q245" s="50" t="s">
        <v>879</v>
      </c>
      <c r="R245" s="4" t="s">
        <v>17</v>
      </c>
      <c r="S245" s="4" t="s">
        <v>101</v>
      </c>
      <c r="T245" s="50" t="s">
        <v>101</v>
      </c>
      <c r="U245" s="132">
        <v>42034</v>
      </c>
      <c r="V245" s="126" t="s">
        <v>186</v>
      </c>
      <c r="W245" s="127">
        <f t="shared" ref="W245" si="604">COUNTBLANK(C245:V245)</f>
        <v>0</v>
      </c>
      <c r="X245" s="127" t="str">
        <f t="shared" ref="X245" si="605">IF(W245=0,"Correcto","Incorrecto")</f>
        <v>Correcto</v>
      </c>
      <c r="Y245" s="34"/>
      <c r="Z245" s="34"/>
      <c r="AA245" s="34"/>
    </row>
    <row r="246" spans="1:27" s="72" customFormat="1" ht="24.75" customHeight="1" x14ac:dyDescent="0.2">
      <c r="A246" s="144">
        <v>237</v>
      </c>
      <c r="B246" s="122" t="s">
        <v>427</v>
      </c>
      <c r="C246" s="123">
        <v>42031</v>
      </c>
      <c r="D246" s="4">
        <v>2</v>
      </c>
      <c r="E246" s="4" t="s">
        <v>93</v>
      </c>
      <c r="F246" s="4" t="s">
        <v>824</v>
      </c>
      <c r="G246" s="4" t="s">
        <v>202</v>
      </c>
      <c r="H246" s="129">
        <v>42032</v>
      </c>
      <c r="I246" s="4" t="s">
        <v>187</v>
      </c>
      <c r="J246" s="4" t="s">
        <v>103</v>
      </c>
      <c r="K246" s="4" t="s">
        <v>848</v>
      </c>
      <c r="L246" s="129">
        <v>42032</v>
      </c>
      <c r="M246" s="50" t="s">
        <v>859</v>
      </c>
      <c r="N246" s="130" t="s">
        <v>185</v>
      </c>
      <c r="O246" s="129">
        <v>42033</v>
      </c>
      <c r="P246" s="124">
        <f t="shared" ref="P246" si="606">O246-C246</f>
        <v>2</v>
      </c>
      <c r="Q246" s="50" t="s">
        <v>880</v>
      </c>
      <c r="R246" s="4" t="s">
        <v>17</v>
      </c>
      <c r="S246" s="4" t="s">
        <v>101</v>
      </c>
      <c r="T246" s="50" t="s">
        <v>101</v>
      </c>
      <c r="U246" s="132">
        <v>42034</v>
      </c>
      <c r="V246" s="126" t="s">
        <v>186</v>
      </c>
      <c r="W246" s="127">
        <f t="shared" ref="W246" si="607">COUNTBLANK(C246:V246)</f>
        <v>0</v>
      </c>
      <c r="X246" s="127" t="str">
        <f t="shared" ref="X246" si="608">IF(W246=0,"Correcto","Incorrecto")</f>
        <v>Correcto</v>
      </c>
      <c r="Y246" s="34"/>
      <c r="Z246" s="34"/>
      <c r="AA246" s="34"/>
    </row>
    <row r="247" spans="1:27" s="72" customFormat="1" ht="24.75" customHeight="1" x14ac:dyDescent="0.2">
      <c r="A247" s="144">
        <v>238</v>
      </c>
      <c r="B247" s="122" t="s">
        <v>428</v>
      </c>
      <c r="C247" s="123">
        <v>42031</v>
      </c>
      <c r="D247" s="4">
        <v>2</v>
      </c>
      <c r="E247" s="4" t="s">
        <v>93</v>
      </c>
      <c r="F247" s="4" t="s">
        <v>824</v>
      </c>
      <c r="G247" s="4" t="s">
        <v>202</v>
      </c>
      <c r="H247" s="129">
        <v>42032</v>
      </c>
      <c r="I247" s="4" t="s">
        <v>187</v>
      </c>
      <c r="J247" s="4" t="s">
        <v>103</v>
      </c>
      <c r="K247" s="4" t="s">
        <v>849</v>
      </c>
      <c r="L247" s="129">
        <v>42032</v>
      </c>
      <c r="M247" s="50" t="s">
        <v>859</v>
      </c>
      <c r="N247" s="130" t="s">
        <v>185</v>
      </c>
      <c r="O247" s="129">
        <v>42033</v>
      </c>
      <c r="P247" s="124">
        <f t="shared" ref="P247" si="609">O247-C247</f>
        <v>2</v>
      </c>
      <c r="Q247" s="50" t="s">
        <v>881</v>
      </c>
      <c r="R247" s="4" t="s">
        <v>17</v>
      </c>
      <c r="S247" s="4" t="s">
        <v>101</v>
      </c>
      <c r="T247" s="50" t="s">
        <v>101</v>
      </c>
      <c r="U247" s="132">
        <v>42034</v>
      </c>
      <c r="V247" s="126" t="s">
        <v>186</v>
      </c>
      <c r="W247" s="127">
        <f t="shared" ref="W247" si="610">COUNTBLANK(C247:V247)</f>
        <v>0</v>
      </c>
      <c r="X247" s="127" t="str">
        <f t="shared" ref="X247" si="611">IF(W247=0,"Correcto","Incorrecto")</f>
        <v>Correcto</v>
      </c>
      <c r="Y247" s="34"/>
      <c r="Z247" s="34"/>
      <c r="AA247" s="34"/>
    </row>
    <row r="248" spans="1:27" s="72" customFormat="1" ht="24.75" customHeight="1" x14ac:dyDescent="0.2">
      <c r="A248" s="4">
        <v>239</v>
      </c>
      <c r="B248" s="122" t="s">
        <v>429</v>
      </c>
      <c r="C248" s="123">
        <v>42031</v>
      </c>
      <c r="D248" s="4">
        <v>2</v>
      </c>
      <c r="E248" s="4" t="s">
        <v>93</v>
      </c>
      <c r="F248" s="4" t="s">
        <v>824</v>
      </c>
      <c r="G248" s="4" t="s">
        <v>202</v>
      </c>
      <c r="H248" s="129">
        <v>42032</v>
      </c>
      <c r="I248" s="4" t="s">
        <v>187</v>
      </c>
      <c r="J248" s="4" t="s">
        <v>103</v>
      </c>
      <c r="K248" s="4" t="s">
        <v>850</v>
      </c>
      <c r="L248" s="129">
        <v>42032</v>
      </c>
      <c r="M248" s="50" t="s">
        <v>859</v>
      </c>
      <c r="N248" s="130" t="s">
        <v>185</v>
      </c>
      <c r="O248" s="129">
        <v>42033</v>
      </c>
      <c r="P248" s="124">
        <f t="shared" ref="P248" si="612">O248-C248</f>
        <v>2</v>
      </c>
      <c r="Q248" s="50" t="s">
        <v>882</v>
      </c>
      <c r="R248" s="4" t="s">
        <v>17</v>
      </c>
      <c r="S248" s="4" t="s">
        <v>104</v>
      </c>
      <c r="T248" s="50" t="s">
        <v>1110</v>
      </c>
      <c r="U248" s="132">
        <v>42033</v>
      </c>
      <c r="V248" s="126" t="s">
        <v>186</v>
      </c>
      <c r="W248" s="127">
        <f t="shared" ref="W248" si="613">COUNTBLANK(C248:V248)</f>
        <v>0</v>
      </c>
      <c r="X248" s="127" t="str">
        <f t="shared" ref="X248" si="614">IF(W248=0,"Correcto","Incorrecto")</f>
        <v>Correcto</v>
      </c>
      <c r="Y248" s="34"/>
      <c r="Z248" s="34"/>
      <c r="AA248" s="34"/>
    </row>
    <row r="249" spans="1:27" s="72" customFormat="1" ht="24.75" customHeight="1" x14ac:dyDescent="0.2">
      <c r="A249" s="144">
        <v>240</v>
      </c>
      <c r="B249" s="122" t="s">
        <v>430</v>
      </c>
      <c r="C249" s="123">
        <v>42031</v>
      </c>
      <c r="D249" s="4">
        <v>2</v>
      </c>
      <c r="E249" s="4" t="s">
        <v>93</v>
      </c>
      <c r="F249" s="4" t="s">
        <v>824</v>
      </c>
      <c r="G249" s="4" t="s">
        <v>202</v>
      </c>
      <c r="H249" s="129">
        <v>42032</v>
      </c>
      <c r="I249" s="4" t="s">
        <v>187</v>
      </c>
      <c r="J249" s="4" t="s">
        <v>103</v>
      </c>
      <c r="K249" s="4" t="s">
        <v>851</v>
      </c>
      <c r="L249" s="129">
        <v>42032</v>
      </c>
      <c r="M249" s="50" t="s">
        <v>859</v>
      </c>
      <c r="N249" s="130" t="s">
        <v>185</v>
      </c>
      <c r="O249" s="129">
        <v>42033</v>
      </c>
      <c r="P249" s="124">
        <f t="shared" ref="P249:P250" si="615">O249-C249</f>
        <v>2</v>
      </c>
      <c r="Q249" s="50" t="s">
        <v>883</v>
      </c>
      <c r="R249" s="4" t="s">
        <v>17</v>
      </c>
      <c r="S249" s="4" t="s">
        <v>101</v>
      </c>
      <c r="T249" s="50" t="s">
        <v>101</v>
      </c>
      <c r="U249" s="132">
        <v>42034</v>
      </c>
      <c r="V249" s="126" t="s">
        <v>186</v>
      </c>
      <c r="W249" s="127">
        <f t="shared" ref="W249:W250" si="616">COUNTBLANK(C249:V249)</f>
        <v>0</v>
      </c>
      <c r="X249" s="127" t="str">
        <f t="shared" ref="X249:X250" si="617">IF(W249=0,"Correcto","Incorrecto")</f>
        <v>Correcto</v>
      </c>
      <c r="Y249" s="34"/>
      <c r="Z249" s="34"/>
      <c r="AA249" s="34"/>
    </row>
    <row r="250" spans="1:27" s="72" customFormat="1" ht="24.75" customHeight="1" x14ac:dyDescent="0.2">
      <c r="A250" s="144">
        <v>241</v>
      </c>
      <c r="B250" s="122" t="s">
        <v>1111</v>
      </c>
      <c r="C250" s="123">
        <v>42031</v>
      </c>
      <c r="D250" s="4">
        <v>2</v>
      </c>
      <c r="E250" s="4" t="s">
        <v>93</v>
      </c>
      <c r="F250" s="4" t="s">
        <v>824</v>
      </c>
      <c r="G250" s="4" t="s">
        <v>202</v>
      </c>
      <c r="H250" s="129">
        <v>42037</v>
      </c>
      <c r="I250" s="4" t="s">
        <v>187</v>
      </c>
      <c r="J250" s="4" t="s">
        <v>103</v>
      </c>
      <c r="K250" s="50" t="s">
        <v>1112</v>
      </c>
      <c r="L250" s="129">
        <v>42037</v>
      </c>
      <c r="M250" s="50" t="s">
        <v>859</v>
      </c>
      <c r="N250" s="130" t="s">
        <v>185</v>
      </c>
      <c r="O250" s="129">
        <v>42037</v>
      </c>
      <c r="P250" s="124">
        <f t="shared" si="615"/>
        <v>6</v>
      </c>
      <c r="Q250" s="50" t="s">
        <v>1112</v>
      </c>
      <c r="R250" s="4" t="s">
        <v>17</v>
      </c>
      <c r="S250" s="4" t="s">
        <v>101</v>
      </c>
      <c r="T250" s="50" t="s">
        <v>23</v>
      </c>
      <c r="U250" s="132">
        <v>42037</v>
      </c>
      <c r="V250" s="126" t="s">
        <v>186</v>
      </c>
      <c r="W250" s="127">
        <f t="shared" si="616"/>
        <v>0</v>
      </c>
      <c r="X250" s="127" t="str">
        <f t="shared" si="617"/>
        <v>Correcto</v>
      </c>
      <c r="Y250" s="34"/>
      <c r="Z250" s="34"/>
      <c r="AA250" s="34"/>
    </row>
    <row r="251" spans="1:27" s="72" customFormat="1" ht="24.75" customHeight="1" x14ac:dyDescent="0.2">
      <c r="A251" s="4">
        <v>242</v>
      </c>
      <c r="B251" s="122" t="s">
        <v>431</v>
      </c>
      <c r="C251" s="123">
        <v>42032</v>
      </c>
      <c r="D251" s="4">
        <v>2</v>
      </c>
      <c r="E251" s="4" t="s">
        <v>93</v>
      </c>
      <c r="F251" s="4" t="s">
        <v>824</v>
      </c>
      <c r="G251" s="4" t="s">
        <v>202</v>
      </c>
      <c r="H251" s="129">
        <v>42033</v>
      </c>
      <c r="I251" s="4" t="s">
        <v>187</v>
      </c>
      <c r="J251" s="4" t="s">
        <v>103</v>
      </c>
      <c r="K251" s="4" t="s">
        <v>852</v>
      </c>
      <c r="L251" s="129">
        <v>42033</v>
      </c>
      <c r="M251" s="50" t="s">
        <v>859</v>
      </c>
      <c r="N251" s="130" t="s">
        <v>185</v>
      </c>
      <c r="O251" s="129">
        <v>42034</v>
      </c>
      <c r="P251" s="124">
        <f t="shared" ref="P251" si="618">O251-C251</f>
        <v>2</v>
      </c>
      <c r="Q251" s="50" t="s">
        <v>884</v>
      </c>
      <c r="R251" s="4" t="s">
        <v>17</v>
      </c>
      <c r="S251" s="4" t="s">
        <v>104</v>
      </c>
      <c r="T251" s="50" t="s">
        <v>1113</v>
      </c>
      <c r="U251" s="132">
        <v>42034</v>
      </c>
      <c r="V251" s="126" t="s">
        <v>186</v>
      </c>
      <c r="W251" s="127">
        <f t="shared" ref="W251" si="619">COUNTBLANK(C251:V251)</f>
        <v>0</v>
      </c>
      <c r="X251" s="127" t="str">
        <f t="shared" ref="X251" si="620">IF(W251=0,"Correcto","Incorrecto")</f>
        <v>Correcto</v>
      </c>
      <c r="Y251" s="34"/>
      <c r="Z251" s="34"/>
      <c r="AA251" s="34"/>
    </row>
    <row r="252" spans="1:27" s="72" customFormat="1" ht="24.75" customHeight="1" x14ac:dyDescent="0.2">
      <c r="A252" s="144">
        <v>243</v>
      </c>
      <c r="B252" s="122" t="s">
        <v>432</v>
      </c>
      <c r="C252" s="123">
        <v>42032</v>
      </c>
      <c r="D252" s="4">
        <v>2</v>
      </c>
      <c r="E252" s="4" t="s">
        <v>93</v>
      </c>
      <c r="F252" s="4" t="s">
        <v>824</v>
      </c>
      <c r="G252" s="4" t="s">
        <v>202</v>
      </c>
      <c r="H252" s="129">
        <v>42033</v>
      </c>
      <c r="I252" s="4" t="s">
        <v>187</v>
      </c>
      <c r="J252" s="4" t="s">
        <v>103</v>
      </c>
      <c r="K252" s="4" t="s">
        <v>853</v>
      </c>
      <c r="L252" s="129">
        <v>42033</v>
      </c>
      <c r="M252" s="50" t="s">
        <v>859</v>
      </c>
      <c r="N252" s="130" t="s">
        <v>185</v>
      </c>
      <c r="O252" s="129">
        <v>42034</v>
      </c>
      <c r="P252" s="124">
        <f t="shared" ref="P252" si="621">O252-C252</f>
        <v>2</v>
      </c>
      <c r="Q252" s="50" t="s">
        <v>885</v>
      </c>
      <c r="R252" s="4" t="s">
        <v>17</v>
      </c>
      <c r="S252" s="4" t="s">
        <v>104</v>
      </c>
      <c r="T252" s="4">
        <v>1103410344</v>
      </c>
      <c r="U252" s="132">
        <v>42034</v>
      </c>
      <c r="V252" s="126" t="s">
        <v>186</v>
      </c>
      <c r="W252" s="127">
        <f t="shared" ref="W252" si="622">COUNTBLANK(C252:V252)</f>
        <v>0</v>
      </c>
      <c r="X252" s="127" t="str">
        <f t="shared" ref="X252" si="623">IF(W252=0,"Correcto","Incorrecto")</f>
        <v>Correcto</v>
      </c>
      <c r="Y252" s="34"/>
      <c r="Z252" s="34"/>
      <c r="AA252" s="34"/>
    </row>
    <row r="253" spans="1:27" s="72" customFormat="1" ht="24.75" customHeight="1" x14ac:dyDescent="0.2">
      <c r="A253" s="144">
        <v>244</v>
      </c>
      <c r="B253" s="122" t="s">
        <v>433</v>
      </c>
      <c r="C253" s="123">
        <v>42032</v>
      </c>
      <c r="D253" s="4">
        <v>2</v>
      </c>
      <c r="E253" s="4" t="s">
        <v>93</v>
      </c>
      <c r="F253" s="4" t="s">
        <v>824</v>
      </c>
      <c r="G253" s="4" t="s">
        <v>202</v>
      </c>
      <c r="H253" s="129">
        <v>42033</v>
      </c>
      <c r="I253" s="4" t="s">
        <v>187</v>
      </c>
      <c r="J253" s="4" t="s">
        <v>103</v>
      </c>
      <c r="K253" s="4" t="s">
        <v>854</v>
      </c>
      <c r="L253" s="129">
        <v>42033</v>
      </c>
      <c r="M253" s="50" t="s">
        <v>859</v>
      </c>
      <c r="N253" s="130" t="s">
        <v>185</v>
      </c>
      <c r="O253" s="129">
        <v>42034</v>
      </c>
      <c r="P253" s="124">
        <f t="shared" ref="P253" si="624">O253-C253</f>
        <v>2</v>
      </c>
      <c r="Q253" s="50" t="s">
        <v>886</v>
      </c>
      <c r="R253" s="4" t="s">
        <v>17</v>
      </c>
      <c r="S253" s="4" t="s">
        <v>104</v>
      </c>
      <c r="T253" s="50" t="s">
        <v>1114</v>
      </c>
      <c r="U253" s="132">
        <v>42034</v>
      </c>
      <c r="V253" s="126" t="s">
        <v>186</v>
      </c>
      <c r="W253" s="127">
        <f t="shared" ref="W253" si="625">COUNTBLANK(C253:V253)</f>
        <v>0</v>
      </c>
      <c r="X253" s="127" t="str">
        <f t="shared" ref="X253" si="626">IF(W253=0,"Correcto","Incorrecto")</f>
        <v>Correcto</v>
      </c>
      <c r="Y253" s="34"/>
      <c r="Z253" s="34"/>
      <c r="AA253" s="34"/>
    </row>
    <row r="254" spans="1:27" s="72" customFormat="1" ht="24.75" customHeight="1" x14ac:dyDescent="0.2">
      <c r="A254" s="4">
        <v>245</v>
      </c>
      <c r="B254" s="122" t="s">
        <v>434</v>
      </c>
      <c r="C254" s="123">
        <v>42033</v>
      </c>
      <c r="D254" s="4">
        <v>2</v>
      </c>
      <c r="E254" s="4" t="s">
        <v>93</v>
      </c>
      <c r="F254" s="4" t="s">
        <v>824</v>
      </c>
      <c r="G254" s="4" t="s">
        <v>202</v>
      </c>
      <c r="H254" s="129">
        <v>42033</v>
      </c>
      <c r="I254" s="4" t="s">
        <v>187</v>
      </c>
      <c r="J254" s="4" t="s">
        <v>103</v>
      </c>
      <c r="K254" s="4" t="s">
        <v>855</v>
      </c>
      <c r="L254" s="129">
        <v>42033</v>
      </c>
      <c r="M254" s="50" t="s">
        <v>859</v>
      </c>
      <c r="N254" s="130" t="s">
        <v>185</v>
      </c>
      <c r="O254" s="129">
        <v>42034</v>
      </c>
      <c r="P254" s="124">
        <f t="shared" ref="P254" si="627">O254-C254</f>
        <v>1</v>
      </c>
      <c r="Q254" s="50" t="s">
        <v>887</v>
      </c>
      <c r="R254" s="4" t="s">
        <v>17</v>
      </c>
      <c r="S254" s="4" t="s">
        <v>101</v>
      </c>
      <c r="T254" s="50" t="s">
        <v>101</v>
      </c>
      <c r="U254" s="132">
        <v>42039</v>
      </c>
      <c r="V254" s="126" t="s">
        <v>186</v>
      </c>
      <c r="W254" s="127">
        <f t="shared" ref="W254" si="628">COUNTBLANK(C254:V254)</f>
        <v>0</v>
      </c>
      <c r="X254" s="127" t="str">
        <f t="shared" ref="X254" si="629">IF(W254=0,"Correcto","Incorrecto")</f>
        <v>Correcto</v>
      </c>
      <c r="Y254" s="34"/>
      <c r="Z254" s="34"/>
      <c r="AA254" s="34"/>
    </row>
    <row r="255" spans="1:27" s="72" customFormat="1" ht="24.75" customHeight="1" x14ac:dyDescent="0.2">
      <c r="A255" s="144">
        <v>246</v>
      </c>
      <c r="B255" s="122" t="s">
        <v>435</v>
      </c>
      <c r="C255" s="123">
        <v>42033</v>
      </c>
      <c r="D255" s="4">
        <v>2</v>
      </c>
      <c r="E255" s="4" t="s">
        <v>93</v>
      </c>
      <c r="F255" s="4" t="s">
        <v>824</v>
      </c>
      <c r="G255" s="4" t="s">
        <v>202</v>
      </c>
      <c r="H255" s="129">
        <v>42033</v>
      </c>
      <c r="I255" s="4" t="s">
        <v>187</v>
      </c>
      <c r="J255" s="4" t="s">
        <v>103</v>
      </c>
      <c r="K255" s="4" t="s">
        <v>856</v>
      </c>
      <c r="L255" s="129">
        <v>42033</v>
      </c>
      <c r="M255" s="50" t="s">
        <v>859</v>
      </c>
      <c r="N255" s="130" t="s">
        <v>185</v>
      </c>
      <c r="O255" s="129">
        <v>42034</v>
      </c>
      <c r="P255" s="124">
        <f t="shared" ref="P255" si="630">O255-C255</f>
        <v>1</v>
      </c>
      <c r="Q255" s="50" t="s">
        <v>888</v>
      </c>
      <c r="R255" s="4" t="s">
        <v>17</v>
      </c>
      <c r="S255" s="4" t="s">
        <v>101</v>
      </c>
      <c r="T255" s="50" t="s">
        <v>101</v>
      </c>
      <c r="U255" s="132">
        <v>42039</v>
      </c>
      <c r="V255" s="126" t="s">
        <v>186</v>
      </c>
      <c r="W255" s="127">
        <f t="shared" ref="W255" si="631">COUNTBLANK(C255:V255)</f>
        <v>0</v>
      </c>
      <c r="X255" s="127" t="str">
        <f t="shared" ref="X255" si="632">IF(W255=0,"Correcto","Incorrecto")</f>
        <v>Correcto</v>
      </c>
      <c r="Y255" s="34"/>
      <c r="Z255" s="34"/>
      <c r="AA255" s="34"/>
    </row>
    <row r="256" spans="1:27" s="72" customFormat="1" ht="24.75" customHeight="1" x14ac:dyDescent="0.2">
      <c r="A256" s="144">
        <v>247</v>
      </c>
      <c r="B256" s="122" t="s">
        <v>436</v>
      </c>
      <c r="C256" s="123">
        <v>42033</v>
      </c>
      <c r="D256" s="4">
        <v>2</v>
      </c>
      <c r="E256" s="4" t="s">
        <v>93</v>
      </c>
      <c r="F256" s="4" t="s">
        <v>824</v>
      </c>
      <c r="G256" s="4" t="s">
        <v>202</v>
      </c>
      <c r="H256" s="129">
        <v>42034</v>
      </c>
      <c r="I256" s="4" t="s">
        <v>187</v>
      </c>
      <c r="J256" s="4" t="s">
        <v>103</v>
      </c>
      <c r="K256" s="4" t="s">
        <v>857</v>
      </c>
      <c r="L256" s="129">
        <v>42034</v>
      </c>
      <c r="M256" s="50" t="s">
        <v>859</v>
      </c>
      <c r="N256" s="130" t="s">
        <v>185</v>
      </c>
      <c r="O256" s="129">
        <v>42037</v>
      </c>
      <c r="P256" s="124">
        <f t="shared" ref="P256" si="633">O256-C256</f>
        <v>4</v>
      </c>
      <c r="Q256" s="50" t="s">
        <v>956</v>
      </c>
      <c r="R256" s="4" t="s">
        <v>17</v>
      </c>
      <c r="S256" s="4" t="s">
        <v>101</v>
      </c>
      <c r="T256" s="4">
        <v>1103545529</v>
      </c>
      <c r="U256" s="132">
        <v>42037</v>
      </c>
      <c r="V256" s="126" t="s">
        <v>186</v>
      </c>
      <c r="W256" s="127">
        <f t="shared" ref="W256" si="634">COUNTBLANK(C256:V256)</f>
        <v>0</v>
      </c>
      <c r="X256" s="127" t="str">
        <f t="shared" ref="X256" si="635">IF(W256=0,"Correcto","Incorrecto")</f>
        <v>Correcto</v>
      </c>
      <c r="Y256" s="34"/>
      <c r="Z256" s="34"/>
      <c r="AA256" s="34"/>
    </row>
    <row r="257" spans="1:27" s="72" customFormat="1" ht="24.75" customHeight="1" x14ac:dyDescent="0.2">
      <c r="A257" s="4">
        <v>248</v>
      </c>
      <c r="B257" s="122" t="s">
        <v>437</v>
      </c>
      <c r="C257" s="123">
        <v>42033</v>
      </c>
      <c r="D257" s="4">
        <v>2</v>
      </c>
      <c r="E257" s="4" t="s">
        <v>93</v>
      </c>
      <c r="F257" s="4" t="s">
        <v>824</v>
      </c>
      <c r="G257" s="4" t="s">
        <v>202</v>
      </c>
      <c r="H257" s="129">
        <v>42033</v>
      </c>
      <c r="I257" s="4" t="s">
        <v>187</v>
      </c>
      <c r="J257" s="4" t="s">
        <v>103</v>
      </c>
      <c r="K257" s="4" t="s">
        <v>858</v>
      </c>
      <c r="L257" s="129">
        <v>42033</v>
      </c>
      <c r="M257" s="50" t="s">
        <v>859</v>
      </c>
      <c r="N257" s="130" t="s">
        <v>185</v>
      </c>
      <c r="O257" s="129">
        <v>42034</v>
      </c>
      <c r="P257" s="124">
        <f t="shared" ref="P257" si="636">O257-C257</f>
        <v>1</v>
      </c>
      <c r="Q257" s="50" t="s">
        <v>889</v>
      </c>
      <c r="R257" s="4" t="s">
        <v>17</v>
      </c>
      <c r="S257" s="4" t="s">
        <v>101</v>
      </c>
      <c r="T257" s="50" t="s">
        <v>101</v>
      </c>
      <c r="U257" s="132">
        <v>42039</v>
      </c>
      <c r="V257" s="126" t="s">
        <v>186</v>
      </c>
      <c r="W257" s="127">
        <f t="shared" ref="W257" si="637">COUNTBLANK(C257:V257)</f>
        <v>0</v>
      </c>
      <c r="X257" s="127" t="str">
        <f t="shared" ref="X257" si="638">IF(W257=0,"Correcto","Incorrecto")</f>
        <v>Correcto</v>
      </c>
      <c r="Y257" s="34"/>
      <c r="Z257" s="34"/>
      <c r="AA257" s="34"/>
    </row>
    <row r="258" spans="1:27" s="72" customFormat="1" ht="24.75" customHeight="1" x14ac:dyDescent="0.2">
      <c r="A258" s="144">
        <v>249</v>
      </c>
      <c r="B258" s="122" t="s">
        <v>1115</v>
      </c>
      <c r="C258" s="123">
        <v>42033</v>
      </c>
      <c r="D258" s="4">
        <v>4</v>
      </c>
      <c r="E258" s="4" t="s">
        <v>93</v>
      </c>
      <c r="F258" s="4" t="s">
        <v>824</v>
      </c>
      <c r="G258" s="4" t="s">
        <v>202</v>
      </c>
      <c r="H258" s="129">
        <v>42033</v>
      </c>
      <c r="I258" s="4" t="s">
        <v>187</v>
      </c>
      <c r="J258" s="4" t="s">
        <v>103</v>
      </c>
      <c r="K258" s="50" t="s">
        <v>1116</v>
      </c>
      <c r="L258" s="129">
        <v>42033</v>
      </c>
      <c r="M258" s="50" t="s">
        <v>859</v>
      </c>
      <c r="N258" s="130" t="s">
        <v>185</v>
      </c>
      <c r="O258" s="129">
        <v>42034</v>
      </c>
      <c r="P258" s="124">
        <f t="shared" ref="P258" si="639">O258-C258</f>
        <v>1</v>
      </c>
      <c r="Q258" s="50" t="s">
        <v>1116</v>
      </c>
      <c r="R258" s="4" t="s">
        <v>17</v>
      </c>
      <c r="S258" s="4" t="s">
        <v>101</v>
      </c>
      <c r="T258" s="50" t="s">
        <v>101</v>
      </c>
      <c r="U258" s="132">
        <v>42034</v>
      </c>
      <c r="V258" s="126" t="s">
        <v>186</v>
      </c>
      <c r="W258" s="127">
        <f t="shared" ref="W258" si="640">COUNTBLANK(C258:V258)</f>
        <v>0</v>
      </c>
      <c r="X258" s="127" t="str">
        <f t="shared" ref="X258" si="641">IF(W258=0,"Correcto","Incorrecto")</f>
        <v>Correcto</v>
      </c>
      <c r="Y258" s="34"/>
      <c r="Z258" s="34"/>
      <c r="AA258" s="34"/>
    </row>
    <row r="259" spans="1:27" ht="18" customHeight="1" x14ac:dyDescent="0.25">
      <c r="A259" s="144">
        <v>250</v>
      </c>
      <c r="B259" s="122" t="s">
        <v>438</v>
      </c>
      <c r="C259" s="123">
        <v>42034</v>
      </c>
      <c r="D259" s="4">
        <v>2</v>
      </c>
      <c r="E259" s="4" t="s">
        <v>93</v>
      </c>
      <c r="F259" s="4" t="s">
        <v>824</v>
      </c>
      <c r="G259" s="4" t="s">
        <v>202</v>
      </c>
      <c r="H259" s="129">
        <v>42037</v>
      </c>
      <c r="I259" s="4" t="s">
        <v>187</v>
      </c>
      <c r="J259" s="4" t="s">
        <v>103</v>
      </c>
      <c r="K259" s="4" t="s">
        <v>968</v>
      </c>
      <c r="L259" s="129">
        <v>42037</v>
      </c>
      <c r="M259" s="50" t="s">
        <v>859</v>
      </c>
      <c r="N259" s="130" t="s">
        <v>185</v>
      </c>
      <c r="O259" s="129">
        <v>42037</v>
      </c>
      <c r="P259" s="124">
        <f t="shared" ref="P259" si="642">O259-C259</f>
        <v>3</v>
      </c>
      <c r="Q259" s="50" t="s">
        <v>969</v>
      </c>
      <c r="R259" s="4" t="s">
        <v>17</v>
      </c>
      <c r="S259" s="4" t="s">
        <v>200</v>
      </c>
      <c r="T259" s="4" t="s">
        <v>967</v>
      </c>
      <c r="U259" s="132">
        <v>42039</v>
      </c>
      <c r="V259" s="126" t="s">
        <v>186</v>
      </c>
      <c r="W259" s="127">
        <f t="shared" ref="W259" si="643">COUNTBLANK(C259:V259)</f>
        <v>0</v>
      </c>
      <c r="X259" s="127" t="str">
        <f t="shared" ref="X259" si="644">IF(W259=0,"Correcto","Incorrecto")</f>
        <v>Correcto</v>
      </c>
    </row>
    <row r="260" spans="1:27" ht="18" customHeight="1" x14ac:dyDescent="0.25">
      <c r="A260" s="4">
        <v>251</v>
      </c>
      <c r="B260" s="122" t="s">
        <v>439</v>
      </c>
      <c r="C260" s="123">
        <v>42034</v>
      </c>
      <c r="D260" s="4">
        <v>2</v>
      </c>
      <c r="E260" s="4" t="s">
        <v>93</v>
      </c>
      <c r="F260" s="4" t="s">
        <v>824</v>
      </c>
      <c r="G260" s="4" t="s">
        <v>202</v>
      </c>
      <c r="H260" s="129">
        <v>42037</v>
      </c>
      <c r="I260" s="4" t="s">
        <v>187</v>
      </c>
      <c r="J260" s="4" t="s">
        <v>103</v>
      </c>
      <c r="K260" s="4" t="s">
        <v>970</v>
      </c>
      <c r="L260" s="129">
        <v>42037</v>
      </c>
      <c r="M260" s="50" t="s">
        <v>859</v>
      </c>
      <c r="N260" s="130" t="s">
        <v>185</v>
      </c>
      <c r="O260" s="129">
        <v>42037</v>
      </c>
      <c r="P260" s="124">
        <f t="shared" ref="P260" si="645">O260-C260</f>
        <v>3</v>
      </c>
      <c r="Q260" s="50" t="s">
        <v>971</v>
      </c>
      <c r="R260" s="4" t="s">
        <v>17</v>
      </c>
      <c r="S260" s="4" t="s">
        <v>200</v>
      </c>
      <c r="T260" s="50" t="s">
        <v>967</v>
      </c>
      <c r="U260" s="132">
        <v>42039</v>
      </c>
      <c r="V260" s="126" t="s">
        <v>186</v>
      </c>
      <c r="W260" s="127">
        <f t="shared" ref="W260" si="646">COUNTBLANK(C260:V260)</f>
        <v>0</v>
      </c>
      <c r="X260" s="127" t="str">
        <f t="shared" ref="X260" si="647">IF(W260=0,"Correcto","Incorrecto")</f>
        <v>Correcto</v>
      </c>
    </row>
    <row r="261" spans="1:27" ht="18" customHeight="1" x14ac:dyDescent="0.25">
      <c r="A261" s="144">
        <v>252</v>
      </c>
      <c r="B261" s="122" t="s">
        <v>440</v>
      </c>
      <c r="C261" s="123">
        <v>42034</v>
      </c>
      <c r="D261" s="4">
        <v>2</v>
      </c>
      <c r="E261" s="4" t="s">
        <v>93</v>
      </c>
      <c r="F261" s="4" t="s">
        <v>824</v>
      </c>
      <c r="G261" s="4" t="s">
        <v>202</v>
      </c>
      <c r="H261" s="129">
        <v>42037</v>
      </c>
      <c r="I261" s="4" t="s">
        <v>187</v>
      </c>
      <c r="J261" s="4" t="s">
        <v>103</v>
      </c>
      <c r="K261" s="4" t="s">
        <v>973</v>
      </c>
      <c r="L261" s="129">
        <v>42037</v>
      </c>
      <c r="M261" s="50" t="s">
        <v>859</v>
      </c>
      <c r="N261" s="130" t="s">
        <v>185</v>
      </c>
      <c r="O261" s="129">
        <v>42037</v>
      </c>
      <c r="P261" s="124">
        <f t="shared" ref="P261" si="648">O261-C261</f>
        <v>3</v>
      </c>
      <c r="Q261" s="50" t="s">
        <v>974</v>
      </c>
      <c r="R261" s="4" t="s">
        <v>17</v>
      </c>
      <c r="S261" s="4" t="s">
        <v>972</v>
      </c>
      <c r="T261" s="50" t="s">
        <v>975</v>
      </c>
      <c r="U261" s="132">
        <v>42038</v>
      </c>
      <c r="V261" s="126" t="s">
        <v>186</v>
      </c>
      <c r="W261" s="127">
        <f t="shared" ref="W261" si="649">COUNTBLANK(C261:V261)</f>
        <v>0</v>
      </c>
      <c r="X261" s="127" t="str">
        <f t="shared" ref="X261" si="650">IF(W261=0,"Correcto","Incorrecto")</f>
        <v>Correcto</v>
      </c>
    </row>
    <row r="262" spans="1:27" ht="18" customHeight="1" x14ac:dyDescent="0.25">
      <c r="A262" s="144">
        <v>253</v>
      </c>
      <c r="B262" s="122" t="s">
        <v>441</v>
      </c>
      <c r="C262" s="123">
        <v>42034</v>
      </c>
      <c r="D262" s="4">
        <v>2</v>
      </c>
      <c r="E262" s="4" t="s">
        <v>93</v>
      </c>
      <c r="F262" s="4" t="s">
        <v>824</v>
      </c>
      <c r="G262" s="4" t="s">
        <v>202</v>
      </c>
      <c r="H262" s="129">
        <v>42037</v>
      </c>
      <c r="I262" s="4" t="s">
        <v>187</v>
      </c>
      <c r="J262" s="4" t="s">
        <v>103</v>
      </c>
      <c r="K262" s="4" t="s">
        <v>978</v>
      </c>
      <c r="L262" s="129">
        <v>42037</v>
      </c>
      <c r="M262" s="50" t="s">
        <v>859</v>
      </c>
      <c r="N262" s="130" t="s">
        <v>185</v>
      </c>
      <c r="O262" s="129">
        <v>42037</v>
      </c>
      <c r="P262" s="124">
        <f t="shared" ref="P262" si="651">O262-C262</f>
        <v>3</v>
      </c>
      <c r="Q262" s="50" t="s">
        <v>1042</v>
      </c>
      <c r="R262" s="4" t="s">
        <v>977</v>
      </c>
      <c r="S262" s="4" t="s">
        <v>976</v>
      </c>
      <c r="T262" s="4" t="s">
        <v>1043</v>
      </c>
      <c r="U262" s="132">
        <v>42038</v>
      </c>
      <c r="V262" s="126" t="s">
        <v>186</v>
      </c>
      <c r="W262" s="127">
        <f t="shared" ref="W262" si="652">COUNTBLANK(C262:V262)</f>
        <v>0</v>
      </c>
      <c r="X262" s="127" t="str">
        <f t="shared" ref="X262" si="653">IF(W262=0,"Correcto","Incorrecto")</f>
        <v>Correcto</v>
      </c>
    </row>
    <row r="263" spans="1:27" ht="18" customHeight="1" x14ac:dyDescent="0.25">
      <c r="A263" s="4">
        <v>254</v>
      </c>
      <c r="B263" s="122" t="s">
        <v>442</v>
      </c>
      <c r="C263" s="123">
        <v>42034</v>
      </c>
      <c r="D263" s="4">
        <v>2</v>
      </c>
      <c r="E263" s="4" t="s">
        <v>93</v>
      </c>
      <c r="F263" s="4" t="s">
        <v>824</v>
      </c>
      <c r="G263" s="4" t="s">
        <v>202</v>
      </c>
      <c r="H263" s="129">
        <v>42037</v>
      </c>
      <c r="I263" s="4" t="s">
        <v>187</v>
      </c>
      <c r="J263" s="4" t="s">
        <v>103</v>
      </c>
      <c r="K263" s="4" t="s">
        <v>979</v>
      </c>
      <c r="L263" s="129">
        <v>42037</v>
      </c>
      <c r="M263" s="50" t="s">
        <v>859</v>
      </c>
      <c r="N263" s="130" t="s">
        <v>185</v>
      </c>
      <c r="O263" s="129">
        <v>42037</v>
      </c>
      <c r="P263" s="124">
        <f t="shared" ref="P263" si="654">O263-C263</f>
        <v>3</v>
      </c>
      <c r="Q263" s="50" t="s">
        <v>980</v>
      </c>
      <c r="R263" s="4" t="s">
        <v>17</v>
      </c>
      <c r="S263" s="4" t="s">
        <v>982</v>
      </c>
      <c r="T263" s="50" t="s">
        <v>981</v>
      </c>
      <c r="U263" s="132">
        <v>42038</v>
      </c>
      <c r="V263" s="126" t="s">
        <v>186</v>
      </c>
      <c r="W263" s="127">
        <f t="shared" ref="W263" si="655">COUNTBLANK(C263:V263)</f>
        <v>0</v>
      </c>
      <c r="X263" s="127" t="str">
        <f t="shared" ref="X263" si="656">IF(W263=0,"Correcto","Incorrecto")</f>
        <v>Correcto</v>
      </c>
    </row>
    <row r="264" spans="1:27" ht="18" customHeight="1" x14ac:dyDescent="0.25">
      <c r="A264" s="144">
        <v>255</v>
      </c>
      <c r="B264" s="122" t="s">
        <v>443</v>
      </c>
      <c r="C264" s="123">
        <v>42034</v>
      </c>
      <c r="D264" s="4">
        <v>2</v>
      </c>
      <c r="E264" s="4" t="s">
        <v>93</v>
      </c>
      <c r="F264" s="4" t="s">
        <v>824</v>
      </c>
      <c r="G264" s="4" t="s">
        <v>202</v>
      </c>
      <c r="H264" s="129">
        <v>42037</v>
      </c>
      <c r="I264" s="4" t="s">
        <v>187</v>
      </c>
      <c r="J264" s="4" t="s">
        <v>103</v>
      </c>
      <c r="K264" s="4" t="s">
        <v>984</v>
      </c>
      <c r="L264" s="129">
        <v>42037</v>
      </c>
      <c r="M264" s="50" t="s">
        <v>859</v>
      </c>
      <c r="N264" s="130" t="s">
        <v>185</v>
      </c>
      <c r="O264" s="129">
        <v>42037</v>
      </c>
      <c r="P264" s="124">
        <f t="shared" ref="P264" si="657">O264-C264</f>
        <v>3</v>
      </c>
      <c r="Q264" s="50" t="s">
        <v>985</v>
      </c>
      <c r="R264" s="4" t="s">
        <v>17</v>
      </c>
      <c r="S264" s="4" t="s">
        <v>983</v>
      </c>
      <c r="T264" s="50" t="s">
        <v>986</v>
      </c>
      <c r="U264" s="132">
        <v>42038</v>
      </c>
      <c r="V264" s="126" t="s">
        <v>186</v>
      </c>
      <c r="W264" s="127">
        <f t="shared" ref="W264" si="658">COUNTBLANK(C264:V264)</f>
        <v>0</v>
      </c>
      <c r="X264" s="127" t="str">
        <f t="shared" ref="X264" si="659">IF(W264=0,"Correcto","Incorrecto")</f>
        <v>Correcto</v>
      </c>
    </row>
    <row r="265" spans="1:27" ht="18" customHeight="1" x14ac:dyDescent="0.25">
      <c r="A265" s="144">
        <v>256</v>
      </c>
      <c r="B265" s="122" t="s">
        <v>444</v>
      </c>
      <c r="C265" s="123">
        <v>42034</v>
      </c>
      <c r="D265" s="4">
        <v>2</v>
      </c>
      <c r="E265" s="4" t="s">
        <v>93</v>
      </c>
      <c r="F265" s="4" t="s">
        <v>824</v>
      </c>
      <c r="G265" s="4" t="s">
        <v>202</v>
      </c>
      <c r="H265" s="129">
        <v>42037</v>
      </c>
      <c r="I265" s="4" t="s">
        <v>187</v>
      </c>
      <c r="J265" s="4" t="s">
        <v>103</v>
      </c>
      <c r="K265" s="4" t="s">
        <v>988</v>
      </c>
      <c r="L265" s="129">
        <v>42037</v>
      </c>
      <c r="M265" s="50" t="s">
        <v>859</v>
      </c>
      <c r="N265" s="130" t="s">
        <v>185</v>
      </c>
      <c r="O265" s="129">
        <v>42037</v>
      </c>
      <c r="P265" s="124">
        <f t="shared" ref="P265:P328" si="660">O265-C265</f>
        <v>3</v>
      </c>
      <c r="Q265" s="50" t="s">
        <v>989</v>
      </c>
      <c r="R265" s="4" t="s">
        <v>17</v>
      </c>
      <c r="S265" s="4" t="s">
        <v>987</v>
      </c>
      <c r="T265" s="50" t="s">
        <v>990</v>
      </c>
      <c r="U265" s="132">
        <v>42038</v>
      </c>
      <c r="V265" s="126" t="s">
        <v>186</v>
      </c>
      <c r="W265" s="127">
        <f t="shared" ref="W265:W328" si="661">COUNTBLANK(C265:V265)</f>
        <v>0</v>
      </c>
      <c r="X265" s="127" t="str">
        <f t="shared" ref="X265:X328" si="662">IF(W265=0,"Correcto","Incorrecto")</f>
        <v>Correcto</v>
      </c>
    </row>
    <row r="266" spans="1:27" ht="18" customHeight="1" x14ac:dyDescent="0.25">
      <c r="A266" s="172">
        <v>257</v>
      </c>
      <c r="B266" s="145" t="s">
        <v>1117</v>
      </c>
      <c r="C266" s="146">
        <v>42037</v>
      </c>
      <c r="D266" s="147">
        <v>2</v>
      </c>
      <c r="E266" s="147" t="s">
        <v>93</v>
      </c>
      <c r="F266" s="145" t="s">
        <v>827</v>
      </c>
      <c r="G266" s="147" t="s">
        <v>202</v>
      </c>
      <c r="H266" s="148">
        <v>42037</v>
      </c>
      <c r="I266" s="147" t="s">
        <v>187</v>
      </c>
      <c r="J266" s="147" t="s">
        <v>103</v>
      </c>
      <c r="K266" s="149" t="s">
        <v>1118</v>
      </c>
      <c r="L266" s="148">
        <v>42037</v>
      </c>
      <c r="M266" s="149" t="s">
        <v>950</v>
      </c>
      <c r="N266" s="149" t="s">
        <v>185</v>
      </c>
      <c r="O266" s="148">
        <v>42037</v>
      </c>
      <c r="P266" s="150">
        <f t="shared" si="660"/>
        <v>0</v>
      </c>
      <c r="Q266" s="149" t="s">
        <v>1119</v>
      </c>
      <c r="R266" s="149" t="s">
        <v>17</v>
      </c>
      <c r="S266" s="149" t="s">
        <v>1120</v>
      </c>
      <c r="T266" s="151" t="s">
        <v>1121</v>
      </c>
      <c r="U266" s="152">
        <v>42038</v>
      </c>
      <c r="V266" s="149" t="s">
        <v>186</v>
      </c>
      <c r="W266" s="153">
        <f t="shared" si="661"/>
        <v>0</v>
      </c>
      <c r="X266" s="153" t="str">
        <f t="shared" si="662"/>
        <v>Correcto</v>
      </c>
    </row>
    <row r="267" spans="1:27" ht="18" customHeight="1" x14ac:dyDescent="0.25">
      <c r="A267" s="172">
        <v>258</v>
      </c>
      <c r="B267" s="145" t="s">
        <v>123</v>
      </c>
      <c r="C267" s="146">
        <v>42037</v>
      </c>
      <c r="D267" s="147">
        <v>9</v>
      </c>
      <c r="E267" s="147" t="s">
        <v>93</v>
      </c>
      <c r="F267" s="145" t="s">
        <v>1122</v>
      </c>
      <c r="G267" s="147" t="s">
        <v>202</v>
      </c>
      <c r="H267" s="148">
        <v>42053</v>
      </c>
      <c r="I267" s="147" t="s">
        <v>187</v>
      </c>
      <c r="J267" s="147" t="s">
        <v>103</v>
      </c>
      <c r="K267" s="149" t="s">
        <v>1123</v>
      </c>
      <c r="L267" s="148">
        <v>42053</v>
      </c>
      <c r="M267" s="149" t="s">
        <v>100</v>
      </c>
      <c r="N267" s="149" t="s">
        <v>1079</v>
      </c>
      <c r="O267" s="148">
        <v>42063</v>
      </c>
      <c r="P267" s="150">
        <f t="shared" si="660"/>
        <v>26</v>
      </c>
      <c r="Q267" s="149" t="s">
        <v>1124</v>
      </c>
      <c r="R267" s="149" t="s">
        <v>17</v>
      </c>
      <c r="S267" s="149" t="s">
        <v>104</v>
      </c>
      <c r="T267" s="151" t="s">
        <v>1125</v>
      </c>
      <c r="U267" s="152">
        <v>42063</v>
      </c>
      <c r="V267" s="149" t="s">
        <v>186</v>
      </c>
      <c r="W267" s="153">
        <f t="shared" si="661"/>
        <v>0</v>
      </c>
      <c r="X267" s="153" t="str">
        <f t="shared" si="662"/>
        <v>Correcto</v>
      </c>
    </row>
    <row r="268" spans="1:27" ht="18" customHeight="1" x14ac:dyDescent="0.25">
      <c r="A268" s="172">
        <v>259</v>
      </c>
      <c r="B268" s="145" t="s">
        <v>1126</v>
      </c>
      <c r="C268" s="146">
        <v>42037</v>
      </c>
      <c r="D268" s="147">
        <v>2</v>
      </c>
      <c r="E268" s="147" t="s">
        <v>93</v>
      </c>
      <c r="F268" s="145" t="s">
        <v>827</v>
      </c>
      <c r="G268" s="147" t="s">
        <v>202</v>
      </c>
      <c r="H268" s="148">
        <v>42038</v>
      </c>
      <c r="I268" s="147" t="s">
        <v>187</v>
      </c>
      <c r="J268" s="147" t="s">
        <v>103</v>
      </c>
      <c r="K268" s="149" t="s">
        <v>1127</v>
      </c>
      <c r="L268" s="148">
        <v>42038</v>
      </c>
      <c r="M268" s="149" t="s">
        <v>950</v>
      </c>
      <c r="N268" s="149" t="s">
        <v>185</v>
      </c>
      <c r="O268" s="148">
        <v>42038</v>
      </c>
      <c r="P268" s="150">
        <f t="shared" si="660"/>
        <v>1</v>
      </c>
      <c r="Q268" s="149" t="s">
        <v>1128</v>
      </c>
      <c r="R268" s="149" t="s">
        <v>17</v>
      </c>
      <c r="S268" s="149" t="s">
        <v>101</v>
      </c>
      <c r="T268" s="151" t="s">
        <v>101</v>
      </c>
      <c r="U268" s="152">
        <v>42040</v>
      </c>
      <c r="V268" s="149" t="s">
        <v>186</v>
      </c>
      <c r="W268" s="153">
        <f t="shared" si="661"/>
        <v>0</v>
      </c>
      <c r="X268" s="153" t="str">
        <f t="shared" si="662"/>
        <v>Correcto</v>
      </c>
    </row>
    <row r="269" spans="1:27" ht="18" customHeight="1" x14ac:dyDescent="0.25">
      <c r="A269" s="172">
        <v>260</v>
      </c>
      <c r="B269" s="145" t="s">
        <v>1129</v>
      </c>
      <c r="C269" s="146">
        <v>42037</v>
      </c>
      <c r="D269" s="147">
        <v>2</v>
      </c>
      <c r="E269" s="147" t="s">
        <v>93</v>
      </c>
      <c r="F269" s="145" t="s">
        <v>827</v>
      </c>
      <c r="G269" s="147" t="s">
        <v>202</v>
      </c>
      <c r="H269" s="148">
        <v>42038</v>
      </c>
      <c r="I269" s="147" t="s">
        <v>187</v>
      </c>
      <c r="J269" s="147" t="s">
        <v>103</v>
      </c>
      <c r="K269" s="149" t="s">
        <v>1130</v>
      </c>
      <c r="L269" s="148">
        <v>42038</v>
      </c>
      <c r="M269" s="149" t="s">
        <v>950</v>
      </c>
      <c r="N269" s="149" t="s">
        <v>185</v>
      </c>
      <c r="O269" s="148">
        <v>42038</v>
      </c>
      <c r="P269" s="150">
        <f t="shared" si="660"/>
        <v>1</v>
      </c>
      <c r="Q269" s="149" t="s">
        <v>1131</v>
      </c>
      <c r="R269" s="149" t="s">
        <v>17</v>
      </c>
      <c r="S269" s="149" t="s">
        <v>104</v>
      </c>
      <c r="T269" s="151" t="s">
        <v>1132</v>
      </c>
      <c r="U269" s="152">
        <v>42038</v>
      </c>
      <c r="V269" s="149" t="s">
        <v>186</v>
      </c>
      <c r="W269" s="153">
        <f t="shared" si="661"/>
        <v>0</v>
      </c>
      <c r="X269" s="153" t="str">
        <f t="shared" si="662"/>
        <v>Correcto</v>
      </c>
    </row>
    <row r="270" spans="1:27" ht="18" customHeight="1" x14ac:dyDescent="0.25">
      <c r="A270" s="172">
        <v>261</v>
      </c>
      <c r="B270" s="145" t="s">
        <v>1133</v>
      </c>
      <c r="C270" s="146">
        <v>42037</v>
      </c>
      <c r="D270" s="147">
        <v>2</v>
      </c>
      <c r="E270" s="147" t="s">
        <v>93</v>
      </c>
      <c r="F270" s="145" t="s">
        <v>827</v>
      </c>
      <c r="G270" s="147" t="s">
        <v>202</v>
      </c>
      <c r="H270" s="148">
        <v>42038</v>
      </c>
      <c r="I270" s="147" t="s">
        <v>187</v>
      </c>
      <c r="J270" s="147" t="s">
        <v>103</v>
      </c>
      <c r="K270" s="149" t="s">
        <v>1134</v>
      </c>
      <c r="L270" s="148">
        <v>42038</v>
      </c>
      <c r="M270" s="149" t="s">
        <v>950</v>
      </c>
      <c r="N270" s="149" t="s">
        <v>185</v>
      </c>
      <c r="O270" s="148">
        <v>42038</v>
      </c>
      <c r="P270" s="150">
        <f t="shared" si="660"/>
        <v>1</v>
      </c>
      <c r="Q270" s="149" t="s">
        <v>1135</v>
      </c>
      <c r="R270" s="149" t="s">
        <v>17</v>
      </c>
      <c r="S270" s="149" t="s">
        <v>104</v>
      </c>
      <c r="T270" s="151" t="s">
        <v>1136</v>
      </c>
      <c r="U270" s="152">
        <v>42038</v>
      </c>
      <c r="V270" s="149" t="s">
        <v>186</v>
      </c>
      <c r="W270" s="153">
        <f t="shared" si="661"/>
        <v>0</v>
      </c>
      <c r="X270" s="153" t="str">
        <f t="shared" si="662"/>
        <v>Correcto</v>
      </c>
    </row>
    <row r="271" spans="1:27" ht="18" customHeight="1" x14ac:dyDescent="0.25">
      <c r="A271" s="172">
        <v>262</v>
      </c>
      <c r="B271" s="145" t="s">
        <v>1137</v>
      </c>
      <c r="C271" s="146">
        <v>42037</v>
      </c>
      <c r="D271" s="147">
        <v>2</v>
      </c>
      <c r="E271" s="147" t="s">
        <v>93</v>
      </c>
      <c r="F271" s="145" t="s">
        <v>827</v>
      </c>
      <c r="G271" s="147" t="s">
        <v>202</v>
      </c>
      <c r="H271" s="148">
        <v>42038</v>
      </c>
      <c r="I271" s="147" t="s">
        <v>187</v>
      </c>
      <c r="J271" s="147" t="s">
        <v>103</v>
      </c>
      <c r="K271" s="149" t="s">
        <v>1138</v>
      </c>
      <c r="L271" s="148">
        <v>42038</v>
      </c>
      <c r="M271" s="149" t="s">
        <v>950</v>
      </c>
      <c r="N271" s="149" t="s">
        <v>185</v>
      </c>
      <c r="O271" s="148">
        <v>42038</v>
      </c>
      <c r="P271" s="150">
        <f t="shared" si="660"/>
        <v>1</v>
      </c>
      <c r="Q271" s="149" t="s">
        <v>1139</v>
      </c>
      <c r="R271" s="149" t="s">
        <v>17</v>
      </c>
      <c r="S271" s="149" t="s">
        <v>1140</v>
      </c>
      <c r="T271" s="151" t="s">
        <v>1141</v>
      </c>
      <c r="U271" s="152">
        <v>42038</v>
      </c>
      <c r="V271" s="149" t="s">
        <v>186</v>
      </c>
      <c r="W271" s="153">
        <f t="shared" si="661"/>
        <v>0</v>
      </c>
      <c r="X271" s="153" t="str">
        <f t="shared" si="662"/>
        <v>Correcto</v>
      </c>
    </row>
    <row r="272" spans="1:27" ht="18" customHeight="1" x14ac:dyDescent="0.25">
      <c r="A272" s="172">
        <v>263</v>
      </c>
      <c r="B272" s="145" t="s">
        <v>1142</v>
      </c>
      <c r="C272" s="146">
        <v>42037</v>
      </c>
      <c r="D272" s="147">
        <v>2</v>
      </c>
      <c r="E272" s="147" t="s">
        <v>93</v>
      </c>
      <c r="F272" s="145" t="s">
        <v>827</v>
      </c>
      <c r="G272" s="147" t="s">
        <v>202</v>
      </c>
      <c r="H272" s="148">
        <v>42038</v>
      </c>
      <c r="I272" s="147" t="s">
        <v>187</v>
      </c>
      <c r="J272" s="147" t="s">
        <v>103</v>
      </c>
      <c r="K272" s="149" t="s">
        <v>1143</v>
      </c>
      <c r="L272" s="148">
        <v>42038</v>
      </c>
      <c r="M272" s="149" t="s">
        <v>950</v>
      </c>
      <c r="N272" s="149" t="s">
        <v>185</v>
      </c>
      <c r="O272" s="148">
        <v>42038</v>
      </c>
      <c r="P272" s="150">
        <f t="shared" si="660"/>
        <v>1</v>
      </c>
      <c r="Q272" s="149" t="s">
        <v>1144</v>
      </c>
      <c r="R272" s="149" t="s">
        <v>17</v>
      </c>
      <c r="S272" s="149" t="s">
        <v>1145</v>
      </c>
      <c r="T272" s="151" t="s">
        <v>1146</v>
      </c>
      <c r="U272" s="152">
        <v>42038</v>
      </c>
      <c r="V272" s="149" t="s">
        <v>186</v>
      </c>
      <c r="W272" s="153">
        <f t="shared" si="661"/>
        <v>0</v>
      </c>
      <c r="X272" s="153" t="str">
        <f t="shared" si="662"/>
        <v>Correcto</v>
      </c>
    </row>
    <row r="273" spans="1:24" ht="18" customHeight="1" x14ac:dyDescent="0.25">
      <c r="A273" s="172">
        <v>264</v>
      </c>
      <c r="B273" s="145" t="s">
        <v>1147</v>
      </c>
      <c r="C273" s="146">
        <v>42037</v>
      </c>
      <c r="D273" s="147">
        <v>2</v>
      </c>
      <c r="E273" s="147" t="s">
        <v>93</v>
      </c>
      <c r="F273" s="145" t="s">
        <v>827</v>
      </c>
      <c r="G273" s="147" t="s">
        <v>202</v>
      </c>
      <c r="H273" s="148">
        <v>42038</v>
      </c>
      <c r="I273" s="147" t="s">
        <v>187</v>
      </c>
      <c r="J273" s="147" t="s">
        <v>103</v>
      </c>
      <c r="K273" s="149" t="s">
        <v>1148</v>
      </c>
      <c r="L273" s="148">
        <v>42038</v>
      </c>
      <c r="M273" s="149" t="s">
        <v>950</v>
      </c>
      <c r="N273" s="149" t="s">
        <v>185</v>
      </c>
      <c r="O273" s="148">
        <v>42039</v>
      </c>
      <c r="P273" s="150">
        <f t="shared" si="660"/>
        <v>2</v>
      </c>
      <c r="Q273" s="149" t="s">
        <v>1149</v>
      </c>
      <c r="R273" s="149" t="s">
        <v>17</v>
      </c>
      <c r="S273" s="149" t="s">
        <v>101</v>
      </c>
      <c r="T273" s="149" t="s">
        <v>1150</v>
      </c>
      <c r="U273" s="152">
        <v>42040</v>
      </c>
      <c r="V273" s="149" t="s">
        <v>186</v>
      </c>
      <c r="W273" s="153">
        <f t="shared" si="661"/>
        <v>0</v>
      </c>
      <c r="X273" s="153" t="str">
        <f t="shared" si="662"/>
        <v>Correcto</v>
      </c>
    </row>
    <row r="274" spans="1:24" ht="18" customHeight="1" x14ac:dyDescent="0.25">
      <c r="A274" s="172">
        <v>265</v>
      </c>
      <c r="B274" s="145" t="s">
        <v>1151</v>
      </c>
      <c r="C274" s="146">
        <v>42037</v>
      </c>
      <c r="D274" s="147">
        <v>3</v>
      </c>
      <c r="E274" s="147" t="s">
        <v>93</v>
      </c>
      <c r="F274" s="145" t="s">
        <v>827</v>
      </c>
      <c r="G274" s="147" t="s">
        <v>202</v>
      </c>
      <c r="H274" s="148">
        <v>42038</v>
      </c>
      <c r="I274" s="147" t="s">
        <v>187</v>
      </c>
      <c r="J274" s="147" t="s">
        <v>103</v>
      </c>
      <c r="K274" s="149" t="s">
        <v>1152</v>
      </c>
      <c r="L274" s="148">
        <v>42038</v>
      </c>
      <c r="M274" s="149" t="s">
        <v>950</v>
      </c>
      <c r="N274" s="149" t="s">
        <v>185</v>
      </c>
      <c r="O274" s="148">
        <v>42039</v>
      </c>
      <c r="P274" s="150">
        <f t="shared" si="660"/>
        <v>2</v>
      </c>
      <c r="Q274" s="149" t="s">
        <v>1153</v>
      </c>
      <c r="R274" s="149" t="s">
        <v>23</v>
      </c>
      <c r="S274" s="149" t="s">
        <v>101</v>
      </c>
      <c r="T274" s="149" t="s">
        <v>1154</v>
      </c>
      <c r="U274" s="152">
        <v>42039</v>
      </c>
      <c r="V274" s="149" t="s">
        <v>186</v>
      </c>
      <c r="W274" s="153">
        <f t="shared" si="661"/>
        <v>0</v>
      </c>
      <c r="X274" s="153" t="str">
        <f t="shared" si="662"/>
        <v>Correcto</v>
      </c>
    </row>
    <row r="275" spans="1:24" ht="18" customHeight="1" x14ac:dyDescent="0.25">
      <c r="A275" s="172">
        <v>266</v>
      </c>
      <c r="B275" s="145" t="s">
        <v>1155</v>
      </c>
      <c r="C275" s="146">
        <v>42037</v>
      </c>
      <c r="D275" s="147">
        <v>3</v>
      </c>
      <c r="E275" s="147" t="s">
        <v>93</v>
      </c>
      <c r="F275" s="145" t="s">
        <v>827</v>
      </c>
      <c r="G275" s="147" t="s">
        <v>202</v>
      </c>
      <c r="H275" s="148">
        <v>42038</v>
      </c>
      <c r="I275" s="147" t="s">
        <v>187</v>
      </c>
      <c r="J275" s="147" t="s">
        <v>103</v>
      </c>
      <c r="K275" s="149" t="s">
        <v>1156</v>
      </c>
      <c r="L275" s="148">
        <v>42038</v>
      </c>
      <c r="M275" s="149" t="s">
        <v>950</v>
      </c>
      <c r="N275" s="149" t="s">
        <v>185</v>
      </c>
      <c r="O275" s="148">
        <v>42039</v>
      </c>
      <c r="P275" s="150">
        <f t="shared" si="660"/>
        <v>2</v>
      </c>
      <c r="Q275" s="149" t="s">
        <v>1157</v>
      </c>
      <c r="R275" s="149" t="s">
        <v>17</v>
      </c>
      <c r="S275" s="149" t="s">
        <v>1158</v>
      </c>
      <c r="T275" s="151" t="s">
        <v>1159</v>
      </c>
      <c r="U275" s="152">
        <v>42039</v>
      </c>
      <c r="V275" s="149" t="s">
        <v>186</v>
      </c>
      <c r="W275" s="153">
        <f t="shared" si="661"/>
        <v>0</v>
      </c>
      <c r="X275" s="153" t="str">
        <f t="shared" si="662"/>
        <v>Correcto</v>
      </c>
    </row>
    <row r="276" spans="1:24" ht="18" customHeight="1" x14ac:dyDescent="0.25">
      <c r="A276" s="172">
        <v>267</v>
      </c>
      <c r="B276" s="145" t="s">
        <v>1160</v>
      </c>
      <c r="C276" s="146">
        <v>42037</v>
      </c>
      <c r="D276" s="147">
        <v>2</v>
      </c>
      <c r="E276" s="147" t="s">
        <v>93</v>
      </c>
      <c r="F276" s="145" t="s">
        <v>827</v>
      </c>
      <c r="G276" s="147" t="s">
        <v>202</v>
      </c>
      <c r="H276" s="148">
        <v>42038</v>
      </c>
      <c r="I276" s="147" t="s">
        <v>187</v>
      </c>
      <c r="J276" s="147" t="s">
        <v>103</v>
      </c>
      <c r="K276" s="149" t="s">
        <v>1161</v>
      </c>
      <c r="L276" s="148">
        <v>42038</v>
      </c>
      <c r="M276" s="149" t="s">
        <v>950</v>
      </c>
      <c r="N276" s="149" t="s">
        <v>185</v>
      </c>
      <c r="O276" s="148">
        <v>42039</v>
      </c>
      <c r="P276" s="150">
        <f t="shared" si="660"/>
        <v>2</v>
      </c>
      <c r="Q276" s="149" t="s">
        <v>1162</v>
      </c>
      <c r="R276" s="149" t="s">
        <v>17</v>
      </c>
      <c r="S276" s="149" t="s">
        <v>101</v>
      </c>
      <c r="T276" s="149" t="s">
        <v>1163</v>
      </c>
      <c r="U276" s="152">
        <v>42040</v>
      </c>
      <c r="V276" s="149" t="s">
        <v>186</v>
      </c>
      <c r="W276" s="153">
        <f t="shared" si="661"/>
        <v>0</v>
      </c>
      <c r="X276" s="153" t="str">
        <f t="shared" si="662"/>
        <v>Correcto</v>
      </c>
    </row>
    <row r="277" spans="1:24" ht="18" customHeight="1" x14ac:dyDescent="0.25">
      <c r="A277" s="172">
        <v>268</v>
      </c>
      <c r="B277" s="145" t="s">
        <v>1164</v>
      </c>
      <c r="C277" s="146">
        <v>42037</v>
      </c>
      <c r="D277" s="147">
        <v>2</v>
      </c>
      <c r="E277" s="147" t="s">
        <v>93</v>
      </c>
      <c r="F277" s="145" t="s">
        <v>827</v>
      </c>
      <c r="G277" s="147" t="s">
        <v>202</v>
      </c>
      <c r="H277" s="148">
        <v>42038</v>
      </c>
      <c r="I277" s="147" t="s">
        <v>187</v>
      </c>
      <c r="J277" s="147" t="s">
        <v>103</v>
      </c>
      <c r="K277" s="149" t="s">
        <v>1165</v>
      </c>
      <c r="L277" s="148">
        <v>42038</v>
      </c>
      <c r="M277" s="149" t="s">
        <v>950</v>
      </c>
      <c r="N277" s="149" t="s">
        <v>185</v>
      </c>
      <c r="O277" s="148">
        <v>42038</v>
      </c>
      <c r="P277" s="150">
        <f t="shared" si="660"/>
        <v>1</v>
      </c>
      <c r="Q277" s="149" t="s">
        <v>1166</v>
      </c>
      <c r="R277" s="149" t="s">
        <v>17</v>
      </c>
      <c r="S277" s="149" t="s">
        <v>1167</v>
      </c>
      <c r="T277" s="151" t="s">
        <v>1168</v>
      </c>
      <c r="U277" s="152">
        <v>42040</v>
      </c>
      <c r="V277" s="149" t="s">
        <v>186</v>
      </c>
      <c r="W277" s="153">
        <f t="shared" si="661"/>
        <v>0</v>
      </c>
      <c r="X277" s="153" t="str">
        <f t="shared" si="662"/>
        <v>Correcto</v>
      </c>
    </row>
    <row r="278" spans="1:24" ht="18" customHeight="1" x14ac:dyDescent="0.25">
      <c r="A278" s="172">
        <v>269</v>
      </c>
      <c r="B278" s="145" t="s">
        <v>1169</v>
      </c>
      <c r="C278" s="146">
        <v>42037</v>
      </c>
      <c r="D278" s="147">
        <v>2</v>
      </c>
      <c r="E278" s="147" t="s">
        <v>93</v>
      </c>
      <c r="F278" s="145" t="s">
        <v>827</v>
      </c>
      <c r="G278" s="147" t="s">
        <v>202</v>
      </c>
      <c r="H278" s="148">
        <v>42038</v>
      </c>
      <c r="I278" s="147" t="s">
        <v>187</v>
      </c>
      <c r="J278" s="147" t="s">
        <v>103</v>
      </c>
      <c r="K278" s="149" t="s">
        <v>1170</v>
      </c>
      <c r="L278" s="148">
        <v>42038</v>
      </c>
      <c r="M278" s="149" t="s">
        <v>950</v>
      </c>
      <c r="N278" s="149" t="s">
        <v>185</v>
      </c>
      <c r="O278" s="148">
        <v>42039</v>
      </c>
      <c r="P278" s="150">
        <f t="shared" si="660"/>
        <v>2</v>
      </c>
      <c r="Q278" s="149" t="s">
        <v>1171</v>
      </c>
      <c r="R278" s="149" t="s">
        <v>17</v>
      </c>
      <c r="S278" s="149" t="s">
        <v>101</v>
      </c>
      <c r="T278" s="149" t="s">
        <v>1007</v>
      </c>
      <c r="U278" s="152">
        <v>42040</v>
      </c>
      <c r="V278" s="149" t="s">
        <v>186</v>
      </c>
      <c r="W278" s="153">
        <f t="shared" si="661"/>
        <v>0</v>
      </c>
      <c r="X278" s="153" t="str">
        <f t="shared" si="662"/>
        <v>Correcto</v>
      </c>
    </row>
    <row r="279" spans="1:24" ht="18" customHeight="1" x14ac:dyDescent="0.25">
      <c r="A279" s="172">
        <v>270</v>
      </c>
      <c r="B279" s="145" t="s">
        <v>1172</v>
      </c>
      <c r="C279" s="146">
        <v>42037</v>
      </c>
      <c r="D279" s="147">
        <v>2</v>
      </c>
      <c r="E279" s="147" t="s">
        <v>93</v>
      </c>
      <c r="F279" s="145" t="s">
        <v>827</v>
      </c>
      <c r="G279" s="147" t="s">
        <v>202</v>
      </c>
      <c r="H279" s="148">
        <v>42038</v>
      </c>
      <c r="I279" s="147" t="s">
        <v>187</v>
      </c>
      <c r="J279" s="147" t="s">
        <v>103</v>
      </c>
      <c r="K279" s="149" t="s">
        <v>1173</v>
      </c>
      <c r="L279" s="148">
        <v>42038</v>
      </c>
      <c r="M279" s="149" t="s">
        <v>950</v>
      </c>
      <c r="N279" s="149" t="s">
        <v>185</v>
      </c>
      <c r="O279" s="148">
        <v>42039</v>
      </c>
      <c r="P279" s="150">
        <f t="shared" si="660"/>
        <v>2</v>
      </c>
      <c r="Q279" s="149" t="s">
        <v>1174</v>
      </c>
      <c r="R279" s="149" t="s">
        <v>1175</v>
      </c>
      <c r="S279" s="149" t="s">
        <v>101</v>
      </c>
      <c r="T279" s="149" t="s">
        <v>1176</v>
      </c>
      <c r="U279" s="152">
        <v>42039</v>
      </c>
      <c r="V279" s="149" t="s">
        <v>186</v>
      </c>
      <c r="W279" s="153">
        <f t="shared" si="661"/>
        <v>0</v>
      </c>
      <c r="X279" s="153" t="str">
        <f t="shared" si="662"/>
        <v>Correcto</v>
      </c>
    </row>
    <row r="280" spans="1:24" ht="18" customHeight="1" x14ac:dyDescent="0.25">
      <c r="A280" s="172">
        <v>271</v>
      </c>
      <c r="B280" s="145" t="s">
        <v>1177</v>
      </c>
      <c r="C280" s="146">
        <v>42037</v>
      </c>
      <c r="D280" s="147">
        <v>2</v>
      </c>
      <c r="E280" s="147" t="s">
        <v>93</v>
      </c>
      <c r="F280" s="145" t="s">
        <v>827</v>
      </c>
      <c r="G280" s="147" t="s">
        <v>202</v>
      </c>
      <c r="H280" s="148">
        <v>42038</v>
      </c>
      <c r="I280" s="147" t="s">
        <v>187</v>
      </c>
      <c r="J280" s="147" t="s">
        <v>103</v>
      </c>
      <c r="K280" s="149" t="s">
        <v>1178</v>
      </c>
      <c r="L280" s="148">
        <v>42038</v>
      </c>
      <c r="M280" s="149" t="s">
        <v>950</v>
      </c>
      <c r="N280" s="149" t="s">
        <v>185</v>
      </c>
      <c r="O280" s="148">
        <v>42039</v>
      </c>
      <c r="P280" s="150">
        <f t="shared" si="660"/>
        <v>2</v>
      </c>
      <c r="Q280" s="149" t="s">
        <v>1179</v>
      </c>
      <c r="R280" s="149" t="s">
        <v>17</v>
      </c>
      <c r="S280" s="149" t="s">
        <v>101</v>
      </c>
      <c r="T280" s="149" t="s">
        <v>1019</v>
      </c>
      <c r="U280" s="152">
        <v>42040</v>
      </c>
      <c r="V280" s="149" t="s">
        <v>186</v>
      </c>
      <c r="W280" s="153">
        <f t="shared" si="661"/>
        <v>0</v>
      </c>
      <c r="X280" s="153" t="str">
        <f t="shared" si="662"/>
        <v>Correcto</v>
      </c>
    </row>
    <row r="281" spans="1:24" ht="18" customHeight="1" x14ac:dyDescent="0.25">
      <c r="A281" s="172">
        <v>272</v>
      </c>
      <c r="B281" s="145" t="s">
        <v>1180</v>
      </c>
      <c r="C281" s="146">
        <v>42037</v>
      </c>
      <c r="D281" s="147">
        <v>2</v>
      </c>
      <c r="E281" s="147" t="s">
        <v>93</v>
      </c>
      <c r="F281" s="145" t="s">
        <v>827</v>
      </c>
      <c r="G281" s="147" t="s">
        <v>202</v>
      </c>
      <c r="H281" s="148">
        <v>42038</v>
      </c>
      <c r="I281" s="147" t="s">
        <v>187</v>
      </c>
      <c r="J281" s="147" t="s">
        <v>103</v>
      </c>
      <c r="K281" s="149" t="s">
        <v>1181</v>
      </c>
      <c r="L281" s="148">
        <v>42038</v>
      </c>
      <c r="M281" s="149" t="s">
        <v>950</v>
      </c>
      <c r="N281" s="149" t="s">
        <v>185</v>
      </c>
      <c r="O281" s="148">
        <v>42039</v>
      </c>
      <c r="P281" s="150">
        <f t="shared" si="660"/>
        <v>2</v>
      </c>
      <c r="Q281" s="149" t="s">
        <v>1182</v>
      </c>
      <c r="R281" s="149" t="s">
        <v>17</v>
      </c>
      <c r="S281" s="149" t="s">
        <v>101</v>
      </c>
      <c r="T281" s="149" t="s">
        <v>1011</v>
      </c>
      <c r="U281" s="152">
        <v>42040</v>
      </c>
      <c r="V281" s="149" t="s">
        <v>186</v>
      </c>
      <c r="W281" s="153">
        <f t="shared" si="661"/>
        <v>0</v>
      </c>
      <c r="X281" s="153" t="str">
        <f t="shared" si="662"/>
        <v>Correcto</v>
      </c>
    </row>
    <row r="282" spans="1:24" ht="18" customHeight="1" x14ac:dyDescent="0.25">
      <c r="A282" s="172">
        <v>273</v>
      </c>
      <c r="B282" s="145" t="s">
        <v>1183</v>
      </c>
      <c r="C282" s="146">
        <v>42037</v>
      </c>
      <c r="D282" s="147">
        <v>2</v>
      </c>
      <c r="E282" s="147" t="s">
        <v>93</v>
      </c>
      <c r="F282" s="145" t="s">
        <v>827</v>
      </c>
      <c r="G282" s="147" t="s">
        <v>202</v>
      </c>
      <c r="H282" s="148">
        <v>42038</v>
      </c>
      <c r="I282" s="147" t="s">
        <v>187</v>
      </c>
      <c r="J282" s="147" t="s">
        <v>103</v>
      </c>
      <c r="K282" s="149" t="s">
        <v>1184</v>
      </c>
      <c r="L282" s="148">
        <v>42038</v>
      </c>
      <c r="M282" s="149" t="s">
        <v>950</v>
      </c>
      <c r="N282" s="149" t="s">
        <v>185</v>
      </c>
      <c r="O282" s="148">
        <v>42039</v>
      </c>
      <c r="P282" s="150">
        <f t="shared" si="660"/>
        <v>2</v>
      </c>
      <c r="Q282" s="149" t="s">
        <v>1185</v>
      </c>
      <c r="R282" s="149" t="s">
        <v>17</v>
      </c>
      <c r="S282" s="149" t="s">
        <v>101</v>
      </c>
      <c r="T282" s="149" t="s">
        <v>1186</v>
      </c>
      <c r="U282" s="152">
        <v>42040</v>
      </c>
      <c r="V282" s="149" t="s">
        <v>186</v>
      </c>
      <c r="W282" s="153">
        <f t="shared" si="661"/>
        <v>0</v>
      </c>
      <c r="X282" s="153" t="str">
        <f t="shared" si="662"/>
        <v>Correcto</v>
      </c>
    </row>
    <row r="283" spans="1:24" ht="18" customHeight="1" x14ac:dyDescent="0.25">
      <c r="A283" s="172">
        <v>274</v>
      </c>
      <c r="B283" s="145" t="s">
        <v>1187</v>
      </c>
      <c r="C283" s="146">
        <v>42037</v>
      </c>
      <c r="D283" s="147">
        <v>4</v>
      </c>
      <c r="E283" s="147" t="s">
        <v>93</v>
      </c>
      <c r="F283" s="145" t="s">
        <v>827</v>
      </c>
      <c r="G283" s="147" t="s">
        <v>202</v>
      </c>
      <c r="H283" s="148">
        <v>42038</v>
      </c>
      <c r="I283" s="147" t="s">
        <v>187</v>
      </c>
      <c r="J283" s="147" t="s">
        <v>103</v>
      </c>
      <c r="K283" s="149" t="s">
        <v>1188</v>
      </c>
      <c r="L283" s="148">
        <v>42038</v>
      </c>
      <c r="M283" s="149" t="s">
        <v>950</v>
      </c>
      <c r="N283" s="149" t="s">
        <v>185</v>
      </c>
      <c r="O283" s="148">
        <v>42039</v>
      </c>
      <c r="P283" s="150">
        <f t="shared" si="660"/>
        <v>2</v>
      </c>
      <c r="Q283" s="149" t="s">
        <v>1189</v>
      </c>
      <c r="R283" s="149" t="s">
        <v>17</v>
      </c>
      <c r="S283" s="149" t="s">
        <v>101</v>
      </c>
      <c r="T283" s="149" t="s">
        <v>1163</v>
      </c>
      <c r="U283" s="152">
        <v>42040</v>
      </c>
      <c r="V283" s="149" t="s">
        <v>186</v>
      </c>
      <c r="W283" s="153">
        <f t="shared" si="661"/>
        <v>0</v>
      </c>
      <c r="X283" s="153" t="str">
        <f t="shared" si="662"/>
        <v>Correcto</v>
      </c>
    </row>
    <row r="284" spans="1:24" ht="18" customHeight="1" x14ac:dyDescent="0.25">
      <c r="A284" s="172">
        <v>275</v>
      </c>
      <c r="B284" s="145" t="s">
        <v>1190</v>
      </c>
      <c r="C284" s="146">
        <v>42037</v>
      </c>
      <c r="D284" s="147">
        <v>2</v>
      </c>
      <c r="E284" s="147" t="s">
        <v>93</v>
      </c>
      <c r="F284" s="145" t="s">
        <v>827</v>
      </c>
      <c r="G284" s="147" t="s">
        <v>202</v>
      </c>
      <c r="H284" s="148">
        <v>42038</v>
      </c>
      <c r="I284" s="147" t="s">
        <v>187</v>
      </c>
      <c r="J284" s="147" t="s">
        <v>103</v>
      </c>
      <c r="K284" s="149" t="s">
        <v>1191</v>
      </c>
      <c r="L284" s="148">
        <v>42038</v>
      </c>
      <c r="M284" s="149" t="s">
        <v>950</v>
      </c>
      <c r="N284" s="149" t="s">
        <v>185</v>
      </c>
      <c r="O284" s="148">
        <v>42039</v>
      </c>
      <c r="P284" s="150">
        <f t="shared" si="660"/>
        <v>2</v>
      </c>
      <c r="Q284" s="149" t="s">
        <v>1192</v>
      </c>
      <c r="R284" s="149" t="s">
        <v>17</v>
      </c>
      <c r="S284" s="149" t="s">
        <v>101</v>
      </c>
      <c r="T284" s="149" t="s">
        <v>1007</v>
      </c>
      <c r="U284" s="152">
        <v>42040</v>
      </c>
      <c r="V284" s="149" t="s">
        <v>186</v>
      </c>
      <c r="W284" s="153">
        <f t="shared" si="661"/>
        <v>0</v>
      </c>
      <c r="X284" s="153" t="str">
        <f t="shared" si="662"/>
        <v>Correcto</v>
      </c>
    </row>
    <row r="285" spans="1:24" ht="18" customHeight="1" x14ac:dyDescent="0.25">
      <c r="A285" s="172">
        <v>276</v>
      </c>
      <c r="B285" s="145" t="s">
        <v>1193</v>
      </c>
      <c r="C285" s="146">
        <v>42037</v>
      </c>
      <c r="D285" s="147">
        <v>2</v>
      </c>
      <c r="E285" s="147" t="s">
        <v>93</v>
      </c>
      <c r="F285" s="145" t="s">
        <v>827</v>
      </c>
      <c r="G285" s="147" t="s">
        <v>202</v>
      </c>
      <c r="H285" s="148">
        <v>42038</v>
      </c>
      <c r="I285" s="147" t="s">
        <v>187</v>
      </c>
      <c r="J285" s="147" t="s">
        <v>103</v>
      </c>
      <c r="K285" s="149" t="s">
        <v>1194</v>
      </c>
      <c r="L285" s="148">
        <v>42038</v>
      </c>
      <c r="M285" s="149" t="s">
        <v>950</v>
      </c>
      <c r="N285" s="149" t="s">
        <v>185</v>
      </c>
      <c r="O285" s="148">
        <v>42039</v>
      </c>
      <c r="P285" s="150">
        <f t="shared" si="660"/>
        <v>2</v>
      </c>
      <c r="Q285" s="149" t="s">
        <v>1195</v>
      </c>
      <c r="R285" s="149" t="s">
        <v>17</v>
      </c>
      <c r="S285" s="149" t="s">
        <v>101</v>
      </c>
      <c r="T285" s="149" t="s">
        <v>1011</v>
      </c>
      <c r="U285" s="152">
        <v>42040</v>
      </c>
      <c r="V285" s="149" t="s">
        <v>186</v>
      </c>
      <c r="W285" s="153">
        <f t="shared" si="661"/>
        <v>0</v>
      </c>
      <c r="X285" s="153" t="str">
        <f t="shared" si="662"/>
        <v>Correcto</v>
      </c>
    </row>
    <row r="286" spans="1:24" ht="18" customHeight="1" x14ac:dyDescent="0.25">
      <c r="A286" s="172">
        <v>277</v>
      </c>
      <c r="B286" s="145" t="s">
        <v>1196</v>
      </c>
      <c r="C286" s="146">
        <v>42037</v>
      </c>
      <c r="D286" s="147">
        <v>2</v>
      </c>
      <c r="E286" s="147" t="s">
        <v>93</v>
      </c>
      <c r="F286" s="145" t="s">
        <v>827</v>
      </c>
      <c r="G286" s="147" t="s">
        <v>202</v>
      </c>
      <c r="H286" s="148">
        <v>42038</v>
      </c>
      <c r="I286" s="147" t="s">
        <v>187</v>
      </c>
      <c r="J286" s="147" t="s">
        <v>103</v>
      </c>
      <c r="K286" s="149" t="s">
        <v>1197</v>
      </c>
      <c r="L286" s="148">
        <v>42038</v>
      </c>
      <c r="M286" s="149" t="s">
        <v>950</v>
      </c>
      <c r="N286" s="149" t="s">
        <v>185</v>
      </c>
      <c r="O286" s="148">
        <v>42039</v>
      </c>
      <c r="P286" s="150">
        <f t="shared" si="660"/>
        <v>2</v>
      </c>
      <c r="Q286" s="149" t="s">
        <v>1198</v>
      </c>
      <c r="R286" s="149" t="s">
        <v>17</v>
      </c>
      <c r="S286" s="149" t="s">
        <v>101</v>
      </c>
      <c r="T286" s="149" t="s">
        <v>1005</v>
      </c>
      <c r="U286" s="152">
        <v>42040</v>
      </c>
      <c r="V286" s="149" t="s">
        <v>186</v>
      </c>
      <c r="W286" s="153">
        <f t="shared" si="661"/>
        <v>0</v>
      </c>
      <c r="X286" s="153" t="str">
        <f t="shared" si="662"/>
        <v>Correcto</v>
      </c>
    </row>
    <row r="287" spans="1:24" ht="18" customHeight="1" x14ac:dyDescent="0.25">
      <c r="A287" s="172">
        <v>278</v>
      </c>
      <c r="B287" s="145" t="s">
        <v>1199</v>
      </c>
      <c r="C287" s="146">
        <v>42037</v>
      </c>
      <c r="D287" s="147">
        <v>2</v>
      </c>
      <c r="E287" s="147" t="s">
        <v>93</v>
      </c>
      <c r="F287" s="145" t="s">
        <v>827</v>
      </c>
      <c r="G287" s="147" t="s">
        <v>202</v>
      </c>
      <c r="H287" s="148">
        <v>42056</v>
      </c>
      <c r="I287" s="147" t="s">
        <v>187</v>
      </c>
      <c r="J287" s="147" t="s">
        <v>103</v>
      </c>
      <c r="K287" s="149" t="s">
        <v>1200</v>
      </c>
      <c r="L287" s="148">
        <v>42056</v>
      </c>
      <c r="M287" s="149" t="s">
        <v>1201</v>
      </c>
      <c r="N287" s="149" t="s">
        <v>1202</v>
      </c>
      <c r="O287" s="148">
        <v>42056</v>
      </c>
      <c r="P287" s="150">
        <f t="shared" si="660"/>
        <v>19</v>
      </c>
      <c r="Q287" s="149" t="s">
        <v>1200</v>
      </c>
      <c r="R287" s="149" t="s">
        <v>17</v>
      </c>
      <c r="S287" s="149" t="s">
        <v>101</v>
      </c>
      <c r="T287" s="149" t="s">
        <v>1203</v>
      </c>
      <c r="U287" s="152">
        <v>42058</v>
      </c>
      <c r="V287" s="149" t="s">
        <v>186</v>
      </c>
      <c r="W287" s="153">
        <f t="shared" si="661"/>
        <v>0</v>
      </c>
      <c r="X287" s="153" t="str">
        <f t="shared" si="662"/>
        <v>Correcto</v>
      </c>
    </row>
    <row r="288" spans="1:24" ht="18" customHeight="1" x14ac:dyDescent="0.25">
      <c r="A288" s="172">
        <v>279</v>
      </c>
      <c r="B288" s="145" t="s">
        <v>1204</v>
      </c>
      <c r="C288" s="146">
        <v>42037</v>
      </c>
      <c r="D288" s="147">
        <v>2</v>
      </c>
      <c r="E288" s="147" t="s">
        <v>93</v>
      </c>
      <c r="F288" s="145" t="s">
        <v>827</v>
      </c>
      <c r="G288" s="147" t="s">
        <v>202</v>
      </c>
      <c r="H288" s="148">
        <v>42038</v>
      </c>
      <c r="I288" s="147" t="s">
        <v>187</v>
      </c>
      <c r="J288" s="147" t="s">
        <v>103</v>
      </c>
      <c r="K288" s="149" t="s">
        <v>1205</v>
      </c>
      <c r="L288" s="148">
        <v>42038</v>
      </c>
      <c r="M288" s="149" t="s">
        <v>950</v>
      </c>
      <c r="N288" s="149" t="s">
        <v>185</v>
      </c>
      <c r="O288" s="148">
        <v>42039</v>
      </c>
      <c r="P288" s="150">
        <f t="shared" si="660"/>
        <v>2</v>
      </c>
      <c r="Q288" s="149" t="s">
        <v>1206</v>
      </c>
      <c r="R288" s="149" t="s">
        <v>977</v>
      </c>
      <c r="S288" s="149" t="s">
        <v>101</v>
      </c>
      <c r="T288" s="149" t="s">
        <v>1207</v>
      </c>
      <c r="U288" s="152">
        <v>42039</v>
      </c>
      <c r="V288" s="149" t="s">
        <v>186</v>
      </c>
      <c r="W288" s="153">
        <f t="shared" si="661"/>
        <v>0</v>
      </c>
      <c r="X288" s="153" t="str">
        <f t="shared" si="662"/>
        <v>Correcto</v>
      </c>
    </row>
    <row r="289" spans="1:24" ht="18" customHeight="1" x14ac:dyDescent="0.25">
      <c r="A289" s="172">
        <v>280</v>
      </c>
      <c r="B289" s="145" t="s">
        <v>1208</v>
      </c>
      <c r="C289" s="146">
        <v>42037</v>
      </c>
      <c r="D289" s="147">
        <v>2</v>
      </c>
      <c r="E289" s="147" t="s">
        <v>93</v>
      </c>
      <c r="F289" s="145" t="s">
        <v>827</v>
      </c>
      <c r="G289" s="147" t="s">
        <v>202</v>
      </c>
      <c r="H289" s="148">
        <v>42039</v>
      </c>
      <c r="I289" s="147" t="s">
        <v>187</v>
      </c>
      <c r="J289" s="147" t="s">
        <v>103</v>
      </c>
      <c r="K289" s="149" t="s">
        <v>1209</v>
      </c>
      <c r="L289" s="148">
        <v>42039</v>
      </c>
      <c r="M289" s="149" t="s">
        <v>950</v>
      </c>
      <c r="N289" s="149" t="s">
        <v>185</v>
      </c>
      <c r="O289" s="148">
        <v>42039</v>
      </c>
      <c r="P289" s="150">
        <f t="shared" si="660"/>
        <v>2</v>
      </c>
      <c r="Q289" s="149" t="s">
        <v>1210</v>
      </c>
      <c r="R289" s="149" t="s">
        <v>17</v>
      </c>
      <c r="S289" s="149" t="s">
        <v>101</v>
      </c>
      <c r="T289" s="149" t="s">
        <v>1211</v>
      </c>
      <c r="U289" s="152">
        <v>42040</v>
      </c>
      <c r="V289" s="149" t="s">
        <v>186</v>
      </c>
      <c r="W289" s="153">
        <f t="shared" si="661"/>
        <v>0</v>
      </c>
      <c r="X289" s="153" t="str">
        <f t="shared" si="662"/>
        <v>Correcto</v>
      </c>
    </row>
    <row r="290" spans="1:24" ht="18" customHeight="1" x14ac:dyDescent="0.25">
      <c r="A290" s="172">
        <v>281</v>
      </c>
      <c r="B290" s="145" t="s">
        <v>1212</v>
      </c>
      <c r="C290" s="146">
        <v>42037</v>
      </c>
      <c r="D290" s="147">
        <v>2</v>
      </c>
      <c r="E290" s="147" t="s">
        <v>93</v>
      </c>
      <c r="F290" s="145" t="s">
        <v>827</v>
      </c>
      <c r="G290" s="147" t="s">
        <v>202</v>
      </c>
      <c r="H290" s="148">
        <v>42038</v>
      </c>
      <c r="I290" s="147" t="s">
        <v>187</v>
      </c>
      <c r="J290" s="147" t="s">
        <v>103</v>
      </c>
      <c r="K290" s="149" t="s">
        <v>1213</v>
      </c>
      <c r="L290" s="148">
        <v>42038</v>
      </c>
      <c r="M290" s="149" t="s">
        <v>1201</v>
      </c>
      <c r="N290" s="149" t="s">
        <v>1202</v>
      </c>
      <c r="O290" s="148">
        <v>42038</v>
      </c>
      <c r="P290" s="150">
        <f t="shared" si="660"/>
        <v>1</v>
      </c>
      <c r="Q290" s="149" t="s">
        <v>1213</v>
      </c>
      <c r="R290" s="149" t="s">
        <v>17</v>
      </c>
      <c r="S290" s="149" t="s">
        <v>1214</v>
      </c>
      <c r="T290" s="151" t="s">
        <v>1163</v>
      </c>
      <c r="U290" s="152">
        <v>42039</v>
      </c>
      <c r="V290" s="149" t="s">
        <v>186</v>
      </c>
      <c r="W290" s="153">
        <f t="shared" si="661"/>
        <v>0</v>
      </c>
      <c r="X290" s="153" t="str">
        <f t="shared" si="662"/>
        <v>Correcto</v>
      </c>
    </row>
    <row r="291" spans="1:24" ht="18" customHeight="1" x14ac:dyDescent="0.25">
      <c r="A291" s="172">
        <v>282</v>
      </c>
      <c r="B291" s="145" t="s">
        <v>1215</v>
      </c>
      <c r="C291" s="146">
        <v>42037</v>
      </c>
      <c r="D291" s="147">
        <v>2</v>
      </c>
      <c r="E291" s="147" t="s">
        <v>93</v>
      </c>
      <c r="F291" s="145" t="s">
        <v>827</v>
      </c>
      <c r="G291" s="147" t="s">
        <v>202</v>
      </c>
      <c r="H291" s="148">
        <v>42038</v>
      </c>
      <c r="I291" s="147" t="s">
        <v>187</v>
      </c>
      <c r="J291" s="147" t="s">
        <v>103</v>
      </c>
      <c r="K291" s="149" t="s">
        <v>1216</v>
      </c>
      <c r="L291" s="148">
        <v>42038</v>
      </c>
      <c r="M291" s="149" t="s">
        <v>950</v>
      </c>
      <c r="N291" s="149" t="s">
        <v>185</v>
      </c>
      <c r="O291" s="148">
        <v>42039</v>
      </c>
      <c r="P291" s="150">
        <f t="shared" si="660"/>
        <v>2</v>
      </c>
      <c r="Q291" s="149" t="s">
        <v>1217</v>
      </c>
      <c r="R291" s="149" t="s">
        <v>17</v>
      </c>
      <c r="S291" s="149" t="s">
        <v>1214</v>
      </c>
      <c r="T291" s="151" t="s">
        <v>1163</v>
      </c>
      <c r="U291" s="152">
        <v>42040</v>
      </c>
      <c r="V291" s="149" t="s">
        <v>186</v>
      </c>
      <c r="W291" s="153">
        <f t="shared" si="661"/>
        <v>0</v>
      </c>
      <c r="X291" s="153" t="str">
        <f t="shared" si="662"/>
        <v>Correcto</v>
      </c>
    </row>
    <row r="292" spans="1:24" ht="18" customHeight="1" x14ac:dyDescent="0.25">
      <c r="A292" s="172">
        <v>283</v>
      </c>
      <c r="B292" s="145" t="s">
        <v>1218</v>
      </c>
      <c r="C292" s="146">
        <v>42037</v>
      </c>
      <c r="D292" s="147">
        <v>2</v>
      </c>
      <c r="E292" s="147" t="s">
        <v>93</v>
      </c>
      <c r="F292" s="145" t="s">
        <v>827</v>
      </c>
      <c r="G292" s="147" t="s">
        <v>202</v>
      </c>
      <c r="H292" s="148">
        <v>42038</v>
      </c>
      <c r="I292" s="147" t="s">
        <v>187</v>
      </c>
      <c r="J292" s="147" t="s">
        <v>103</v>
      </c>
      <c r="K292" s="149" t="s">
        <v>1219</v>
      </c>
      <c r="L292" s="148">
        <v>42038</v>
      </c>
      <c r="M292" s="149" t="s">
        <v>950</v>
      </c>
      <c r="N292" s="149" t="s">
        <v>185</v>
      </c>
      <c r="O292" s="148">
        <v>42038</v>
      </c>
      <c r="P292" s="150">
        <f t="shared" si="660"/>
        <v>1</v>
      </c>
      <c r="Q292" s="149" t="s">
        <v>1220</v>
      </c>
      <c r="R292" s="149" t="s">
        <v>17</v>
      </c>
      <c r="S292" s="149" t="s">
        <v>1221</v>
      </c>
      <c r="T292" s="151" t="s">
        <v>1222</v>
      </c>
      <c r="U292" s="152">
        <v>42038</v>
      </c>
      <c r="V292" s="149" t="s">
        <v>186</v>
      </c>
      <c r="W292" s="153">
        <f t="shared" si="661"/>
        <v>0</v>
      </c>
      <c r="X292" s="153" t="str">
        <f t="shared" si="662"/>
        <v>Correcto</v>
      </c>
    </row>
    <row r="293" spans="1:24" ht="18" customHeight="1" x14ac:dyDescent="0.25">
      <c r="A293" s="172">
        <v>284</v>
      </c>
      <c r="B293" s="145" t="s">
        <v>1223</v>
      </c>
      <c r="C293" s="146">
        <v>42037</v>
      </c>
      <c r="D293" s="147">
        <v>2</v>
      </c>
      <c r="E293" s="147" t="s">
        <v>93</v>
      </c>
      <c r="F293" s="145" t="s">
        <v>827</v>
      </c>
      <c r="G293" s="147" t="s">
        <v>202</v>
      </c>
      <c r="H293" s="148">
        <v>42038</v>
      </c>
      <c r="I293" s="147" t="s">
        <v>187</v>
      </c>
      <c r="J293" s="147" t="s">
        <v>103</v>
      </c>
      <c r="K293" s="149" t="s">
        <v>1224</v>
      </c>
      <c r="L293" s="148">
        <v>42038</v>
      </c>
      <c r="M293" s="149" t="s">
        <v>950</v>
      </c>
      <c r="N293" s="149" t="s">
        <v>185</v>
      </c>
      <c r="O293" s="148">
        <v>42039</v>
      </c>
      <c r="P293" s="150">
        <f t="shared" si="660"/>
        <v>2</v>
      </c>
      <c r="Q293" s="149" t="s">
        <v>1225</v>
      </c>
      <c r="R293" s="149" t="s">
        <v>17</v>
      </c>
      <c r="S293" s="149" t="s">
        <v>101</v>
      </c>
      <c r="T293" s="149" t="s">
        <v>1226</v>
      </c>
      <c r="U293" s="152">
        <v>42040</v>
      </c>
      <c r="V293" s="149" t="s">
        <v>186</v>
      </c>
      <c r="W293" s="153">
        <f t="shared" si="661"/>
        <v>0</v>
      </c>
      <c r="X293" s="153" t="str">
        <f t="shared" si="662"/>
        <v>Correcto</v>
      </c>
    </row>
    <row r="294" spans="1:24" ht="18" customHeight="1" x14ac:dyDescent="0.25">
      <c r="A294" s="172">
        <v>285</v>
      </c>
      <c r="B294" s="145" t="s">
        <v>1227</v>
      </c>
      <c r="C294" s="146">
        <v>42038</v>
      </c>
      <c r="D294" s="147">
        <v>3</v>
      </c>
      <c r="E294" s="147" t="s">
        <v>93</v>
      </c>
      <c r="F294" s="145" t="s">
        <v>827</v>
      </c>
      <c r="G294" s="147" t="s">
        <v>202</v>
      </c>
      <c r="H294" s="148">
        <v>42039</v>
      </c>
      <c r="I294" s="147" t="s">
        <v>187</v>
      </c>
      <c r="J294" s="147" t="s">
        <v>103</v>
      </c>
      <c r="K294" s="149" t="s">
        <v>1228</v>
      </c>
      <c r="L294" s="148">
        <v>42039</v>
      </c>
      <c r="M294" s="149" t="s">
        <v>950</v>
      </c>
      <c r="N294" s="149" t="s">
        <v>185</v>
      </c>
      <c r="O294" s="148">
        <v>42039</v>
      </c>
      <c r="P294" s="150">
        <f t="shared" si="660"/>
        <v>1</v>
      </c>
      <c r="Q294" s="149" t="s">
        <v>1229</v>
      </c>
      <c r="R294" s="149" t="s">
        <v>17</v>
      </c>
      <c r="S294" s="149" t="s">
        <v>1230</v>
      </c>
      <c r="T294" s="151" t="s">
        <v>1231</v>
      </c>
      <c r="U294" s="152">
        <v>42040</v>
      </c>
      <c r="V294" s="149" t="s">
        <v>186</v>
      </c>
      <c r="W294" s="153">
        <f t="shared" si="661"/>
        <v>0</v>
      </c>
      <c r="X294" s="153" t="str">
        <f t="shared" si="662"/>
        <v>Correcto</v>
      </c>
    </row>
    <row r="295" spans="1:24" ht="18" customHeight="1" x14ac:dyDescent="0.25">
      <c r="A295" s="172">
        <v>286</v>
      </c>
      <c r="B295" s="145" t="s">
        <v>1232</v>
      </c>
      <c r="C295" s="146">
        <v>42038</v>
      </c>
      <c r="D295" s="147">
        <v>2</v>
      </c>
      <c r="E295" s="147" t="s">
        <v>93</v>
      </c>
      <c r="F295" s="145" t="s">
        <v>827</v>
      </c>
      <c r="G295" s="147" t="s">
        <v>202</v>
      </c>
      <c r="H295" s="148">
        <v>42039</v>
      </c>
      <c r="I295" s="147" t="s">
        <v>187</v>
      </c>
      <c r="J295" s="147" t="s">
        <v>103</v>
      </c>
      <c r="K295" s="149" t="s">
        <v>1233</v>
      </c>
      <c r="L295" s="148">
        <v>42039</v>
      </c>
      <c r="M295" s="149" t="s">
        <v>950</v>
      </c>
      <c r="N295" s="149" t="s">
        <v>185</v>
      </c>
      <c r="O295" s="148">
        <v>42039</v>
      </c>
      <c r="P295" s="150">
        <f t="shared" si="660"/>
        <v>1</v>
      </c>
      <c r="Q295" s="149" t="s">
        <v>1234</v>
      </c>
      <c r="R295" s="149" t="s">
        <v>17</v>
      </c>
      <c r="S295" s="149" t="s">
        <v>1235</v>
      </c>
      <c r="T295" s="151" t="s">
        <v>1236</v>
      </c>
      <c r="U295" s="152">
        <v>42040</v>
      </c>
      <c r="V295" s="149" t="s">
        <v>186</v>
      </c>
      <c r="W295" s="153">
        <f t="shared" si="661"/>
        <v>0</v>
      </c>
      <c r="X295" s="153" t="str">
        <f t="shared" si="662"/>
        <v>Correcto</v>
      </c>
    </row>
    <row r="296" spans="1:24" ht="18" customHeight="1" x14ac:dyDescent="0.25">
      <c r="A296" s="172">
        <v>287</v>
      </c>
      <c r="B296" s="145" t="s">
        <v>1237</v>
      </c>
      <c r="C296" s="146">
        <v>42038</v>
      </c>
      <c r="D296" s="147">
        <v>5</v>
      </c>
      <c r="E296" s="147" t="s">
        <v>93</v>
      </c>
      <c r="F296" s="145" t="s">
        <v>827</v>
      </c>
      <c r="G296" s="147" t="s">
        <v>202</v>
      </c>
      <c r="H296" s="148">
        <v>42039</v>
      </c>
      <c r="I296" s="147" t="s">
        <v>187</v>
      </c>
      <c r="J296" s="147" t="s">
        <v>103</v>
      </c>
      <c r="K296" s="149" t="s">
        <v>1238</v>
      </c>
      <c r="L296" s="148">
        <v>42039</v>
      </c>
      <c r="M296" s="149" t="s">
        <v>950</v>
      </c>
      <c r="N296" s="149" t="s">
        <v>185</v>
      </c>
      <c r="O296" s="148">
        <v>42039</v>
      </c>
      <c r="P296" s="150">
        <f t="shared" si="660"/>
        <v>1</v>
      </c>
      <c r="Q296" s="149" t="s">
        <v>1239</v>
      </c>
      <c r="R296" s="149" t="s">
        <v>17</v>
      </c>
      <c r="S296" s="149" t="s">
        <v>1240</v>
      </c>
      <c r="T296" s="151" t="s">
        <v>1241</v>
      </c>
      <c r="U296" s="152">
        <v>42040</v>
      </c>
      <c r="V296" s="149" t="s">
        <v>186</v>
      </c>
      <c r="W296" s="153">
        <f t="shared" si="661"/>
        <v>0</v>
      </c>
      <c r="X296" s="153" t="str">
        <f t="shared" si="662"/>
        <v>Correcto</v>
      </c>
    </row>
    <row r="297" spans="1:24" ht="18" customHeight="1" x14ac:dyDescent="0.25">
      <c r="A297" s="172">
        <v>288</v>
      </c>
      <c r="B297" s="145" t="s">
        <v>1242</v>
      </c>
      <c r="C297" s="146">
        <v>42038</v>
      </c>
      <c r="D297" s="147">
        <v>13</v>
      </c>
      <c r="E297" s="147" t="s">
        <v>93</v>
      </c>
      <c r="F297" s="145" t="s">
        <v>827</v>
      </c>
      <c r="G297" s="147" t="s">
        <v>202</v>
      </c>
      <c r="H297" s="148">
        <v>42039</v>
      </c>
      <c r="I297" s="147" t="s">
        <v>187</v>
      </c>
      <c r="J297" s="147" t="s">
        <v>103</v>
      </c>
      <c r="K297" s="149" t="s">
        <v>1243</v>
      </c>
      <c r="L297" s="148">
        <v>42039</v>
      </c>
      <c r="M297" s="149" t="s">
        <v>950</v>
      </c>
      <c r="N297" s="149" t="s">
        <v>185</v>
      </c>
      <c r="O297" s="148">
        <v>42039</v>
      </c>
      <c r="P297" s="150">
        <f t="shared" si="660"/>
        <v>1</v>
      </c>
      <c r="Q297" s="149" t="s">
        <v>1244</v>
      </c>
      <c r="R297" s="149" t="s">
        <v>17</v>
      </c>
      <c r="S297" s="149" t="s">
        <v>1245</v>
      </c>
      <c r="T297" s="151" t="s">
        <v>1246</v>
      </c>
      <c r="U297" s="152">
        <v>42040</v>
      </c>
      <c r="V297" s="149" t="s">
        <v>186</v>
      </c>
      <c r="W297" s="153">
        <f t="shared" si="661"/>
        <v>0</v>
      </c>
      <c r="X297" s="153" t="str">
        <f t="shared" si="662"/>
        <v>Correcto</v>
      </c>
    </row>
    <row r="298" spans="1:24" ht="18" customHeight="1" x14ac:dyDescent="0.25">
      <c r="A298" s="172">
        <v>289</v>
      </c>
      <c r="B298" s="145" t="s">
        <v>1247</v>
      </c>
      <c r="C298" s="146">
        <v>42038</v>
      </c>
      <c r="D298" s="147">
        <v>2</v>
      </c>
      <c r="E298" s="147" t="s">
        <v>93</v>
      </c>
      <c r="F298" s="145" t="s">
        <v>827</v>
      </c>
      <c r="G298" s="147" t="s">
        <v>202</v>
      </c>
      <c r="H298" s="148">
        <v>42039</v>
      </c>
      <c r="I298" s="147" t="s">
        <v>187</v>
      </c>
      <c r="J298" s="147" t="s">
        <v>103</v>
      </c>
      <c r="K298" s="149" t="s">
        <v>1248</v>
      </c>
      <c r="L298" s="148">
        <v>42039</v>
      </c>
      <c r="M298" s="149" t="s">
        <v>950</v>
      </c>
      <c r="N298" s="149" t="s">
        <v>185</v>
      </c>
      <c r="O298" s="148">
        <v>42039</v>
      </c>
      <c r="P298" s="150">
        <f t="shared" si="660"/>
        <v>1</v>
      </c>
      <c r="Q298" s="149" t="s">
        <v>1249</v>
      </c>
      <c r="R298" s="149" t="s">
        <v>17</v>
      </c>
      <c r="S298" s="149" t="s">
        <v>1250</v>
      </c>
      <c r="T298" s="151" t="s">
        <v>1251</v>
      </c>
      <c r="U298" s="152">
        <v>42041</v>
      </c>
      <c r="V298" s="149" t="s">
        <v>186</v>
      </c>
      <c r="W298" s="153">
        <f t="shared" si="661"/>
        <v>0</v>
      </c>
      <c r="X298" s="153" t="str">
        <f t="shared" si="662"/>
        <v>Correcto</v>
      </c>
    </row>
    <row r="299" spans="1:24" ht="18" customHeight="1" x14ac:dyDescent="0.25">
      <c r="A299" s="172">
        <v>290</v>
      </c>
      <c r="B299" s="145" t="s">
        <v>1252</v>
      </c>
      <c r="C299" s="146">
        <v>42038</v>
      </c>
      <c r="D299" s="147">
        <v>2</v>
      </c>
      <c r="E299" s="147" t="s">
        <v>93</v>
      </c>
      <c r="F299" s="145" t="s">
        <v>827</v>
      </c>
      <c r="G299" s="147" t="s">
        <v>202</v>
      </c>
      <c r="H299" s="148">
        <v>42039</v>
      </c>
      <c r="I299" s="147" t="s">
        <v>187</v>
      </c>
      <c r="J299" s="147" t="s">
        <v>103</v>
      </c>
      <c r="K299" s="149" t="s">
        <v>1253</v>
      </c>
      <c r="L299" s="148">
        <v>42039</v>
      </c>
      <c r="M299" s="149" t="s">
        <v>950</v>
      </c>
      <c r="N299" s="149" t="s">
        <v>185</v>
      </c>
      <c r="O299" s="148">
        <v>42039</v>
      </c>
      <c r="P299" s="150">
        <f t="shared" si="660"/>
        <v>1</v>
      </c>
      <c r="Q299" s="149" t="s">
        <v>1254</v>
      </c>
      <c r="R299" s="149" t="s">
        <v>17</v>
      </c>
      <c r="S299" s="149" t="s">
        <v>1255</v>
      </c>
      <c r="T299" s="151" t="s">
        <v>1256</v>
      </c>
      <c r="U299" s="152">
        <v>42041</v>
      </c>
      <c r="V299" s="149" t="s">
        <v>186</v>
      </c>
      <c r="W299" s="153">
        <f t="shared" si="661"/>
        <v>0</v>
      </c>
      <c r="X299" s="153" t="str">
        <f t="shared" si="662"/>
        <v>Correcto</v>
      </c>
    </row>
    <row r="300" spans="1:24" ht="18" customHeight="1" x14ac:dyDescent="0.25">
      <c r="A300" s="172">
        <v>291</v>
      </c>
      <c r="B300" s="145" t="s">
        <v>1257</v>
      </c>
      <c r="C300" s="146">
        <v>42039</v>
      </c>
      <c r="D300" s="147">
        <v>2</v>
      </c>
      <c r="E300" s="147" t="s">
        <v>93</v>
      </c>
      <c r="F300" s="145" t="s">
        <v>827</v>
      </c>
      <c r="G300" s="147" t="s">
        <v>202</v>
      </c>
      <c r="H300" s="148">
        <v>42039</v>
      </c>
      <c r="I300" s="147" t="s">
        <v>187</v>
      </c>
      <c r="J300" s="147" t="s">
        <v>103</v>
      </c>
      <c r="K300" s="149" t="s">
        <v>1258</v>
      </c>
      <c r="L300" s="148">
        <v>42039</v>
      </c>
      <c r="M300" s="149" t="s">
        <v>950</v>
      </c>
      <c r="N300" s="149" t="s">
        <v>185</v>
      </c>
      <c r="O300" s="148">
        <v>42039</v>
      </c>
      <c r="P300" s="150">
        <f t="shared" si="660"/>
        <v>0</v>
      </c>
      <c r="Q300" s="149" t="s">
        <v>1259</v>
      </c>
      <c r="R300" s="149" t="s">
        <v>17</v>
      </c>
      <c r="S300" s="149" t="s">
        <v>1260</v>
      </c>
      <c r="T300" s="151" t="s">
        <v>1261</v>
      </c>
      <c r="U300" s="152">
        <v>42041</v>
      </c>
      <c r="V300" s="149" t="s">
        <v>186</v>
      </c>
      <c r="W300" s="153">
        <f t="shared" si="661"/>
        <v>0</v>
      </c>
      <c r="X300" s="153" t="str">
        <f t="shared" si="662"/>
        <v>Correcto</v>
      </c>
    </row>
    <row r="301" spans="1:24" ht="18" customHeight="1" x14ac:dyDescent="0.25">
      <c r="A301" s="172">
        <v>292</v>
      </c>
      <c r="B301" s="145" t="s">
        <v>1262</v>
      </c>
      <c r="C301" s="146">
        <v>42039</v>
      </c>
      <c r="D301" s="147">
        <v>2</v>
      </c>
      <c r="E301" s="147" t="s">
        <v>93</v>
      </c>
      <c r="F301" s="145" t="s">
        <v>827</v>
      </c>
      <c r="G301" s="147" t="s">
        <v>202</v>
      </c>
      <c r="H301" s="148">
        <v>42041</v>
      </c>
      <c r="I301" s="147" t="s">
        <v>187</v>
      </c>
      <c r="J301" s="147" t="s">
        <v>103</v>
      </c>
      <c r="K301" s="149" t="s">
        <v>1263</v>
      </c>
      <c r="L301" s="148">
        <v>42041</v>
      </c>
      <c r="M301" s="149" t="s">
        <v>950</v>
      </c>
      <c r="N301" s="149" t="s">
        <v>185</v>
      </c>
      <c r="O301" s="148">
        <v>42044</v>
      </c>
      <c r="P301" s="150">
        <f t="shared" si="660"/>
        <v>5</v>
      </c>
      <c r="Q301" s="149" t="s">
        <v>1264</v>
      </c>
      <c r="R301" s="149" t="s">
        <v>1027</v>
      </c>
      <c r="S301" s="149" t="s">
        <v>101</v>
      </c>
      <c r="T301" s="151" t="s">
        <v>1265</v>
      </c>
      <c r="U301" s="152">
        <v>42045</v>
      </c>
      <c r="V301" s="149" t="s">
        <v>186</v>
      </c>
      <c r="W301" s="153">
        <f t="shared" si="661"/>
        <v>0</v>
      </c>
      <c r="X301" s="153" t="str">
        <f t="shared" si="662"/>
        <v>Correcto</v>
      </c>
    </row>
    <row r="302" spans="1:24" ht="18" customHeight="1" x14ac:dyDescent="0.25">
      <c r="A302" s="172">
        <v>293</v>
      </c>
      <c r="B302" s="145" t="s">
        <v>1266</v>
      </c>
      <c r="C302" s="146">
        <v>42039</v>
      </c>
      <c r="D302" s="147">
        <v>2</v>
      </c>
      <c r="E302" s="147" t="s">
        <v>93</v>
      </c>
      <c r="F302" s="145" t="s">
        <v>827</v>
      </c>
      <c r="G302" s="147" t="s">
        <v>202</v>
      </c>
      <c r="H302" s="148">
        <v>42041</v>
      </c>
      <c r="I302" s="147" t="s">
        <v>187</v>
      </c>
      <c r="J302" s="147" t="s">
        <v>103</v>
      </c>
      <c r="K302" s="149" t="s">
        <v>1267</v>
      </c>
      <c r="L302" s="148">
        <v>42041</v>
      </c>
      <c r="M302" s="149" t="s">
        <v>950</v>
      </c>
      <c r="N302" s="149" t="s">
        <v>185</v>
      </c>
      <c r="O302" s="148">
        <v>42041</v>
      </c>
      <c r="P302" s="150">
        <f t="shared" si="660"/>
        <v>2</v>
      </c>
      <c r="Q302" s="149" t="s">
        <v>1268</v>
      </c>
      <c r="R302" s="149" t="s">
        <v>17</v>
      </c>
      <c r="S302" s="149" t="s">
        <v>1269</v>
      </c>
      <c r="T302" s="151" t="s">
        <v>1270</v>
      </c>
      <c r="U302" s="152">
        <v>42041</v>
      </c>
      <c r="V302" s="149" t="s">
        <v>186</v>
      </c>
      <c r="W302" s="153">
        <f t="shared" si="661"/>
        <v>0</v>
      </c>
      <c r="X302" s="153" t="str">
        <f t="shared" si="662"/>
        <v>Correcto</v>
      </c>
    </row>
    <row r="303" spans="1:24" ht="18" customHeight="1" x14ac:dyDescent="0.25">
      <c r="A303" s="172">
        <v>294</v>
      </c>
      <c r="B303" s="145" t="s">
        <v>1271</v>
      </c>
      <c r="C303" s="146">
        <v>42039</v>
      </c>
      <c r="D303" s="147">
        <v>2</v>
      </c>
      <c r="E303" s="147" t="s">
        <v>93</v>
      </c>
      <c r="F303" s="145" t="s">
        <v>827</v>
      </c>
      <c r="G303" s="147" t="s">
        <v>202</v>
      </c>
      <c r="H303" s="148">
        <v>42040</v>
      </c>
      <c r="I303" s="147" t="s">
        <v>187</v>
      </c>
      <c r="J303" s="147" t="s">
        <v>103</v>
      </c>
      <c r="K303" s="149" t="s">
        <v>1272</v>
      </c>
      <c r="L303" s="148">
        <v>42040</v>
      </c>
      <c r="M303" s="149" t="s">
        <v>950</v>
      </c>
      <c r="N303" s="149" t="s">
        <v>185</v>
      </c>
      <c r="O303" s="148">
        <v>42041</v>
      </c>
      <c r="P303" s="150">
        <f t="shared" si="660"/>
        <v>2</v>
      </c>
      <c r="Q303" s="149" t="s">
        <v>1273</v>
      </c>
      <c r="R303" s="149" t="s">
        <v>17</v>
      </c>
      <c r="S303" s="149" t="s">
        <v>1274</v>
      </c>
      <c r="T303" s="151" t="s">
        <v>1275</v>
      </c>
      <c r="U303" s="152">
        <v>42041</v>
      </c>
      <c r="V303" s="149" t="s">
        <v>186</v>
      </c>
      <c r="W303" s="153">
        <f t="shared" si="661"/>
        <v>0</v>
      </c>
      <c r="X303" s="153" t="str">
        <f t="shared" si="662"/>
        <v>Correcto</v>
      </c>
    </row>
    <row r="304" spans="1:24" ht="18" customHeight="1" x14ac:dyDescent="0.25">
      <c r="A304" s="172">
        <v>295</v>
      </c>
      <c r="B304" s="145" t="s">
        <v>1276</v>
      </c>
      <c r="C304" s="146">
        <v>42039</v>
      </c>
      <c r="D304" s="147">
        <v>2</v>
      </c>
      <c r="E304" s="147" t="s">
        <v>93</v>
      </c>
      <c r="F304" s="145" t="s">
        <v>827</v>
      </c>
      <c r="G304" s="147" t="s">
        <v>202</v>
      </c>
      <c r="H304" s="148">
        <v>42041</v>
      </c>
      <c r="I304" s="147" t="s">
        <v>187</v>
      </c>
      <c r="J304" s="147" t="s">
        <v>103</v>
      </c>
      <c r="K304" s="149" t="s">
        <v>1277</v>
      </c>
      <c r="L304" s="148">
        <v>42041</v>
      </c>
      <c r="M304" s="149" t="s">
        <v>950</v>
      </c>
      <c r="N304" s="149" t="s">
        <v>185</v>
      </c>
      <c r="O304" s="148">
        <v>42041</v>
      </c>
      <c r="P304" s="150">
        <f t="shared" si="660"/>
        <v>2</v>
      </c>
      <c r="Q304" s="149" t="s">
        <v>1278</v>
      </c>
      <c r="R304" s="149" t="s">
        <v>17</v>
      </c>
      <c r="S304" s="149" t="s">
        <v>1279</v>
      </c>
      <c r="T304" s="151" t="s">
        <v>1280</v>
      </c>
      <c r="U304" s="152">
        <v>42041</v>
      </c>
      <c r="V304" s="149" t="s">
        <v>186</v>
      </c>
      <c r="W304" s="153">
        <f t="shared" si="661"/>
        <v>0</v>
      </c>
      <c r="X304" s="153" t="str">
        <f t="shared" si="662"/>
        <v>Correcto</v>
      </c>
    </row>
    <row r="305" spans="1:24" ht="18" customHeight="1" x14ac:dyDescent="0.25">
      <c r="A305" s="172">
        <v>296</v>
      </c>
      <c r="B305" s="145" t="s">
        <v>1281</v>
      </c>
      <c r="C305" s="146">
        <v>42039</v>
      </c>
      <c r="D305" s="147">
        <v>2</v>
      </c>
      <c r="E305" s="147" t="s">
        <v>93</v>
      </c>
      <c r="F305" s="145" t="s">
        <v>827</v>
      </c>
      <c r="G305" s="147" t="s">
        <v>202</v>
      </c>
      <c r="H305" s="148">
        <v>42041</v>
      </c>
      <c r="I305" s="147" t="s">
        <v>187</v>
      </c>
      <c r="J305" s="147" t="s">
        <v>103</v>
      </c>
      <c r="K305" s="149" t="s">
        <v>1282</v>
      </c>
      <c r="L305" s="148">
        <v>42041</v>
      </c>
      <c r="M305" s="149" t="s">
        <v>950</v>
      </c>
      <c r="N305" s="149" t="s">
        <v>185</v>
      </c>
      <c r="O305" s="148">
        <v>42044</v>
      </c>
      <c r="P305" s="150">
        <f t="shared" si="660"/>
        <v>5</v>
      </c>
      <c r="Q305" s="149" t="s">
        <v>1264</v>
      </c>
      <c r="R305" s="149" t="s">
        <v>1027</v>
      </c>
      <c r="S305" s="149" t="s">
        <v>101</v>
      </c>
      <c r="T305" s="151" t="s">
        <v>1265</v>
      </c>
      <c r="U305" s="152">
        <v>42045</v>
      </c>
      <c r="V305" s="149" t="s">
        <v>186</v>
      </c>
      <c r="W305" s="153">
        <f t="shared" si="661"/>
        <v>0</v>
      </c>
      <c r="X305" s="153" t="str">
        <f t="shared" si="662"/>
        <v>Correcto</v>
      </c>
    </row>
    <row r="306" spans="1:24" ht="18" customHeight="1" x14ac:dyDescent="0.25">
      <c r="A306" s="172">
        <v>297</v>
      </c>
      <c r="B306" s="145" t="s">
        <v>1283</v>
      </c>
      <c r="C306" s="146">
        <v>42039</v>
      </c>
      <c r="D306" s="147">
        <v>8</v>
      </c>
      <c r="E306" s="147" t="s">
        <v>93</v>
      </c>
      <c r="F306" s="145" t="s">
        <v>827</v>
      </c>
      <c r="G306" s="147" t="s">
        <v>202</v>
      </c>
      <c r="H306" s="148">
        <v>42041</v>
      </c>
      <c r="I306" s="147" t="s">
        <v>187</v>
      </c>
      <c r="J306" s="147" t="s">
        <v>103</v>
      </c>
      <c r="K306" s="149" t="s">
        <v>1284</v>
      </c>
      <c r="L306" s="148">
        <v>42041</v>
      </c>
      <c r="M306" s="149" t="s">
        <v>950</v>
      </c>
      <c r="N306" s="149" t="s">
        <v>185</v>
      </c>
      <c r="O306" s="148">
        <v>42044</v>
      </c>
      <c r="P306" s="150">
        <f t="shared" si="660"/>
        <v>5</v>
      </c>
      <c r="Q306" s="149" t="s">
        <v>1285</v>
      </c>
      <c r="R306" s="149" t="s">
        <v>17</v>
      </c>
      <c r="S306" s="149" t="s">
        <v>101</v>
      </c>
      <c r="T306" s="149" t="s">
        <v>1286</v>
      </c>
      <c r="U306" s="152">
        <v>42046</v>
      </c>
      <c r="V306" s="149" t="s">
        <v>186</v>
      </c>
      <c r="W306" s="153">
        <f t="shared" si="661"/>
        <v>0</v>
      </c>
      <c r="X306" s="153" t="str">
        <f t="shared" si="662"/>
        <v>Correcto</v>
      </c>
    </row>
    <row r="307" spans="1:24" ht="18" customHeight="1" x14ac:dyDescent="0.25">
      <c r="A307" s="172">
        <v>298</v>
      </c>
      <c r="B307" s="145" t="s">
        <v>1287</v>
      </c>
      <c r="C307" s="146">
        <v>42039</v>
      </c>
      <c r="D307" s="147">
        <v>2</v>
      </c>
      <c r="E307" s="147" t="s">
        <v>93</v>
      </c>
      <c r="F307" s="145" t="s">
        <v>827</v>
      </c>
      <c r="G307" s="147" t="s">
        <v>202</v>
      </c>
      <c r="H307" s="148">
        <v>42041</v>
      </c>
      <c r="I307" s="147" t="s">
        <v>187</v>
      </c>
      <c r="J307" s="147" t="s">
        <v>103</v>
      </c>
      <c r="K307" s="149" t="s">
        <v>1288</v>
      </c>
      <c r="L307" s="148">
        <v>42041</v>
      </c>
      <c r="M307" s="149" t="s">
        <v>950</v>
      </c>
      <c r="N307" s="149" t="s">
        <v>185</v>
      </c>
      <c r="O307" s="148">
        <v>42044</v>
      </c>
      <c r="P307" s="150">
        <f t="shared" si="660"/>
        <v>5</v>
      </c>
      <c r="Q307" s="149" t="s">
        <v>1289</v>
      </c>
      <c r="R307" s="149" t="s">
        <v>605</v>
      </c>
      <c r="S307" s="149" t="s">
        <v>101</v>
      </c>
      <c r="T307" s="151" t="s">
        <v>1290</v>
      </c>
      <c r="U307" s="152">
        <v>42045</v>
      </c>
      <c r="V307" s="149" t="s">
        <v>186</v>
      </c>
      <c r="W307" s="153">
        <f t="shared" si="661"/>
        <v>0</v>
      </c>
      <c r="X307" s="153" t="str">
        <f t="shared" si="662"/>
        <v>Correcto</v>
      </c>
    </row>
    <row r="308" spans="1:24" ht="18" customHeight="1" x14ac:dyDescent="0.25">
      <c r="A308" s="172">
        <v>299</v>
      </c>
      <c r="B308" s="145" t="s">
        <v>1291</v>
      </c>
      <c r="C308" s="146">
        <v>42039</v>
      </c>
      <c r="D308" s="147">
        <v>2</v>
      </c>
      <c r="E308" s="147" t="s">
        <v>93</v>
      </c>
      <c r="F308" s="145" t="s">
        <v>1292</v>
      </c>
      <c r="G308" s="147" t="s">
        <v>202</v>
      </c>
      <c r="H308" s="148">
        <v>42055</v>
      </c>
      <c r="I308" s="147" t="s">
        <v>187</v>
      </c>
      <c r="J308" s="147" t="s">
        <v>103</v>
      </c>
      <c r="K308" s="149" t="s">
        <v>1293</v>
      </c>
      <c r="L308" s="148">
        <v>42055</v>
      </c>
      <c r="M308" s="149" t="s">
        <v>1294</v>
      </c>
      <c r="N308" s="149" t="s">
        <v>1295</v>
      </c>
      <c r="O308" s="148">
        <v>42063</v>
      </c>
      <c r="P308" s="150">
        <f t="shared" si="660"/>
        <v>24</v>
      </c>
      <c r="Q308" s="149" t="s">
        <v>1296</v>
      </c>
      <c r="R308" s="149" t="s">
        <v>17</v>
      </c>
      <c r="S308" s="149" t="s">
        <v>189</v>
      </c>
      <c r="T308" s="151" t="s">
        <v>101</v>
      </c>
      <c r="U308" s="152">
        <v>42060</v>
      </c>
      <c r="V308" s="149" t="s">
        <v>186</v>
      </c>
      <c r="W308" s="153">
        <f t="shared" si="661"/>
        <v>0</v>
      </c>
      <c r="X308" s="153" t="str">
        <f t="shared" si="662"/>
        <v>Correcto</v>
      </c>
    </row>
    <row r="309" spans="1:24" ht="18" customHeight="1" x14ac:dyDescent="0.25">
      <c r="A309" s="172">
        <v>300</v>
      </c>
      <c r="B309" s="145" t="s">
        <v>1297</v>
      </c>
      <c r="C309" s="146">
        <v>42039</v>
      </c>
      <c r="D309" s="147">
        <v>8</v>
      </c>
      <c r="E309" s="147" t="s">
        <v>93</v>
      </c>
      <c r="F309" s="145" t="s">
        <v>827</v>
      </c>
      <c r="G309" s="147" t="s">
        <v>202</v>
      </c>
      <c r="H309" s="148">
        <v>42041</v>
      </c>
      <c r="I309" s="147" t="s">
        <v>187</v>
      </c>
      <c r="J309" s="147" t="s">
        <v>103</v>
      </c>
      <c r="K309" s="149" t="s">
        <v>1298</v>
      </c>
      <c r="L309" s="148">
        <v>42041</v>
      </c>
      <c r="M309" s="149" t="s">
        <v>950</v>
      </c>
      <c r="N309" s="149" t="s">
        <v>185</v>
      </c>
      <c r="O309" s="148">
        <v>42044</v>
      </c>
      <c r="P309" s="150">
        <f t="shared" si="660"/>
        <v>5</v>
      </c>
      <c r="Q309" s="149" t="s">
        <v>1299</v>
      </c>
      <c r="R309" s="149" t="s">
        <v>17</v>
      </c>
      <c r="S309" s="149" t="s">
        <v>101</v>
      </c>
      <c r="T309" s="149" t="s">
        <v>1024</v>
      </c>
      <c r="U309" s="152">
        <v>42046</v>
      </c>
      <c r="V309" s="149" t="s">
        <v>186</v>
      </c>
      <c r="W309" s="153">
        <f t="shared" si="661"/>
        <v>0</v>
      </c>
      <c r="X309" s="153" t="str">
        <f t="shared" si="662"/>
        <v>Correcto</v>
      </c>
    </row>
    <row r="310" spans="1:24" ht="18" customHeight="1" x14ac:dyDescent="0.25">
      <c r="A310" s="172">
        <v>301</v>
      </c>
      <c r="B310" s="145" t="s">
        <v>1300</v>
      </c>
      <c r="C310" s="146">
        <v>42039</v>
      </c>
      <c r="D310" s="147">
        <v>2</v>
      </c>
      <c r="E310" s="147" t="s">
        <v>93</v>
      </c>
      <c r="F310" s="145" t="s">
        <v>827</v>
      </c>
      <c r="G310" s="147" t="s">
        <v>202</v>
      </c>
      <c r="H310" s="148">
        <v>42041</v>
      </c>
      <c r="I310" s="147" t="s">
        <v>187</v>
      </c>
      <c r="J310" s="147" t="s">
        <v>103</v>
      </c>
      <c r="K310" s="149" t="s">
        <v>1301</v>
      </c>
      <c r="L310" s="148">
        <v>42041</v>
      </c>
      <c r="M310" s="149" t="s">
        <v>950</v>
      </c>
      <c r="N310" s="149" t="s">
        <v>185</v>
      </c>
      <c r="O310" s="148">
        <v>42041</v>
      </c>
      <c r="P310" s="150">
        <f t="shared" si="660"/>
        <v>2</v>
      </c>
      <c r="Q310" s="149" t="s">
        <v>1302</v>
      </c>
      <c r="R310" s="149" t="s">
        <v>17</v>
      </c>
      <c r="S310" s="149" t="s">
        <v>1303</v>
      </c>
      <c r="T310" s="151" t="s">
        <v>1304</v>
      </c>
      <c r="U310" s="152">
        <v>42041</v>
      </c>
      <c r="V310" s="149" t="s">
        <v>186</v>
      </c>
      <c r="W310" s="153">
        <f t="shared" si="661"/>
        <v>0</v>
      </c>
      <c r="X310" s="153" t="str">
        <f t="shared" si="662"/>
        <v>Correcto</v>
      </c>
    </row>
    <row r="311" spans="1:24" ht="18" customHeight="1" x14ac:dyDescent="0.25">
      <c r="A311" s="172">
        <v>302</v>
      </c>
      <c r="B311" s="145" t="s">
        <v>1305</v>
      </c>
      <c r="C311" s="146">
        <v>42039</v>
      </c>
      <c r="D311" s="147">
        <v>2</v>
      </c>
      <c r="E311" s="147" t="s">
        <v>93</v>
      </c>
      <c r="F311" s="145" t="s">
        <v>827</v>
      </c>
      <c r="G311" s="147" t="s">
        <v>202</v>
      </c>
      <c r="H311" s="148">
        <v>42040</v>
      </c>
      <c r="I311" s="147" t="s">
        <v>187</v>
      </c>
      <c r="J311" s="147" t="s">
        <v>103</v>
      </c>
      <c r="K311" s="149" t="s">
        <v>1306</v>
      </c>
      <c r="L311" s="148">
        <v>42040</v>
      </c>
      <c r="M311" s="149" t="s">
        <v>950</v>
      </c>
      <c r="N311" s="149" t="s">
        <v>185</v>
      </c>
      <c r="O311" s="148">
        <v>42045</v>
      </c>
      <c r="P311" s="150">
        <f t="shared" si="660"/>
        <v>6</v>
      </c>
      <c r="Q311" s="149" t="s">
        <v>1307</v>
      </c>
      <c r="R311" s="149" t="s">
        <v>17</v>
      </c>
      <c r="S311" s="149" t="s">
        <v>104</v>
      </c>
      <c r="T311" s="151" t="s">
        <v>1308</v>
      </c>
      <c r="U311" s="152">
        <v>42045</v>
      </c>
      <c r="V311" s="149" t="s">
        <v>186</v>
      </c>
      <c r="W311" s="153">
        <f t="shared" si="661"/>
        <v>0</v>
      </c>
      <c r="X311" s="153" t="str">
        <f t="shared" si="662"/>
        <v>Correcto</v>
      </c>
    </row>
    <row r="312" spans="1:24" ht="18" customHeight="1" x14ac:dyDescent="0.25">
      <c r="A312" s="172">
        <v>303</v>
      </c>
      <c r="B312" s="145" t="s">
        <v>1309</v>
      </c>
      <c r="C312" s="146">
        <v>42039</v>
      </c>
      <c r="D312" s="147">
        <v>2</v>
      </c>
      <c r="E312" s="147" t="s">
        <v>93</v>
      </c>
      <c r="F312" s="145" t="s">
        <v>827</v>
      </c>
      <c r="G312" s="147" t="s">
        <v>202</v>
      </c>
      <c r="H312" s="148">
        <v>42041</v>
      </c>
      <c r="I312" s="147" t="s">
        <v>187</v>
      </c>
      <c r="J312" s="147" t="s">
        <v>103</v>
      </c>
      <c r="K312" s="149" t="s">
        <v>1310</v>
      </c>
      <c r="L312" s="148">
        <v>42041</v>
      </c>
      <c r="M312" s="149" t="s">
        <v>950</v>
      </c>
      <c r="N312" s="149" t="s">
        <v>185</v>
      </c>
      <c r="O312" s="148">
        <v>42041</v>
      </c>
      <c r="P312" s="150">
        <f t="shared" si="660"/>
        <v>2</v>
      </c>
      <c r="Q312" s="149" t="s">
        <v>1311</v>
      </c>
      <c r="R312" s="149" t="s">
        <v>17</v>
      </c>
      <c r="S312" s="149" t="s">
        <v>1312</v>
      </c>
      <c r="T312" s="151" t="s">
        <v>1313</v>
      </c>
      <c r="U312" s="152">
        <v>42041</v>
      </c>
      <c r="V312" s="149" t="s">
        <v>186</v>
      </c>
      <c r="W312" s="153">
        <f t="shared" si="661"/>
        <v>0</v>
      </c>
      <c r="X312" s="153" t="str">
        <f t="shared" si="662"/>
        <v>Correcto</v>
      </c>
    </row>
    <row r="313" spans="1:24" ht="18" customHeight="1" x14ac:dyDescent="0.25">
      <c r="A313" s="172">
        <v>304</v>
      </c>
      <c r="B313" s="145" t="s">
        <v>1314</v>
      </c>
      <c r="C313" s="146">
        <v>42039</v>
      </c>
      <c r="D313" s="147">
        <v>2</v>
      </c>
      <c r="E313" s="147" t="s">
        <v>93</v>
      </c>
      <c r="F313" s="145" t="s">
        <v>827</v>
      </c>
      <c r="G313" s="147" t="s">
        <v>202</v>
      </c>
      <c r="H313" s="148">
        <v>42040</v>
      </c>
      <c r="I313" s="147" t="s">
        <v>187</v>
      </c>
      <c r="J313" s="147" t="s">
        <v>103</v>
      </c>
      <c r="K313" s="149" t="s">
        <v>1315</v>
      </c>
      <c r="L313" s="148">
        <v>42040</v>
      </c>
      <c r="M313" s="149" t="s">
        <v>950</v>
      </c>
      <c r="N313" s="149" t="s">
        <v>185</v>
      </c>
      <c r="O313" s="148">
        <v>42041</v>
      </c>
      <c r="P313" s="150">
        <f t="shared" si="660"/>
        <v>2</v>
      </c>
      <c r="Q313" s="149" t="s">
        <v>1316</v>
      </c>
      <c r="R313" s="149" t="s">
        <v>17</v>
      </c>
      <c r="S313" s="149" t="s">
        <v>1317</v>
      </c>
      <c r="T313" s="151" t="s">
        <v>1318</v>
      </c>
      <c r="U313" s="152">
        <v>42041</v>
      </c>
      <c r="V313" s="149" t="s">
        <v>186</v>
      </c>
      <c r="W313" s="153">
        <f t="shared" si="661"/>
        <v>0</v>
      </c>
      <c r="X313" s="153" t="str">
        <f t="shared" si="662"/>
        <v>Correcto</v>
      </c>
    </row>
    <row r="314" spans="1:24" ht="18" customHeight="1" x14ac:dyDescent="0.25">
      <c r="A314" s="172">
        <v>305</v>
      </c>
      <c r="B314" s="145" t="s">
        <v>1319</v>
      </c>
      <c r="C314" s="146">
        <v>42039</v>
      </c>
      <c r="D314" s="147">
        <v>2</v>
      </c>
      <c r="E314" s="147" t="s">
        <v>93</v>
      </c>
      <c r="F314" s="145" t="s">
        <v>827</v>
      </c>
      <c r="G314" s="147" t="s">
        <v>202</v>
      </c>
      <c r="H314" s="148">
        <v>42041</v>
      </c>
      <c r="I314" s="147" t="s">
        <v>187</v>
      </c>
      <c r="J314" s="147" t="s">
        <v>103</v>
      </c>
      <c r="K314" s="149" t="s">
        <v>1320</v>
      </c>
      <c r="L314" s="148">
        <v>42041</v>
      </c>
      <c r="M314" s="149" t="s">
        <v>950</v>
      </c>
      <c r="N314" s="149" t="s">
        <v>185</v>
      </c>
      <c r="O314" s="148">
        <v>42044</v>
      </c>
      <c r="P314" s="150">
        <f t="shared" si="660"/>
        <v>5</v>
      </c>
      <c r="Q314" s="149" t="s">
        <v>1321</v>
      </c>
      <c r="R314" s="149" t="s">
        <v>17</v>
      </c>
      <c r="S314" s="149" t="s">
        <v>101</v>
      </c>
      <c r="T314" s="149" t="s">
        <v>1019</v>
      </c>
      <c r="U314" s="152">
        <v>42046</v>
      </c>
      <c r="V314" s="149" t="s">
        <v>186</v>
      </c>
      <c r="W314" s="153">
        <f t="shared" si="661"/>
        <v>0</v>
      </c>
      <c r="X314" s="153" t="str">
        <f t="shared" si="662"/>
        <v>Correcto</v>
      </c>
    </row>
    <row r="315" spans="1:24" ht="18" customHeight="1" x14ac:dyDescent="0.25">
      <c r="A315" s="172">
        <v>306</v>
      </c>
      <c r="B315" s="145" t="s">
        <v>1322</v>
      </c>
      <c r="C315" s="146">
        <v>42039</v>
      </c>
      <c r="D315" s="147">
        <v>2</v>
      </c>
      <c r="E315" s="147" t="s">
        <v>93</v>
      </c>
      <c r="F315" s="145" t="s">
        <v>827</v>
      </c>
      <c r="G315" s="147" t="s">
        <v>202</v>
      </c>
      <c r="H315" s="148">
        <v>42041</v>
      </c>
      <c r="I315" s="147" t="s">
        <v>187</v>
      </c>
      <c r="J315" s="147" t="s">
        <v>103</v>
      </c>
      <c r="K315" s="149" t="s">
        <v>1323</v>
      </c>
      <c r="L315" s="148">
        <v>42041</v>
      </c>
      <c r="M315" s="149" t="s">
        <v>950</v>
      </c>
      <c r="N315" s="149" t="s">
        <v>185</v>
      </c>
      <c r="O315" s="148">
        <v>42044</v>
      </c>
      <c r="P315" s="150">
        <f t="shared" si="660"/>
        <v>5</v>
      </c>
      <c r="Q315" s="149" t="s">
        <v>1324</v>
      </c>
      <c r="R315" s="149" t="s">
        <v>501</v>
      </c>
      <c r="S315" s="149" t="s">
        <v>101</v>
      </c>
      <c r="T315" s="151" t="s">
        <v>1325</v>
      </c>
      <c r="U315" s="152">
        <v>42045</v>
      </c>
      <c r="V315" s="149" t="s">
        <v>186</v>
      </c>
      <c r="W315" s="153">
        <f t="shared" si="661"/>
        <v>0</v>
      </c>
      <c r="X315" s="153" t="str">
        <f t="shared" si="662"/>
        <v>Correcto</v>
      </c>
    </row>
    <row r="316" spans="1:24" ht="18" customHeight="1" x14ac:dyDescent="0.25">
      <c r="A316" s="172">
        <v>307</v>
      </c>
      <c r="B316" s="145" t="s">
        <v>1326</v>
      </c>
      <c r="C316" s="146">
        <v>42039</v>
      </c>
      <c r="D316" s="147">
        <v>2</v>
      </c>
      <c r="E316" s="147" t="s">
        <v>93</v>
      </c>
      <c r="F316" s="145" t="s">
        <v>827</v>
      </c>
      <c r="G316" s="147" t="s">
        <v>202</v>
      </c>
      <c r="H316" s="148">
        <v>42041</v>
      </c>
      <c r="I316" s="147" t="s">
        <v>187</v>
      </c>
      <c r="J316" s="147" t="s">
        <v>103</v>
      </c>
      <c r="K316" s="149" t="s">
        <v>1327</v>
      </c>
      <c r="L316" s="148">
        <v>42041</v>
      </c>
      <c r="M316" s="149" t="s">
        <v>950</v>
      </c>
      <c r="N316" s="149" t="s">
        <v>185</v>
      </c>
      <c r="O316" s="148">
        <v>42044</v>
      </c>
      <c r="P316" s="150">
        <f t="shared" si="660"/>
        <v>5</v>
      </c>
      <c r="Q316" s="149" t="s">
        <v>1328</v>
      </c>
      <c r="R316" s="149" t="s">
        <v>605</v>
      </c>
      <c r="S316" s="149" t="s">
        <v>101</v>
      </c>
      <c r="T316" s="149" t="s">
        <v>1329</v>
      </c>
      <c r="U316" s="152">
        <v>42045</v>
      </c>
      <c r="V316" s="149" t="s">
        <v>186</v>
      </c>
      <c r="W316" s="153">
        <f t="shared" si="661"/>
        <v>0</v>
      </c>
      <c r="X316" s="153" t="str">
        <f t="shared" si="662"/>
        <v>Correcto</v>
      </c>
    </row>
    <row r="317" spans="1:24" ht="18" customHeight="1" x14ac:dyDescent="0.25">
      <c r="A317" s="172">
        <v>308</v>
      </c>
      <c r="B317" s="145" t="s">
        <v>1330</v>
      </c>
      <c r="C317" s="146">
        <v>42039</v>
      </c>
      <c r="D317" s="147">
        <v>4</v>
      </c>
      <c r="E317" s="147" t="s">
        <v>93</v>
      </c>
      <c r="F317" s="145" t="s">
        <v>827</v>
      </c>
      <c r="G317" s="147" t="s">
        <v>202</v>
      </c>
      <c r="H317" s="148">
        <v>42041</v>
      </c>
      <c r="I317" s="147" t="s">
        <v>187</v>
      </c>
      <c r="J317" s="147" t="s">
        <v>103</v>
      </c>
      <c r="K317" s="149" t="s">
        <v>1331</v>
      </c>
      <c r="L317" s="148">
        <v>42041</v>
      </c>
      <c r="M317" s="149" t="s">
        <v>950</v>
      </c>
      <c r="N317" s="149" t="s">
        <v>185</v>
      </c>
      <c r="O317" s="148">
        <v>42044</v>
      </c>
      <c r="P317" s="150">
        <f t="shared" si="660"/>
        <v>5</v>
      </c>
      <c r="Q317" s="149" t="s">
        <v>1332</v>
      </c>
      <c r="R317" s="149" t="s">
        <v>501</v>
      </c>
      <c r="S317" s="149" t="s">
        <v>101</v>
      </c>
      <c r="T317" s="151" t="s">
        <v>1325</v>
      </c>
      <c r="U317" s="152">
        <v>42045</v>
      </c>
      <c r="V317" s="149" t="s">
        <v>186</v>
      </c>
      <c r="W317" s="153">
        <f t="shared" si="661"/>
        <v>0</v>
      </c>
      <c r="X317" s="153" t="str">
        <f t="shared" si="662"/>
        <v>Correcto</v>
      </c>
    </row>
    <row r="318" spans="1:24" ht="18" customHeight="1" x14ac:dyDescent="0.25">
      <c r="A318" s="172">
        <v>309</v>
      </c>
      <c r="B318" s="145" t="s">
        <v>1333</v>
      </c>
      <c r="C318" s="146">
        <v>42039</v>
      </c>
      <c r="D318" s="147">
        <v>2</v>
      </c>
      <c r="E318" s="147" t="s">
        <v>93</v>
      </c>
      <c r="F318" s="145" t="s">
        <v>827</v>
      </c>
      <c r="G318" s="147" t="s">
        <v>202</v>
      </c>
      <c r="H318" s="148">
        <v>42041</v>
      </c>
      <c r="I318" s="147" t="s">
        <v>187</v>
      </c>
      <c r="J318" s="147" t="s">
        <v>103</v>
      </c>
      <c r="K318" s="149" t="s">
        <v>1334</v>
      </c>
      <c r="L318" s="148">
        <v>42041</v>
      </c>
      <c r="M318" s="149" t="s">
        <v>950</v>
      </c>
      <c r="N318" s="149" t="s">
        <v>185</v>
      </c>
      <c r="O318" s="148">
        <v>42044</v>
      </c>
      <c r="P318" s="150">
        <f t="shared" si="660"/>
        <v>5</v>
      </c>
      <c r="Q318" s="149" t="s">
        <v>1335</v>
      </c>
      <c r="R318" s="149" t="s">
        <v>501</v>
      </c>
      <c r="S318" s="149" t="s">
        <v>101</v>
      </c>
      <c r="T318" s="151" t="s">
        <v>1325</v>
      </c>
      <c r="U318" s="152">
        <v>42045</v>
      </c>
      <c r="V318" s="149" t="s">
        <v>186</v>
      </c>
      <c r="W318" s="153">
        <f t="shared" si="661"/>
        <v>0</v>
      </c>
      <c r="X318" s="153" t="str">
        <f t="shared" si="662"/>
        <v>Correcto</v>
      </c>
    </row>
    <row r="319" spans="1:24" ht="18" customHeight="1" x14ac:dyDescent="0.25">
      <c r="A319" s="172">
        <v>310</v>
      </c>
      <c r="B319" s="145" t="s">
        <v>1336</v>
      </c>
      <c r="C319" s="146">
        <v>42039</v>
      </c>
      <c r="D319" s="147">
        <v>2</v>
      </c>
      <c r="E319" s="147" t="s">
        <v>93</v>
      </c>
      <c r="F319" s="145" t="s">
        <v>827</v>
      </c>
      <c r="G319" s="147" t="s">
        <v>202</v>
      </c>
      <c r="H319" s="148">
        <v>42041</v>
      </c>
      <c r="I319" s="147" t="s">
        <v>187</v>
      </c>
      <c r="J319" s="147" t="s">
        <v>103</v>
      </c>
      <c r="K319" s="149" t="s">
        <v>1337</v>
      </c>
      <c r="L319" s="148">
        <v>42041</v>
      </c>
      <c r="M319" s="149" t="s">
        <v>950</v>
      </c>
      <c r="N319" s="149" t="s">
        <v>185</v>
      </c>
      <c r="O319" s="148">
        <v>42044</v>
      </c>
      <c r="P319" s="150">
        <f t="shared" si="660"/>
        <v>5</v>
      </c>
      <c r="Q319" s="149" t="s">
        <v>1338</v>
      </c>
      <c r="R319" s="149" t="s">
        <v>17</v>
      </c>
      <c r="S319" s="149" t="s">
        <v>101</v>
      </c>
      <c r="T319" s="149" t="s">
        <v>1339</v>
      </c>
      <c r="U319" s="152">
        <v>42046</v>
      </c>
      <c r="V319" s="149" t="s">
        <v>186</v>
      </c>
      <c r="W319" s="153">
        <f t="shared" si="661"/>
        <v>0</v>
      </c>
      <c r="X319" s="153" t="str">
        <f t="shared" si="662"/>
        <v>Correcto</v>
      </c>
    </row>
    <row r="320" spans="1:24" ht="18" customHeight="1" x14ac:dyDescent="0.25">
      <c r="A320" s="172">
        <v>311</v>
      </c>
      <c r="B320" s="145" t="s">
        <v>1340</v>
      </c>
      <c r="C320" s="146">
        <v>42039</v>
      </c>
      <c r="D320" s="147">
        <v>2</v>
      </c>
      <c r="E320" s="147" t="s">
        <v>93</v>
      </c>
      <c r="F320" s="145" t="s">
        <v>827</v>
      </c>
      <c r="G320" s="147" t="s">
        <v>202</v>
      </c>
      <c r="H320" s="148">
        <v>42041</v>
      </c>
      <c r="I320" s="147" t="s">
        <v>187</v>
      </c>
      <c r="J320" s="147" t="s">
        <v>103</v>
      </c>
      <c r="K320" s="149" t="s">
        <v>1341</v>
      </c>
      <c r="L320" s="148">
        <v>42041</v>
      </c>
      <c r="M320" s="149" t="s">
        <v>950</v>
      </c>
      <c r="N320" s="149" t="s">
        <v>185</v>
      </c>
      <c r="O320" s="148">
        <v>42045</v>
      </c>
      <c r="P320" s="150">
        <f t="shared" si="660"/>
        <v>6</v>
      </c>
      <c r="Q320" s="149" t="s">
        <v>1342</v>
      </c>
      <c r="R320" s="149" t="s">
        <v>1027</v>
      </c>
      <c r="S320" s="149" t="s">
        <v>101</v>
      </c>
      <c r="T320" s="151" t="s">
        <v>1265</v>
      </c>
      <c r="U320" s="152">
        <v>42045</v>
      </c>
      <c r="V320" s="149" t="s">
        <v>186</v>
      </c>
      <c r="W320" s="153">
        <f t="shared" si="661"/>
        <v>0</v>
      </c>
      <c r="X320" s="153" t="str">
        <f t="shared" si="662"/>
        <v>Correcto</v>
      </c>
    </row>
    <row r="321" spans="1:24" ht="18" customHeight="1" x14ac:dyDescent="0.25">
      <c r="A321" s="172">
        <v>312</v>
      </c>
      <c r="B321" s="145" t="s">
        <v>1343</v>
      </c>
      <c r="C321" s="146">
        <v>42039</v>
      </c>
      <c r="D321" s="147">
        <v>2</v>
      </c>
      <c r="E321" s="147" t="s">
        <v>93</v>
      </c>
      <c r="F321" s="145" t="s">
        <v>827</v>
      </c>
      <c r="G321" s="147" t="s">
        <v>202</v>
      </c>
      <c r="H321" s="148">
        <v>42041</v>
      </c>
      <c r="I321" s="147" t="s">
        <v>187</v>
      </c>
      <c r="J321" s="147" t="s">
        <v>103</v>
      </c>
      <c r="K321" s="149" t="s">
        <v>1344</v>
      </c>
      <c r="L321" s="148">
        <v>42041</v>
      </c>
      <c r="M321" s="149" t="s">
        <v>950</v>
      </c>
      <c r="N321" s="149" t="s">
        <v>185</v>
      </c>
      <c r="O321" s="148">
        <v>42044</v>
      </c>
      <c r="P321" s="150">
        <f t="shared" si="660"/>
        <v>5</v>
      </c>
      <c r="Q321" s="149" t="s">
        <v>1345</v>
      </c>
      <c r="R321" s="149" t="s">
        <v>1027</v>
      </c>
      <c r="S321" s="149" t="s">
        <v>101</v>
      </c>
      <c r="T321" s="151" t="s">
        <v>1265</v>
      </c>
      <c r="U321" s="152">
        <v>42045</v>
      </c>
      <c r="V321" s="149" t="s">
        <v>186</v>
      </c>
      <c r="W321" s="153">
        <f t="shared" si="661"/>
        <v>0</v>
      </c>
      <c r="X321" s="153" t="str">
        <f t="shared" si="662"/>
        <v>Correcto</v>
      </c>
    </row>
    <row r="322" spans="1:24" ht="18" customHeight="1" x14ac:dyDescent="0.25">
      <c r="A322" s="172">
        <v>313</v>
      </c>
      <c r="B322" s="145" t="s">
        <v>1346</v>
      </c>
      <c r="C322" s="146">
        <v>42039</v>
      </c>
      <c r="D322" s="147">
        <v>2</v>
      </c>
      <c r="E322" s="147" t="s">
        <v>93</v>
      </c>
      <c r="F322" s="145" t="s">
        <v>827</v>
      </c>
      <c r="G322" s="147" t="s">
        <v>202</v>
      </c>
      <c r="H322" s="148">
        <v>42040</v>
      </c>
      <c r="I322" s="147" t="s">
        <v>187</v>
      </c>
      <c r="J322" s="147" t="s">
        <v>103</v>
      </c>
      <c r="K322" s="149" t="s">
        <v>1347</v>
      </c>
      <c r="L322" s="148">
        <v>42040</v>
      </c>
      <c r="M322" s="149" t="s">
        <v>950</v>
      </c>
      <c r="N322" s="149" t="s">
        <v>185</v>
      </c>
      <c r="O322" s="148">
        <v>42045</v>
      </c>
      <c r="P322" s="150">
        <f t="shared" si="660"/>
        <v>6</v>
      </c>
      <c r="Q322" s="149" t="s">
        <v>1348</v>
      </c>
      <c r="R322" s="149" t="s">
        <v>17</v>
      </c>
      <c r="S322" s="149" t="s">
        <v>104</v>
      </c>
      <c r="T322" s="151" t="s">
        <v>1349</v>
      </c>
      <c r="U322" s="152">
        <v>42045</v>
      </c>
      <c r="V322" s="149" t="s">
        <v>186</v>
      </c>
      <c r="W322" s="153">
        <f t="shared" si="661"/>
        <v>0</v>
      </c>
      <c r="X322" s="153" t="str">
        <f t="shared" si="662"/>
        <v>Correcto</v>
      </c>
    </row>
    <row r="323" spans="1:24" ht="18" customHeight="1" x14ac:dyDescent="0.25">
      <c r="A323" s="172">
        <v>314</v>
      </c>
      <c r="B323" s="145" t="s">
        <v>1350</v>
      </c>
      <c r="C323" s="146">
        <v>42039</v>
      </c>
      <c r="D323" s="147">
        <v>4</v>
      </c>
      <c r="E323" s="147" t="s">
        <v>93</v>
      </c>
      <c r="F323" s="145" t="s">
        <v>827</v>
      </c>
      <c r="G323" s="147" t="s">
        <v>202</v>
      </c>
      <c r="H323" s="148">
        <v>42044</v>
      </c>
      <c r="I323" s="147" t="s">
        <v>187</v>
      </c>
      <c r="J323" s="147" t="s">
        <v>103</v>
      </c>
      <c r="K323" s="149" t="s">
        <v>1351</v>
      </c>
      <c r="L323" s="148">
        <v>42044</v>
      </c>
      <c r="M323" s="149" t="s">
        <v>1201</v>
      </c>
      <c r="N323" s="149" t="s">
        <v>185</v>
      </c>
      <c r="O323" s="148">
        <v>42044</v>
      </c>
      <c r="P323" s="150">
        <f t="shared" si="660"/>
        <v>5</v>
      </c>
      <c r="Q323" s="149" t="s">
        <v>1351</v>
      </c>
      <c r="R323" s="149" t="s">
        <v>501</v>
      </c>
      <c r="S323" s="149" t="s">
        <v>710</v>
      </c>
      <c r="T323" s="151" t="s">
        <v>1325</v>
      </c>
      <c r="U323" s="152">
        <v>42045</v>
      </c>
      <c r="V323" s="149" t="s">
        <v>186</v>
      </c>
      <c r="W323" s="153">
        <f t="shared" si="661"/>
        <v>0</v>
      </c>
      <c r="X323" s="153" t="str">
        <f t="shared" si="662"/>
        <v>Correcto</v>
      </c>
    </row>
    <row r="324" spans="1:24" ht="18" customHeight="1" x14ac:dyDescent="0.25">
      <c r="A324" s="172">
        <v>315</v>
      </c>
      <c r="B324" s="145" t="s">
        <v>1352</v>
      </c>
      <c r="C324" s="146">
        <v>42040</v>
      </c>
      <c r="D324" s="147">
        <v>3</v>
      </c>
      <c r="E324" s="147" t="s">
        <v>93</v>
      </c>
      <c r="F324" s="145" t="s">
        <v>827</v>
      </c>
      <c r="G324" s="147" t="s">
        <v>202</v>
      </c>
      <c r="H324" s="148">
        <v>42040</v>
      </c>
      <c r="I324" s="147" t="s">
        <v>187</v>
      </c>
      <c r="J324" s="147" t="s">
        <v>103</v>
      </c>
      <c r="K324" s="149" t="s">
        <v>1353</v>
      </c>
      <c r="L324" s="148">
        <v>42040</v>
      </c>
      <c r="M324" s="149" t="s">
        <v>950</v>
      </c>
      <c r="N324" s="149" t="s">
        <v>185</v>
      </c>
      <c r="O324" s="148">
        <v>42041</v>
      </c>
      <c r="P324" s="150">
        <f t="shared" si="660"/>
        <v>1</v>
      </c>
      <c r="Q324" s="149" t="s">
        <v>1354</v>
      </c>
      <c r="R324" s="149" t="s">
        <v>17</v>
      </c>
      <c r="S324" s="149" t="s">
        <v>1355</v>
      </c>
      <c r="T324" s="151" t="s">
        <v>1356</v>
      </c>
      <c r="U324" s="152">
        <v>42041</v>
      </c>
      <c r="V324" s="149" t="s">
        <v>186</v>
      </c>
      <c r="W324" s="153">
        <f t="shared" si="661"/>
        <v>0</v>
      </c>
      <c r="X324" s="153" t="str">
        <f t="shared" si="662"/>
        <v>Correcto</v>
      </c>
    </row>
    <row r="325" spans="1:24" ht="18" customHeight="1" x14ac:dyDescent="0.25">
      <c r="A325" s="172">
        <v>316</v>
      </c>
      <c r="B325" s="145" t="s">
        <v>1357</v>
      </c>
      <c r="C325" s="146">
        <v>42040</v>
      </c>
      <c r="D325" s="147">
        <v>2</v>
      </c>
      <c r="E325" s="147" t="s">
        <v>93</v>
      </c>
      <c r="F325" s="145" t="s">
        <v>827</v>
      </c>
      <c r="G325" s="147" t="s">
        <v>202</v>
      </c>
      <c r="H325" s="148">
        <v>42040</v>
      </c>
      <c r="I325" s="147" t="s">
        <v>187</v>
      </c>
      <c r="J325" s="147" t="s">
        <v>103</v>
      </c>
      <c r="K325" s="149" t="s">
        <v>1358</v>
      </c>
      <c r="L325" s="148">
        <v>42040</v>
      </c>
      <c r="M325" s="149" t="s">
        <v>950</v>
      </c>
      <c r="N325" s="149" t="s">
        <v>185</v>
      </c>
      <c r="O325" s="148">
        <v>42041</v>
      </c>
      <c r="P325" s="150">
        <f t="shared" si="660"/>
        <v>1</v>
      </c>
      <c r="Q325" s="149" t="s">
        <v>1359</v>
      </c>
      <c r="R325" s="149" t="s">
        <v>17</v>
      </c>
      <c r="S325" s="149" t="s">
        <v>1360</v>
      </c>
      <c r="T325" s="151" t="s">
        <v>1361</v>
      </c>
      <c r="U325" s="152">
        <v>42041</v>
      </c>
      <c r="V325" s="149" t="s">
        <v>186</v>
      </c>
      <c r="W325" s="153">
        <f t="shared" si="661"/>
        <v>0</v>
      </c>
      <c r="X325" s="153" t="str">
        <f t="shared" si="662"/>
        <v>Correcto</v>
      </c>
    </row>
    <row r="326" spans="1:24" ht="18" customHeight="1" x14ac:dyDescent="0.25">
      <c r="A326" s="172">
        <v>317</v>
      </c>
      <c r="B326" s="145" t="s">
        <v>1362</v>
      </c>
      <c r="C326" s="146">
        <v>42040</v>
      </c>
      <c r="D326" s="147">
        <v>5</v>
      </c>
      <c r="E326" s="147" t="s">
        <v>93</v>
      </c>
      <c r="F326" s="145" t="s">
        <v>827</v>
      </c>
      <c r="G326" s="147" t="s">
        <v>202</v>
      </c>
      <c r="H326" s="148">
        <v>42045</v>
      </c>
      <c r="I326" s="147" t="s">
        <v>187</v>
      </c>
      <c r="J326" s="147" t="s">
        <v>103</v>
      </c>
      <c r="K326" s="149" t="s">
        <v>1363</v>
      </c>
      <c r="L326" s="148">
        <v>42045</v>
      </c>
      <c r="M326" s="149" t="s">
        <v>950</v>
      </c>
      <c r="N326" s="149" t="s">
        <v>185</v>
      </c>
      <c r="O326" s="148">
        <v>42046</v>
      </c>
      <c r="P326" s="150">
        <f t="shared" si="660"/>
        <v>6</v>
      </c>
      <c r="Q326" s="149" t="s">
        <v>1364</v>
      </c>
      <c r="R326" s="149" t="s">
        <v>17</v>
      </c>
      <c r="S326" s="149" t="s">
        <v>1365</v>
      </c>
      <c r="T326" s="151" t="s">
        <v>1366</v>
      </c>
      <c r="U326" s="152">
        <v>42046</v>
      </c>
      <c r="V326" s="149" t="s">
        <v>186</v>
      </c>
      <c r="W326" s="153">
        <f t="shared" si="661"/>
        <v>0</v>
      </c>
      <c r="X326" s="153" t="str">
        <f t="shared" si="662"/>
        <v>Correcto</v>
      </c>
    </row>
    <row r="327" spans="1:24" ht="18" customHeight="1" x14ac:dyDescent="0.25">
      <c r="A327" s="172">
        <v>318</v>
      </c>
      <c r="B327" s="145" t="s">
        <v>1367</v>
      </c>
      <c r="C327" s="146">
        <v>42041</v>
      </c>
      <c r="D327" s="147">
        <v>2</v>
      </c>
      <c r="E327" s="147" t="s">
        <v>93</v>
      </c>
      <c r="F327" s="145" t="s">
        <v>827</v>
      </c>
      <c r="G327" s="147" t="s">
        <v>202</v>
      </c>
      <c r="H327" s="148">
        <v>42046</v>
      </c>
      <c r="I327" s="147" t="s">
        <v>187</v>
      </c>
      <c r="J327" s="147" t="s">
        <v>103</v>
      </c>
      <c r="K327" s="149" t="s">
        <v>1368</v>
      </c>
      <c r="L327" s="148">
        <v>42046</v>
      </c>
      <c r="M327" s="149" t="s">
        <v>950</v>
      </c>
      <c r="N327" s="149" t="s">
        <v>185</v>
      </c>
      <c r="O327" s="148">
        <v>42047</v>
      </c>
      <c r="P327" s="150">
        <f t="shared" si="660"/>
        <v>6</v>
      </c>
      <c r="Q327" s="149" t="s">
        <v>1369</v>
      </c>
      <c r="R327" s="149" t="s">
        <v>501</v>
      </c>
      <c r="S327" s="149" t="s">
        <v>101</v>
      </c>
      <c r="T327" s="151" t="s">
        <v>1370</v>
      </c>
      <c r="U327" s="152">
        <v>42047</v>
      </c>
      <c r="V327" s="149" t="s">
        <v>186</v>
      </c>
      <c r="W327" s="153">
        <f t="shared" si="661"/>
        <v>0</v>
      </c>
      <c r="X327" s="153" t="str">
        <f t="shared" si="662"/>
        <v>Correcto</v>
      </c>
    </row>
    <row r="328" spans="1:24" ht="18" customHeight="1" x14ac:dyDescent="0.25">
      <c r="A328" s="172">
        <v>319</v>
      </c>
      <c r="B328" s="145" t="s">
        <v>1371</v>
      </c>
      <c r="C328" s="146">
        <v>42041</v>
      </c>
      <c r="D328" s="147">
        <v>2</v>
      </c>
      <c r="E328" s="147" t="s">
        <v>93</v>
      </c>
      <c r="F328" s="145" t="s">
        <v>827</v>
      </c>
      <c r="G328" s="147" t="s">
        <v>202</v>
      </c>
      <c r="H328" s="148">
        <v>42045</v>
      </c>
      <c r="I328" s="147" t="s">
        <v>187</v>
      </c>
      <c r="J328" s="147" t="s">
        <v>103</v>
      </c>
      <c r="K328" s="149" t="s">
        <v>1372</v>
      </c>
      <c r="L328" s="148">
        <v>42045</v>
      </c>
      <c r="M328" s="149" t="s">
        <v>950</v>
      </c>
      <c r="N328" s="149" t="s">
        <v>185</v>
      </c>
      <c r="O328" s="148">
        <v>42046</v>
      </c>
      <c r="P328" s="150">
        <f t="shared" si="660"/>
        <v>5</v>
      </c>
      <c r="Q328" s="149" t="s">
        <v>1373</v>
      </c>
      <c r="R328" s="149" t="s">
        <v>501</v>
      </c>
      <c r="S328" s="149" t="s">
        <v>101</v>
      </c>
      <c r="T328" s="151" t="s">
        <v>1374</v>
      </c>
      <c r="U328" s="152">
        <v>42046</v>
      </c>
      <c r="V328" s="149" t="s">
        <v>186</v>
      </c>
      <c r="W328" s="153">
        <f t="shared" si="661"/>
        <v>0</v>
      </c>
      <c r="X328" s="153" t="str">
        <f t="shared" si="662"/>
        <v>Correcto</v>
      </c>
    </row>
    <row r="329" spans="1:24" ht="18" customHeight="1" x14ac:dyDescent="0.25">
      <c r="A329" s="172">
        <v>320</v>
      </c>
      <c r="B329" s="145" t="s">
        <v>1375</v>
      </c>
      <c r="C329" s="146">
        <v>42041</v>
      </c>
      <c r="D329" s="147">
        <v>2</v>
      </c>
      <c r="E329" s="147" t="s">
        <v>93</v>
      </c>
      <c r="F329" s="145" t="s">
        <v>827</v>
      </c>
      <c r="G329" s="147" t="s">
        <v>202</v>
      </c>
      <c r="H329" s="148">
        <v>42045</v>
      </c>
      <c r="I329" s="147" t="s">
        <v>187</v>
      </c>
      <c r="J329" s="147" t="s">
        <v>103</v>
      </c>
      <c r="K329" s="149" t="s">
        <v>1376</v>
      </c>
      <c r="L329" s="148">
        <v>42045</v>
      </c>
      <c r="M329" s="149" t="s">
        <v>950</v>
      </c>
      <c r="N329" s="149" t="s">
        <v>185</v>
      </c>
      <c r="O329" s="148">
        <v>42046</v>
      </c>
      <c r="P329" s="150">
        <f t="shared" ref="P329:P392" si="663">O329-C329</f>
        <v>5</v>
      </c>
      <c r="Q329" s="149" t="s">
        <v>1377</v>
      </c>
      <c r="R329" s="149" t="s">
        <v>17</v>
      </c>
      <c r="S329" s="149" t="s">
        <v>101</v>
      </c>
      <c r="T329" s="149" t="s">
        <v>953</v>
      </c>
      <c r="U329" s="152">
        <v>42053</v>
      </c>
      <c r="V329" s="149" t="s">
        <v>186</v>
      </c>
      <c r="W329" s="153">
        <f t="shared" ref="W329:W392" si="664">COUNTBLANK(C329:V329)</f>
        <v>0</v>
      </c>
      <c r="X329" s="153" t="str">
        <f t="shared" ref="X329:X392" si="665">IF(W329=0,"Correcto","Incorrecto")</f>
        <v>Correcto</v>
      </c>
    </row>
    <row r="330" spans="1:24" ht="18" customHeight="1" x14ac:dyDescent="0.25">
      <c r="A330" s="172">
        <v>321</v>
      </c>
      <c r="B330" s="145" t="s">
        <v>1378</v>
      </c>
      <c r="C330" s="146">
        <v>42041</v>
      </c>
      <c r="D330" s="147">
        <v>4</v>
      </c>
      <c r="E330" s="147" t="s">
        <v>93</v>
      </c>
      <c r="F330" s="145" t="s">
        <v>827</v>
      </c>
      <c r="G330" s="147" t="s">
        <v>202</v>
      </c>
      <c r="H330" s="148">
        <v>42045</v>
      </c>
      <c r="I330" s="147" t="s">
        <v>187</v>
      </c>
      <c r="J330" s="147" t="s">
        <v>103</v>
      </c>
      <c r="K330" s="149" t="s">
        <v>1379</v>
      </c>
      <c r="L330" s="148">
        <v>42045</v>
      </c>
      <c r="M330" s="149" t="s">
        <v>950</v>
      </c>
      <c r="N330" s="149" t="s">
        <v>185</v>
      </c>
      <c r="O330" s="148">
        <v>42046</v>
      </c>
      <c r="P330" s="150">
        <f t="shared" si="663"/>
        <v>5</v>
      </c>
      <c r="Q330" s="149" t="s">
        <v>1380</v>
      </c>
      <c r="R330" s="149" t="s">
        <v>501</v>
      </c>
      <c r="S330" s="149" t="s">
        <v>101</v>
      </c>
      <c r="T330" s="151" t="s">
        <v>1374</v>
      </c>
      <c r="U330" s="152">
        <v>42046</v>
      </c>
      <c r="V330" s="149" t="s">
        <v>186</v>
      </c>
      <c r="W330" s="153">
        <f t="shared" si="664"/>
        <v>0</v>
      </c>
      <c r="X330" s="153" t="str">
        <f t="shared" si="665"/>
        <v>Correcto</v>
      </c>
    </row>
    <row r="331" spans="1:24" ht="18" customHeight="1" x14ac:dyDescent="0.25">
      <c r="A331" s="172">
        <v>322</v>
      </c>
      <c r="B331" s="145" t="s">
        <v>1381</v>
      </c>
      <c r="C331" s="146">
        <v>42041</v>
      </c>
      <c r="D331" s="147">
        <v>19</v>
      </c>
      <c r="E331" s="147" t="s">
        <v>93</v>
      </c>
      <c r="F331" s="145" t="s">
        <v>827</v>
      </c>
      <c r="G331" s="147" t="s">
        <v>202</v>
      </c>
      <c r="H331" s="148">
        <v>42046</v>
      </c>
      <c r="I331" s="147" t="s">
        <v>187</v>
      </c>
      <c r="J331" s="147" t="s">
        <v>103</v>
      </c>
      <c r="K331" s="149" t="s">
        <v>1382</v>
      </c>
      <c r="L331" s="148">
        <v>42046</v>
      </c>
      <c r="M331" s="149" t="s">
        <v>950</v>
      </c>
      <c r="N331" s="149" t="s">
        <v>185</v>
      </c>
      <c r="O331" s="148">
        <v>42047</v>
      </c>
      <c r="P331" s="150">
        <f t="shared" si="663"/>
        <v>6</v>
      </c>
      <c r="Q331" s="149" t="s">
        <v>1383</v>
      </c>
      <c r="R331" s="149" t="s">
        <v>605</v>
      </c>
      <c r="S331" s="149" t="s">
        <v>101</v>
      </c>
      <c r="T331" s="151" t="s">
        <v>1384</v>
      </c>
      <c r="U331" s="152">
        <v>42047</v>
      </c>
      <c r="V331" s="149" t="s">
        <v>186</v>
      </c>
      <c r="W331" s="153">
        <f t="shared" si="664"/>
        <v>0</v>
      </c>
      <c r="X331" s="153" t="str">
        <f t="shared" si="665"/>
        <v>Correcto</v>
      </c>
    </row>
    <row r="332" spans="1:24" ht="18" customHeight="1" x14ac:dyDescent="0.25">
      <c r="A332" s="172">
        <v>323</v>
      </c>
      <c r="B332" s="145" t="s">
        <v>1385</v>
      </c>
      <c r="C332" s="146">
        <v>42041</v>
      </c>
      <c r="D332" s="147">
        <v>5</v>
      </c>
      <c r="E332" s="147" t="s">
        <v>93</v>
      </c>
      <c r="F332" s="145" t="s">
        <v>950</v>
      </c>
      <c r="G332" s="147" t="s">
        <v>202</v>
      </c>
      <c r="H332" s="148">
        <v>42045</v>
      </c>
      <c r="I332" s="147" t="s">
        <v>187</v>
      </c>
      <c r="J332" s="147" t="s">
        <v>103</v>
      </c>
      <c r="K332" s="149" t="s">
        <v>1386</v>
      </c>
      <c r="L332" s="148">
        <v>42045</v>
      </c>
      <c r="M332" s="149" t="s">
        <v>950</v>
      </c>
      <c r="N332" s="149" t="s">
        <v>185</v>
      </c>
      <c r="O332" s="148">
        <v>42045</v>
      </c>
      <c r="P332" s="150">
        <f t="shared" si="663"/>
        <v>4</v>
      </c>
      <c r="Q332" s="149" t="s">
        <v>1386</v>
      </c>
      <c r="R332" s="149" t="s">
        <v>17</v>
      </c>
      <c r="S332" s="149" t="s">
        <v>104</v>
      </c>
      <c r="T332" s="151" t="s">
        <v>1387</v>
      </c>
      <c r="U332" s="152">
        <v>42045</v>
      </c>
      <c r="V332" s="149" t="s">
        <v>186</v>
      </c>
      <c r="W332" s="153">
        <f t="shared" si="664"/>
        <v>0</v>
      </c>
      <c r="X332" s="153" t="str">
        <f t="shared" si="665"/>
        <v>Correcto</v>
      </c>
    </row>
    <row r="333" spans="1:24" ht="18" customHeight="1" x14ac:dyDescent="0.25">
      <c r="A333" s="172">
        <v>324</v>
      </c>
      <c r="B333" s="145" t="s">
        <v>1388</v>
      </c>
      <c r="C333" s="146">
        <v>42041</v>
      </c>
      <c r="D333" s="147">
        <v>2</v>
      </c>
      <c r="E333" s="147" t="s">
        <v>93</v>
      </c>
      <c r="F333" s="145" t="s">
        <v>827</v>
      </c>
      <c r="G333" s="147" t="s">
        <v>202</v>
      </c>
      <c r="H333" s="148">
        <v>42045</v>
      </c>
      <c r="I333" s="147" t="s">
        <v>187</v>
      </c>
      <c r="J333" s="147" t="s">
        <v>103</v>
      </c>
      <c r="K333" s="149" t="s">
        <v>1389</v>
      </c>
      <c r="L333" s="148">
        <v>42045</v>
      </c>
      <c r="M333" s="149" t="s">
        <v>950</v>
      </c>
      <c r="N333" s="149" t="s">
        <v>185</v>
      </c>
      <c r="O333" s="148">
        <v>42046</v>
      </c>
      <c r="P333" s="150">
        <f t="shared" si="663"/>
        <v>5</v>
      </c>
      <c r="Q333" s="149" t="s">
        <v>1390</v>
      </c>
      <c r="R333" s="149" t="s">
        <v>17</v>
      </c>
      <c r="S333" s="149" t="s">
        <v>101</v>
      </c>
      <c r="T333" s="149" t="s">
        <v>1391</v>
      </c>
      <c r="U333" s="152">
        <v>42048</v>
      </c>
      <c r="V333" s="149" t="s">
        <v>186</v>
      </c>
      <c r="W333" s="153">
        <f t="shared" si="664"/>
        <v>0</v>
      </c>
      <c r="X333" s="153" t="str">
        <f t="shared" si="665"/>
        <v>Correcto</v>
      </c>
    </row>
    <row r="334" spans="1:24" ht="18" customHeight="1" x14ac:dyDescent="0.25">
      <c r="A334" s="172">
        <v>325</v>
      </c>
      <c r="B334" s="145" t="s">
        <v>1392</v>
      </c>
      <c r="C334" s="146">
        <v>42041</v>
      </c>
      <c r="D334" s="147">
        <v>2</v>
      </c>
      <c r="E334" s="147" t="s">
        <v>93</v>
      </c>
      <c r="F334" s="145" t="s">
        <v>827</v>
      </c>
      <c r="G334" s="147" t="s">
        <v>202</v>
      </c>
      <c r="H334" s="148">
        <v>42045</v>
      </c>
      <c r="I334" s="147" t="s">
        <v>187</v>
      </c>
      <c r="J334" s="147" t="s">
        <v>103</v>
      </c>
      <c r="K334" s="149" t="s">
        <v>1393</v>
      </c>
      <c r="L334" s="148">
        <v>42045</v>
      </c>
      <c r="M334" s="149" t="s">
        <v>950</v>
      </c>
      <c r="N334" s="149" t="s">
        <v>185</v>
      </c>
      <c r="O334" s="148">
        <v>42046</v>
      </c>
      <c r="P334" s="150">
        <f t="shared" si="663"/>
        <v>5</v>
      </c>
      <c r="Q334" s="149" t="s">
        <v>1394</v>
      </c>
      <c r="R334" s="149" t="s">
        <v>605</v>
      </c>
      <c r="S334" s="149" t="s">
        <v>101</v>
      </c>
      <c r="T334" s="151" t="s">
        <v>1384</v>
      </c>
      <c r="U334" s="152">
        <v>42047</v>
      </c>
      <c r="V334" s="149" t="s">
        <v>186</v>
      </c>
      <c r="W334" s="153">
        <f t="shared" si="664"/>
        <v>0</v>
      </c>
      <c r="X334" s="153" t="str">
        <f t="shared" si="665"/>
        <v>Correcto</v>
      </c>
    </row>
    <row r="335" spans="1:24" ht="18" customHeight="1" x14ac:dyDescent="0.25">
      <c r="A335" s="172">
        <v>326</v>
      </c>
      <c r="B335" s="145" t="s">
        <v>1395</v>
      </c>
      <c r="C335" s="146">
        <v>42041</v>
      </c>
      <c r="D335" s="147">
        <v>2</v>
      </c>
      <c r="E335" s="147" t="s">
        <v>93</v>
      </c>
      <c r="F335" s="145" t="s">
        <v>827</v>
      </c>
      <c r="G335" s="147" t="s">
        <v>202</v>
      </c>
      <c r="H335" s="148">
        <v>42045</v>
      </c>
      <c r="I335" s="147" t="s">
        <v>187</v>
      </c>
      <c r="J335" s="147" t="s">
        <v>103</v>
      </c>
      <c r="K335" s="149" t="s">
        <v>1396</v>
      </c>
      <c r="L335" s="148">
        <v>42045</v>
      </c>
      <c r="M335" s="149" t="s">
        <v>950</v>
      </c>
      <c r="N335" s="149" t="s">
        <v>185</v>
      </c>
      <c r="O335" s="148">
        <v>42046</v>
      </c>
      <c r="P335" s="150">
        <f t="shared" si="663"/>
        <v>5</v>
      </c>
      <c r="Q335" s="149" t="s">
        <v>1397</v>
      </c>
      <c r="R335" s="149" t="s">
        <v>17</v>
      </c>
      <c r="S335" s="149" t="s">
        <v>101</v>
      </c>
      <c r="T335" s="149" t="s">
        <v>1339</v>
      </c>
      <c r="U335" s="152">
        <v>42048</v>
      </c>
      <c r="V335" s="149" t="s">
        <v>186</v>
      </c>
      <c r="W335" s="153">
        <f t="shared" si="664"/>
        <v>0</v>
      </c>
      <c r="X335" s="153" t="str">
        <f t="shared" si="665"/>
        <v>Correcto</v>
      </c>
    </row>
    <row r="336" spans="1:24" ht="18" customHeight="1" x14ac:dyDescent="0.25">
      <c r="A336" s="172">
        <v>327</v>
      </c>
      <c r="B336" s="145" t="s">
        <v>1398</v>
      </c>
      <c r="C336" s="146">
        <v>42041</v>
      </c>
      <c r="D336" s="147">
        <v>2</v>
      </c>
      <c r="E336" s="147" t="s">
        <v>93</v>
      </c>
      <c r="F336" s="145" t="s">
        <v>827</v>
      </c>
      <c r="G336" s="147" t="s">
        <v>202</v>
      </c>
      <c r="H336" s="148">
        <v>42045</v>
      </c>
      <c r="I336" s="147" t="s">
        <v>187</v>
      </c>
      <c r="J336" s="147" t="s">
        <v>103</v>
      </c>
      <c r="K336" s="149" t="s">
        <v>1399</v>
      </c>
      <c r="L336" s="148">
        <v>42045</v>
      </c>
      <c r="M336" s="149" t="s">
        <v>950</v>
      </c>
      <c r="N336" s="149" t="s">
        <v>185</v>
      </c>
      <c r="O336" s="148">
        <v>42046</v>
      </c>
      <c r="P336" s="150">
        <f t="shared" si="663"/>
        <v>5</v>
      </c>
      <c r="Q336" s="149" t="s">
        <v>1400</v>
      </c>
      <c r="R336" s="149" t="s">
        <v>501</v>
      </c>
      <c r="S336" s="149" t="s">
        <v>101</v>
      </c>
      <c r="T336" s="149" t="s">
        <v>1374</v>
      </c>
      <c r="U336" s="152">
        <v>42046</v>
      </c>
      <c r="V336" s="149" t="s">
        <v>186</v>
      </c>
      <c r="W336" s="153">
        <f t="shared" si="664"/>
        <v>0</v>
      </c>
      <c r="X336" s="153" t="str">
        <f t="shared" si="665"/>
        <v>Correcto</v>
      </c>
    </row>
    <row r="337" spans="1:24" ht="18" customHeight="1" x14ac:dyDescent="0.25">
      <c r="A337" s="172">
        <v>328</v>
      </c>
      <c r="B337" s="145" t="s">
        <v>1401</v>
      </c>
      <c r="C337" s="146">
        <v>42041</v>
      </c>
      <c r="D337" s="147">
        <v>2</v>
      </c>
      <c r="E337" s="147" t="s">
        <v>93</v>
      </c>
      <c r="F337" s="145" t="s">
        <v>827</v>
      </c>
      <c r="G337" s="147" t="s">
        <v>202</v>
      </c>
      <c r="H337" s="148">
        <v>42045</v>
      </c>
      <c r="I337" s="147" t="s">
        <v>187</v>
      </c>
      <c r="J337" s="147" t="s">
        <v>103</v>
      </c>
      <c r="K337" s="149" t="s">
        <v>1402</v>
      </c>
      <c r="L337" s="148">
        <v>42045</v>
      </c>
      <c r="M337" s="149" t="s">
        <v>950</v>
      </c>
      <c r="N337" s="149" t="s">
        <v>185</v>
      </c>
      <c r="O337" s="148">
        <v>42046</v>
      </c>
      <c r="P337" s="150">
        <f t="shared" si="663"/>
        <v>5</v>
      </c>
      <c r="Q337" s="149" t="s">
        <v>1403</v>
      </c>
      <c r="R337" s="149" t="s">
        <v>501</v>
      </c>
      <c r="S337" s="149" t="s">
        <v>101</v>
      </c>
      <c r="T337" s="149" t="s">
        <v>1374</v>
      </c>
      <c r="U337" s="152">
        <v>42046</v>
      </c>
      <c r="V337" s="149" t="s">
        <v>186</v>
      </c>
      <c r="W337" s="153">
        <f t="shared" si="664"/>
        <v>0</v>
      </c>
      <c r="X337" s="153" t="str">
        <f t="shared" si="665"/>
        <v>Correcto</v>
      </c>
    </row>
    <row r="338" spans="1:24" ht="18" customHeight="1" x14ac:dyDescent="0.25">
      <c r="A338" s="172">
        <v>329</v>
      </c>
      <c r="B338" s="145" t="s">
        <v>1404</v>
      </c>
      <c r="C338" s="146">
        <v>42044</v>
      </c>
      <c r="D338" s="147">
        <v>2</v>
      </c>
      <c r="E338" s="147" t="s">
        <v>93</v>
      </c>
      <c r="F338" s="145" t="s">
        <v>827</v>
      </c>
      <c r="G338" s="147" t="s">
        <v>202</v>
      </c>
      <c r="H338" s="148">
        <v>42045</v>
      </c>
      <c r="I338" s="147" t="s">
        <v>187</v>
      </c>
      <c r="J338" s="147" t="s">
        <v>103</v>
      </c>
      <c r="K338" s="149" t="s">
        <v>1405</v>
      </c>
      <c r="L338" s="148">
        <v>42045</v>
      </c>
      <c r="M338" s="149" t="s">
        <v>950</v>
      </c>
      <c r="N338" s="149" t="s">
        <v>185</v>
      </c>
      <c r="O338" s="148">
        <v>42047</v>
      </c>
      <c r="P338" s="150">
        <f t="shared" si="663"/>
        <v>3</v>
      </c>
      <c r="Q338" s="149" t="s">
        <v>1406</v>
      </c>
      <c r="R338" s="149" t="s">
        <v>17</v>
      </c>
      <c r="S338" s="149" t="s">
        <v>1407</v>
      </c>
      <c r="T338" s="151" t="s">
        <v>1408</v>
      </c>
      <c r="U338" s="152">
        <v>42047</v>
      </c>
      <c r="V338" s="149" t="s">
        <v>186</v>
      </c>
      <c r="W338" s="153">
        <f t="shared" si="664"/>
        <v>0</v>
      </c>
      <c r="X338" s="153" t="str">
        <f t="shared" si="665"/>
        <v>Correcto</v>
      </c>
    </row>
    <row r="339" spans="1:24" ht="18" customHeight="1" x14ac:dyDescent="0.25">
      <c r="A339" s="172">
        <v>330</v>
      </c>
      <c r="B339" s="145" t="s">
        <v>1409</v>
      </c>
      <c r="C339" s="146">
        <v>42044</v>
      </c>
      <c r="D339" s="147">
        <v>5</v>
      </c>
      <c r="E339" s="147" t="s">
        <v>93</v>
      </c>
      <c r="F339" s="145" t="s">
        <v>950</v>
      </c>
      <c r="G339" s="147" t="s">
        <v>202</v>
      </c>
      <c r="H339" s="148">
        <v>42045</v>
      </c>
      <c r="I339" s="147" t="s">
        <v>187</v>
      </c>
      <c r="J339" s="147" t="s">
        <v>103</v>
      </c>
      <c r="K339" s="149" t="s">
        <v>1410</v>
      </c>
      <c r="L339" s="148">
        <v>42045</v>
      </c>
      <c r="M339" s="149" t="s">
        <v>950</v>
      </c>
      <c r="N339" s="149" t="s">
        <v>185</v>
      </c>
      <c r="O339" s="148">
        <v>42045</v>
      </c>
      <c r="P339" s="150">
        <f t="shared" si="663"/>
        <v>1</v>
      </c>
      <c r="Q339" s="149" t="s">
        <v>1410</v>
      </c>
      <c r="R339" s="149" t="s">
        <v>17</v>
      </c>
      <c r="S339" s="148" t="s">
        <v>104</v>
      </c>
      <c r="T339" s="151" t="s">
        <v>1411</v>
      </c>
      <c r="U339" s="152">
        <v>42047</v>
      </c>
      <c r="V339" s="149" t="s">
        <v>186</v>
      </c>
      <c r="W339" s="153">
        <f t="shared" si="664"/>
        <v>0</v>
      </c>
      <c r="X339" s="153" t="str">
        <f t="shared" si="665"/>
        <v>Correcto</v>
      </c>
    </row>
    <row r="340" spans="1:24" ht="18" customHeight="1" x14ac:dyDescent="0.25">
      <c r="A340" s="172">
        <v>331</v>
      </c>
      <c r="B340" s="145" t="s">
        <v>1412</v>
      </c>
      <c r="C340" s="146">
        <v>42044</v>
      </c>
      <c r="D340" s="147">
        <v>2</v>
      </c>
      <c r="E340" s="147" t="s">
        <v>93</v>
      </c>
      <c r="F340" s="145" t="s">
        <v>827</v>
      </c>
      <c r="G340" s="147" t="s">
        <v>202</v>
      </c>
      <c r="H340" s="148">
        <v>42046</v>
      </c>
      <c r="I340" s="147" t="s">
        <v>187</v>
      </c>
      <c r="J340" s="147" t="s">
        <v>103</v>
      </c>
      <c r="K340" s="149" t="s">
        <v>1413</v>
      </c>
      <c r="L340" s="148">
        <v>42046</v>
      </c>
      <c r="M340" s="149" t="s">
        <v>950</v>
      </c>
      <c r="N340" s="149" t="s">
        <v>185</v>
      </c>
      <c r="O340" s="148">
        <v>42047</v>
      </c>
      <c r="P340" s="150">
        <f t="shared" si="663"/>
        <v>3</v>
      </c>
      <c r="Q340" s="149" t="s">
        <v>1414</v>
      </c>
      <c r="R340" s="149" t="s">
        <v>17</v>
      </c>
      <c r="S340" s="149" t="s">
        <v>1415</v>
      </c>
      <c r="T340" s="151" t="s">
        <v>1416</v>
      </c>
      <c r="U340" s="152">
        <v>42047</v>
      </c>
      <c r="V340" s="149" t="s">
        <v>186</v>
      </c>
      <c r="W340" s="153">
        <f t="shared" si="664"/>
        <v>0</v>
      </c>
      <c r="X340" s="153" t="str">
        <f t="shared" si="665"/>
        <v>Correcto</v>
      </c>
    </row>
    <row r="341" spans="1:24" ht="18" customHeight="1" x14ac:dyDescent="0.25">
      <c r="A341" s="172">
        <v>332</v>
      </c>
      <c r="B341" s="145" t="s">
        <v>1417</v>
      </c>
      <c r="C341" s="146">
        <v>42044</v>
      </c>
      <c r="D341" s="147">
        <v>2</v>
      </c>
      <c r="E341" s="147" t="s">
        <v>93</v>
      </c>
      <c r="F341" s="145" t="s">
        <v>827</v>
      </c>
      <c r="G341" s="147" t="s">
        <v>202</v>
      </c>
      <c r="H341" s="148">
        <v>42046</v>
      </c>
      <c r="I341" s="147" t="s">
        <v>187</v>
      </c>
      <c r="J341" s="147" t="s">
        <v>103</v>
      </c>
      <c r="K341" s="149" t="s">
        <v>1418</v>
      </c>
      <c r="L341" s="148">
        <v>42046</v>
      </c>
      <c r="M341" s="149" t="s">
        <v>950</v>
      </c>
      <c r="N341" s="149" t="s">
        <v>185</v>
      </c>
      <c r="O341" s="148">
        <v>42047</v>
      </c>
      <c r="P341" s="150">
        <f t="shared" si="663"/>
        <v>3</v>
      </c>
      <c r="Q341" s="149" t="s">
        <v>1419</v>
      </c>
      <c r="R341" s="149" t="s">
        <v>17</v>
      </c>
      <c r="S341" s="151" t="s">
        <v>101</v>
      </c>
      <c r="T341" s="151" t="s">
        <v>101</v>
      </c>
      <c r="U341" s="152">
        <v>42048</v>
      </c>
      <c r="V341" s="149" t="s">
        <v>186</v>
      </c>
      <c r="W341" s="153">
        <f t="shared" si="664"/>
        <v>0</v>
      </c>
      <c r="X341" s="153" t="str">
        <f t="shared" si="665"/>
        <v>Correcto</v>
      </c>
    </row>
    <row r="342" spans="1:24" ht="18" customHeight="1" x14ac:dyDescent="0.25">
      <c r="A342" s="172">
        <v>333</v>
      </c>
      <c r="B342" s="145" t="s">
        <v>1420</v>
      </c>
      <c r="C342" s="146">
        <v>42044</v>
      </c>
      <c r="D342" s="147">
        <v>2</v>
      </c>
      <c r="E342" s="147" t="s">
        <v>93</v>
      </c>
      <c r="F342" s="145" t="s">
        <v>827</v>
      </c>
      <c r="G342" s="147" t="s">
        <v>202</v>
      </c>
      <c r="H342" s="148">
        <v>42046</v>
      </c>
      <c r="I342" s="147" t="s">
        <v>187</v>
      </c>
      <c r="J342" s="147" t="s">
        <v>103</v>
      </c>
      <c r="K342" s="149" t="s">
        <v>1421</v>
      </c>
      <c r="L342" s="148">
        <v>42046</v>
      </c>
      <c r="M342" s="149" t="s">
        <v>950</v>
      </c>
      <c r="N342" s="149" t="s">
        <v>185</v>
      </c>
      <c r="O342" s="148">
        <v>42046</v>
      </c>
      <c r="P342" s="150">
        <f t="shared" si="663"/>
        <v>2</v>
      </c>
      <c r="Q342" s="149" t="s">
        <v>1422</v>
      </c>
      <c r="R342" s="149" t="s">
        <v>17</v>
      </c>
      <c r="S342" s="149" t="s">
        <v>1423</v>
      </c>
      <c r="T342" s="151" t="s">
        <v>1424</v>
      </c>
      <c r="U342" s="152">
        <v>42047</v>
      </c>
      <c r="V342" s="149" t="s">
        <v>186</v>
      </c>
      <c r="W342" s="153">
        <f t="shared" si="664"/>
        <v>0</v>
      </c>
      <c r="X342" s="153" t="str">
        <f t="shared" si="665"/>
        <v>Correcto</v>
      </c>
    </row>
    <row r="343" spans="1:24" ht="18" customHeight="1" x14ac:dyDescent="0.25">
      <c r="A343" s="172">
        <v>334</v>
      </c>
      <c r="B343" s="145" t="s">
        <v>1425</v>
      </c>
      <c r="C343" s="146">
        <v>42044</v>
      </c>
      <c r="D343" s="147">
        <v>2</v>
      </c>
      <c r="E343" s="147" t="s">
        <v>93</v>
      </c>
      <c r="F343" s="145" t="s">
        <v>827</v>
      </c>
      <c r="G343" s="147" t="s">
        <v>202</v>
      </c>
      <c r="H343" s="148">
        <v>42046</v>
      </c>
      <c r="I343" s="147" t="s">
        <v>187</v>
      </c>
      <c r="J343" s="147" t="s">
        <v>103</v>
      </c>
      <c r="K343" s="149" t="s">
        <v>1426</v>
      </c>
      <c r="L343" s="148">
        <v>42046</v>
      </c>
      <c r="M343" s="149" t="s">
        <v>950</v>
      </c>
      <c r="N343" s="149" t="s">
        <v>185</v>
      </c>
      <c r="O343" s="148">
        <v>42047</v>
      </c>
      <c r="P343" s="150">
        <f t="shared" si="663"/>
        <v>3</v>
      </c>
      <c r="Q343" s="149" t="s">
        <v>1427</v>
      </c>
      <c r="R343" s="149" t="s">
        <v>17</v>
      </c>
      <c r="S343" s="149" t="s">
        <v>104</v>
      </c>
      <c r="T343" s="151" t="s">
        <v>1428</v>
      </c>
      <c r="U343" s="152">
        <v>42047</v>
      </c>
      <c r="V343" s="149" t="s">
        <v>186</v>
      </c>
      <c r="W343" s="153">
        <f t="shared" si="664"/>
        <v>0</v>
      </c>
      <c r="X343" s="153" t="str">
        <f t="shared" si="665"/>
        <v>Correcto</v>
      </c>
    </row>
    <row r="344" spans="1:24" ht="18" customHeight="1" x14ac:dyDescent="0.25">
      <c r="A344" s="172">
        <v>335</v>
      </c>
      <c r="B344" s="145" t="s">
        <v>1429</v>
      </c>
      <c r="C344" s="146">
        <v>42045</v>
      </c>
      <c r="D344" s="147">
        <v>38</v>
      </c>
      <c r="E344" s="147" t="s">
        <v>93</v>
      </c>
      <c r="F344" s="145" t="s">
        <v>1122</v>
      </c>
      <c r="G344" s="147" t="s">
        <v>202</v>
      </c>
      <c r="H344" s="148">
        <v>42053</v>
      </c>
      <c r="I344" s="147" t="s">
        <v>187</v>
      </c>
      <c r="J344" s="147" t="s">
        <v>103</v>
      </c>
      <c r="K344" s="149" t="s">
        <v>1430</v>
      </c>
      <c r="L344" s="148">
        <v>42053</v>
      </c>
      <c r="M344" s="149" t="s">
        <v>950</v>
      </c>
      <c r="N344" s="149" t="s">
        <v>185</v>
      </c>
      <c r="O344" s="148">
        <v>42054</v>
      </c>
      <c r="P344" s="150">
        <f t="shared" si="663"/>
        <v>9</v>
      </c>
      <c r="Q344" s="149" t="s">
        <v>1431</v>
      </c>
      <c r="R344" s="149" t="s">
        <v>17</v>
      </c>
      <c r="S344" s="151" t="s">
        <v>101</v>
      </c>
      <c r="T344" s="149" t="s">
        <v>1432</v>
      </c>
      <c r="U344" s="154">
        <v>42055</v>
      </c>
      <c r="V344" s="149" t="s">
        <v>186</v>
      </c>
      <c r="W344" s="153">
        <f t="shared" si="664"/>
        <v>0</v>
      </c>
      <c r="X344" s="153" t="str">
        <f t="shared" si="665"/>
        <v>Correcto</v>
      </c>
    </row>
    <row r="345" spans="1:24" ht="18" customHeight="1" x14ac:dyDescent="0.25">
      <c r="A345" s="172">
        <v>336</v>
      </c>
      <c r="B345" s="145" t="s">
        <v>1433</v>
      </c>
      <c r="C345" s="146">
        <v>42045</v>
      </c>
      <c r="D345" s="147">
        <v>3</v>
      </c>
      <c r="E345" s="147" t="s">
        <v>93</v>
      </c>
      <c r="F345" s="145" t="s">
        <v>827</v>
      </c>
      <c r="G345" s="147" t="s">
        <v>202</v>
      </c>
      <c r="H345" s="148">
        <v>42047</v>
      </c>
      <c r="I345" s="147" t="s">
        <v>187</v>
      </c>
      <c r="J345" s="147" t="s">
        <v>103</v>
      </c>
      <c r="K345" s="149" t="s">
        <v>1434</v>
      </c>
      <c r="L345" s="148">
        <v>42047</v>
      </c>
      <c r="M345" s="149" t="s">
        <v>950</v>
      </c>
      <c r="N345" s="149" t="s">
        <v>185</v>
      </c>
      <c r="O345" s="148">
        <v>42048</v>
      </c>
      <c r="P345" s="150">
        <f t="shared" si="663"/>
        <v>3</v>
      </c>
      <c r="Q345" s="149" t="s">
        <v>1435</v>
      </c>
      <c r="R345" s="149" t="s">
        <v>17</v>
      </c>
      <c r="S345" s="151" t="s">
        <v>101</v>
      </c>
      <c r="T345" s="149" t="s">
        <v>1007</v>
      </c>
      <c r="U345" s="154">
        <v>42055</v>
      </c>
      <c r="V345" s="149" t="s">
        <v>186</v>
      </c>
      <c r="W345" s="153">
        <f t="shared" si="664"/>
        <v>0</v>
      </c>
      <c r="X345" s="153" t="str">
        <f t="shared" si="665"/>
        <v>Correcto</v>
      </c>
    </row>
    <row r="346" spans="1:24" ht="18" customHeight="1" x14ac:dyDescent="0.25">
      <c r="A346" s="172">
        <v>337</v>
      </c>
      <c r="B346" s="145" t="s">
        <v>1436</v>
      </c>
      <c r="C346" s="146">
        <v>42045</v>
      </c>
      <c r="D346" s="147">
        <v>2</v>
      </c>
      <c r="E346" s="147" t="s">
        <v>93</v>
      </c>
      <c r="F346" s="145" t="s">
        <v>827</v>
      </c>
      <c r="G346" s="147" t="s">
        <v>202</v>
      </c>
      <c r="H346" s="148">
        <v>42046</v>
      </c>
      <c r="I346" s="147" t="s">
        <v>187</v>
      </c>
      <c r="J346" s="147" t="s">
        <v>103</v>
      </c>
      <c r="K346" s="149" t="s">
        <v>1437</v>
      </c>
      <c r="L346" s="148">
        <v>42046</v>
      </c>
      <c r="M346" s="149" t="s">
        <v>950</v>
      </c>
      <c r="N346" s="149" t="s">
        <v>185</v>
      </c>
      <c r="O346" s="148">
        <v>42047</v>
      </c>
      <c r="P346" s="150">
        <f t="shared" si="663"/>
        <v>2</v>
      </c>
      <c r="Q346" s="149" t="s">
        <v>1438</v>
      </c>
      <c r="R346" s="149" t="s">
        <v>17</v>
      </c>
      <c r="S346" s="151" t="s">
        <v>101</v>
      </c>
      <c r="T346" s="149" t="s">
        <v>1339</v>
      </c>
      <c r="U346" s="154">
        <v>42048</v>
      </c>
      <c r="V346" s="149" t="s">
        <v>186</v>
      </c>
      <c r="W346" s="153">
        <f t="shared" si="664"/>
        <v>0</v>
      </c>
      <c r="X346" s="153" t="str">
        <f t="shared" si="665"/>
        <v>Correcto</v>
      </c>
    </row>
    <row r="347" spans="1:24" ht="18" customHeight="1" x14ac:dyDescent="0.25">
      <c r="A347" s="172">
        <v>338</v>
      </c>
      <c r="B347" s="145" t="s">
        <v>1439</v>
      </c>
      <c r="C347" s="146">
        <v>42045</v>
      </c>
      <c r="D347" s="147">
        <v>2</v>
      </c>
      <c r="E347" s="147" t="s">
        <v>93</v>
      </c>
      <c r="F347" s="145" t="s">
        <v>827</v>
      </c>
      <c r="G347" s="147" t="s">
        <v>202</v>
      </c>
      <c r="H347" s="148">
        <v>42046</v>
      </c>
      <c r="I347" s="147" t="s">
        <v>187</v>
      </c>
      <c r="J347" s="147" t="s">
        <v>103</v>
      </c>
      <c r="K347" s="149" t="s">
        <v>1440</v>
      </c>
      <c r="L347" s="148">
        <v>42046</v>
      </c>
      <c r="M347" s="149" t="s">
        <v>950</v>
      </c>
      <c r="N347" s="149" t="s">
        <v>185</v>
      </c>
      <c r="O347" s="148">
        <v>42047</v>
      </c>
      <c r="P347" s="150">
        <f t="shared" si="663"/>
        <v>2</v>
      </c>
      <c r="Q347" s="149" t="s">
        <v>1441</v>
      </c>
      <c r="R347" s="149" t="s">
        <v>17</v>
      </c>
      <c r="S347" s="151" t="s">
        <v>101</v>
      </c>
      <c r="T347" s="149" t="s">
        <v>1442</v>
      </c>
      <c r="U347" s="154">
        <v>42048</v>
      </c>
      <c r="V347" s="149" t="s">
        <v>186</v>
      </c>
      <c r="W347" s="153">
        <f t="shared" si="664"/>
        <v>0</v>
      </c>
      <c r="X347" s="153" t="str">
        <f t="shared" si="665"/>
        <v>Correcto</v>
      </c>
    </row>
    <row r="348" spans="1:24" ht="18" customHeight="1" x14ac:dyDescent="0.25">
      <c r="A348" s="172">
        <v>339</v>
      </c>
      <c r="B348" s="145" t="s">
        <v>1443</v>
      </c>
      <c r="C348" s="146">
        <v>42045</v>
      </c>
      <c r="D348" s="147">
        <v>2</v>
      </c>
      <c r="E348" s="147" t="s">
        <v>93</v>
      </c>
      <c r="F348" s="145" t="s">
        <v>827</v>
      </c>
      <c r="G348" s="147" t="s">
        <v>202</v>
      </c>
      <c r="H348" s="148">
        <v>42046</v>
      </c>
      <c r="I348" s="147" t="s">
        <v>187</v>
      </c>
      <c r="J348" s="147" t="s">
        <v>103</v>
      </c>
      <c r="K348" s="149" t="s">
        <v>1444</v>
      </c>
      <c r="L348" s="148">
        <v>42046</v>
      </c>
      <c r="M348" s="149" t="s">
        <v>950</v>
      </c>
      <c r="N348" s="149" t="s">
        <v>185</v>
      </c>
      <c r="O348" s="148">
        <v>42047</v>
      </c>
      <c r="P348" s="150">
        <f t="shared" si="663"/>
        <v>2</v>
      </c>
      <c r="Q348" s="149" t="s">
        <v>1445</v>
      </c>
      <c r="R348" s="149" t="s">
        <v>17</v>
      </c>
      <c r="S348" s="151" t="s">
        <v>101</v>
      </c>
      <c r="T348" s="149" t="s">
        <v>1339</v>
      </c>
      <c r="U348" s="154">
        <v>42048</v>
      </c>
      <c r="V348" s="149" t="s">
        <v>186</v>
      </c>
      <c r="W348" s="153">
        <f t="shared" si="664"/>
        <v>0</v>
      </c>
      <c r="X348" s="153" t="str">
        <f t="shared" si="665"/>
        <v>Correcto</v>
      </c>
    </row>
    <row r="349" spans="1:24" ht="18" customHeight="1" x14ac:dyDescent="0.25">
      <c r="A349" s="172">
        <v>340</v>
      </c>
      <c r="B349" s="145" t="s">
        <v>1446</v>
      </c>
      <c r="C349" s="146">
        <v>42045</v>
      </c>
      <c r="D349" s="147">
        <v>2</v>
      </c>
      <c r="E349" s="147" t="s">
        <v>93</v>
      </c>
      <c r="F349" s="145" t="s">
        <v>827</v>
      </c>
      <c r="G349" s="147" t="s">
        <v>202</v>
      </c>
      <c r="H349" s="148">
        <v>42046</v>
      </c>
      <c r="I349" s="147" t="s">
        <v>187</v>
      </c>
      <c r="J349" s="147" t="s">
        <v>103</v>
      </c>
      <c r="K349" s="149" t="s">
        <v>1447</v>
      </c>
      <c r="L349" s="148">
        <v>42046</v>
      </c>
      <c r="M349" s="149" t="s">
        <v>950</v>
      </c>
      <c r="N349" s="149" t="s">
        <v>185</v>
      </c>
      <c r="O349" s="148">
        <v>42047</v>
      </c>
      <c r="P349" s="150">
        <f t="shared" si="663"/>
        <v>2</v>
      </c>
      <c r="Q349" s="149" t="s">
        <v>1448</v>
      </c>
      <c r="R349" s="149" t="s">
        <v>17</v>
      </c>
      <c r="S349" s="151" t="s">
        <v>101</v>
      </c>
      <c r="T349" s="149" t="s">
        <v>953</v>
      </c>
      <c r="U349" s="154">
        <v>42048</v>
      </c>
      <c r="V349" s="149" t="s">
        <v>186</v>
      </c>
      <c r="W349" s="153">
        <f t="shared" si="664"/>
        <v>0</v>
      </c>
      <c r="X349" s="153" t="str">
        <f t="shared" si="665"/>
        <v>Correcto</v>
      </c>
    </row>
    <row r="350" spans="1:24" ht="18" customHeight="1" x14ac:dyDescent="0.25">
      <c r="A350" s="172">
        <v>341</v>
      </c>
      <c r="B350" s="145" t="s">
        <v>1449</v>
      </c>
      <c r="C350" s="146">
        <v>42045</v>
      </c>
      <c r="D350" s="147">
        <v>2</v>
      </c>
      <c r="E350" s="147" t="s">
        <v>93</v>
      </c>
      <c r="F350" s="145" t="s">
        <v>827</v>
      </c>
      <c r="G350" s="147" t="s">
        <v>202</v>
      </c>
      <c r="H350" s="148">
        <v>42046</v>
      </c>
      <c r="I350" s="147" t="s">
        <v>187</v>
      </c>
      <c r="J350" s="147" t="s">
        <v>103</v>
      </c>
      <c r="K350" s="149" t="s">
        <v>1450</v>
      </c>
      <c r="L350" s="148">
        <v>42046</v>
      </c>
      <c r="M350" s="149" t="s">
        <v>950</v>
      </c>
      <c r="N350" s="149" t="s">
        <v>185</v>
      </c>
      <c r="O350" s="148">
        <v>42047</v>
      </c>
      <c r="P350" s="150">
        <f t="shared" si="663"/>
        <v>2</v>
      </c>
      <c r="Q350" s="149" t="s">
        <v>1451</v>
      </c>
      <c r="R350" s="149" t="s">
        <v>17</v>
      </c>
      <c r="S350" s="151" t="s">
        <v>101</v>
      </c>
      <c r="T350" s="149" t="s">
        <v>953</v>
      </c>
      <c r="U350" s="154">
        <v>42048</v>
      </c>
      <c r="V350" s="149" t="s">
        <v>186</v>
      </c>
      <c r="W350" s="153">
        <f t="shared" si="664"/>
        <v>0</v>
      </c>
      <c r="X350" s="153" t="str">
        <f t="shared" si="665"/>
        <v>Correcto</v>
      </c>
    </row>
    <row r="351" spans="1:24" ht="18" customHeight="1" x14ac:dyDescent="0.25">
      <c r="A351" s="172">
        <v>342</v>
      </c>
      <c r="B351" s="145" t="s">
        <v>1452</v>
      </c>
      <c r="C351" s="146">
        <v>42045</v>
      </c>
      <c r="D351" s="147">
        <v>2</v>
      </c>
      <c r="E351" s="147" t="s">
        <v>93</v>
      </c>
      <c r="F351" s="145" t="s">
        <v>827</v>
      </c>
      <c r="G351" s="147" t="s">
        <v>202</v>
      </c>
      <c r="H351" s="148">
        <v>42046</v>
      </c>
      <c r="I351" s="147" t="s">
        <v>187</v>
      </c>
      <c r="J351" s="147" t="s">
        <v>103</v>
      </c>
      <c r="K351" s="149" t="s">
        <v>1453</v>
      </c>
      <c r="L351" s="148">
        <v>42046</v>
      </c>
      <c r="M351" s="149" t="s">
        <v>950</v>
      </c>
      <c r="N351" s="149" t="s">
        <v>185</v>
      </c>
      <c r="O351" s="148">
        <v>42047</v>
      </c>
      <c r="P351" s="150">
        <f t="shared" si="663"/>
        <v>2</v>
      </c>
      <c r="Q351" s="149" t="s">
        <v>1454</v>
      </c>
      <c r="R351" s="149" t="s">
        <v>17</v>
      </c>
      <c r="S351" s="151" t="s">
        <v>101</v>
      </c>
      <c r="T351" s="149" t="s">
        <v>1011</v>
      </c>
      <c r="U351" s="154">
        <v>42048</v>
      </c>
      <c r="V351" s="149" t="s">
        <v>186</v>
      </c>
      <c r="W351" s="153">
        <f t="shared" si="664"/>
        <v>0</v>
      </c>
      <c r="X351" s="153" t="str">
        <f t="shared" si="665"/>
        <v>Correcto</v>
      </c>
    </row>
    <row r="352" spans="1:24" ht="18" customHeight="1" x14ac:dyDescent="0.25">
      <c r="A352" s="172">
        <v>343</v>
      </c>
      <c r="B352" s="145" t="s">
        <v>1455</v>
      </c>
      <c r="C352" s="146">
        <v>42045</v>
      </c>
      <c r="D352" s="147">
        <v>2</v>
      </c>
      <c r="E352" s="147" t="s">
        <v>93</v>
      </c>
      <c r="F352" s="145" t="s">
        <v>827</v>
      </c>
      <c r="G352" s="147" t="s">
        <v>202</v>
      </c>
      <c r="H352" s="148">
        <v>42046</v>
      </c>
      <c r="I352" s="147" t="s">
        <v>187</v>
      </c>
      <c r="J352" s="147" t="s">
        <v>103</v>
      </c>
      <c r="K352" s="149" t="s">
        <v>1456</v>
      </c>
      <c r="L352" s="148">
        <v>42046</v>
      </c>
      <c r="M352" s="149" t="s">
        <v>950</v>
      </c>
      <c r="N352" s="149" t="s">
        <v>185</v>
      </c>
      <c r="O352" s="148">
        <v>42047</v>
      </c>
      <c r="P352" s="150">
        <f t="shared" si="663"/>
        <v>2</v>
      </c>
      <c r="Q352" s="149" t="s">
        <v>1457</v>
      </c>
      <c r="R352" s="149" t="s">
        <v>17</v>
      </c>
      <c r="S352" s="151" t="s">
        <v>101</v>
      </c>
      <c r="T352" s="149" t="s">
        <v>953</v>
      </c>
      <c r="U352" s="154">
        <v>42048</v>
      </c>
      <c r="V352" s="149" t="s">
        <v>186</v>
      </c>
      <c r="W352" s="153">
        <f t="shared" si="664"/>
        <v>0</v>
      </c>
      <c r="X352" s="153" t="str">
        <f t="shared" si="665"/>
        <v>Correcto</v>
      </c>
    </row>
    <row r="353" spans="1:24" ht="18" customHeight="1" x14ac:dyDescent="0.25">
      <c r="A353" s="172">
        <v>344</v>
      </c>
      <c r="B353" s="145" t="s">
        <v>1458</v>
      </c>
      <c r="C353" s="146">
        <v>42045</v>
      </c>
      <c r="D353" s="147">
        <v>2</v>
      </c>
      <c r="E353" s="147" t="s">
        <v>93</v>
      </c>
      <c r="F353" s="145" t="s">
        <v>827</v>
      </c>
      <c r="G353" s="147" t="s">
        <v>202</v>
      </c>
      <c r="H353" s="148">
        <v>42047</v>
      </c>
      <c r="I353" s="147" t="s">
        <v>187</v>
      </c>
      <c r="J353" s="147" t="s">
        <v>103</v>
      </c>
      <c r="K353" s="149" t="s">
        <v>1459</v>
      </c>
      <c r="L353" s="148">
        <v>42047</v>
      </c>
      <c r="M353" s="149" t="s">
        <v>950</v>
      </c>
      <c r="N353" s="149" t="s">
        <v>185</v>
      </c>
      <c r="O353" s="148">
        <v>42048</v>
      </c>
      <c r="P353" s="150">
        <f t="shared" si="663"/>
        <v>3</v>
      </c>
      <c r="Q353" s="149" t="s">
        <v>1460</v>
      </c>
      <c r="R353" s="149" t="s">
        <v>17</v>
      </c>
      <c r="S353" s="151" t="s">
        <v>101</v>
      </c>
      <c r="T353" s="149" t="s">
        <v>953</v>
      </c>
      <c r="U353" s="154">
        <v>42053</v>
      </c>
      <c r="V353" s="149" t="s">
        <v>186</v>
      </c>
      <c r="W353" s="153">
        <f t="shared" si="664"/>
        <v>0</v>
      </c>
      <c r="X353" s="153" t="str">
        <f t="shared" si="665"/>
        <v>Correcto</v>
      </c>
    </row>
    <row r="354" spans="1:24" ht="18" customHeight="1" x14ac:dyDescent="0.25">
      <c r="A354" s="172">
        <v>345</v>
      </c>
      <c r="B354" s="145" t="s">
        <v>1461</v>
      </c>
      <c r="C354" s="146">
        <v>42045</v>
      </c>
      <c r="D354" s="147">
        <v>2</v>
      </c>
      <c r="E354" s="147" t="s">
        <v>93</v>
      </c>
      <c r="F354" s="145" t="s">
        <v>827</v>
      </c>
      <c r="G354" s="147" t="s">
        <v>202</v>
      </c>
      <c r="H354" s="148">
        <v>42046</v>
      </c>
      <c r="I354" s="147" t="s">
        <v>187</v>
      </c>
      <c r="J354" s="147" t="s">
        <v>103</v>
      </c>
      <c r="K354" s="149" t="s">
        <v>1462</v>
      </c>
      <c r="L354" s="148">
        <v>42046</v>
      </c>
      <c r="M354" s="149" t="s">
        <v>950</v>
      </c>
      <c r="N354" s="149" t="s">
        <v>185</v>
      </c>
      <c r="O354" s="148">
        <v>42047</v>
      </c>
      <c r="P354" s="150">
        <f t="shared" si="663"/>
        <v>2</v>
      </c>
      <c r="Q354" s="149" t="s">
        <v>1463</v>
      </c>
      <c r="R354" s="149" t="s">
        <v>17</v>
      </c>
      <c r="S354" s="151" t="s">
        <v>101</v>
      </c>
      <c r="T354" s="149" t="s">
        <v>1011</v>
      </c>
      <c r="U354" s="154">
        <v>42048</v>
      </c>
      <c r="V354" s="149" t="s">
        <v>186</v>
      </c>
      <c r="W354" s="153">
        <f t="shared" si="664"/>
        <v>0</v>
      </c>
      <c r="X354" s="153" t="str">
        <f t="shared" si="665"/>
        <v>Correcto</v>
      </c>
    </row>
    <row r="355" spans="1:24" ht="18" customHeight="1" x14ac:dyDescent="0.25">
      <c r="A355" s="172">
        <v>346</v>
      </c>
      <c r="B355" s="145" t="s">
        <v>1464</v>
      </c>
      <c r="C355" s="146">
        <v>42045</v>
      </c>
      <c r="D355" s="147">
        <v>2</v>
      </c>
      <c r="E355" s="147" t="s">
        <v>93</v>
      </c>
      <c r="F355" s="145" t="s">
        <v>827</v>
      </c>
      <c r="G355" s="147" t="s">
        <v>202</v>
      </c>
      <c r="H355" s="148">
        <v>42046</v>
      </c>
      <c r="I355" s="147" t="s">
        <v>187</v>
      </c>
      <c r="J355" s="147" t="s">
        <v>103</v>
      </c>
      <c r="K355" s="149" t="s">
        <v>1465</v>
      </c>
      <c r="L355" s="148">
        <v>42046</v>
      </c>
      <c r="M355" s="149" t="s">
        <v>950</v>
      </c>
      <c r="N355" s="149" t="s">
        <v>185</v>
      </c>
      <c r="O355" s="148">
        <v>42047</v>
      </c>
      <c r="P355" s="150">
        <f t="shared" si="663"/>
        <v>2</v>
      </c>
      <c r="Q355" s="149" t="s">
        <v>1466</v>
      </c>
      <c r="R355" s="149" t="s">
        <v>17</v>
      </c>
      <c r="S355" s="149" t="s">
        <v>1467</v>
      </c>
      <c r="T355" s="151" t="s">
        <v>104</v>
      </c>
      <c r="U355" s="154">
        <v>42048</v>
      </c>
      <c r="V355" s="149" t="s">
        <v>186</v>
      </c>
      <c r="W355" s="153">
        <f t="shared" si="664"/>
        <v>0</v>
      </c>
      <c r="X355" s="153" t="str">
        <f t="shared" si="665"/>
        <v>Correcto</v>
      </c>
    </row>
    <row r="356" spans="1:24" ht="18" customHeight="1" x14ac:dyDescent="0.25">
      <c r="A356" s="172">
        <v>347</v>
      </c>
      <c r="B356" s="145" t="s">
        <v>1468</v>
      </c>
      <c r="C356" s="146">
        <v>42045</v>
      </c>
      <c r="D356" s="147">
        <v>2</v>
      </c>
      <c r="E356" s="147" t="s">
        <v>93</v>
      </c>
      <c r="F356" s="145" t="s">
        <v>827</v>
      </c>
      <c r="G356" s="147" t="s">
        <v>202</v>
      </c>
      <c r="H356" s="148">
        <v>42047</v>
      </c>
      <c r="I356" s="147" t="s">
        <v>187</v>
      </c>
      <c r="J356" s="147" t="s">
        <v>103</v>
      </c>
      <c r="K356" s="149" t="s">
        <v>1469</v>
      </c>
      <c r="L356" s="148">
        <v>42047</v>
      </c>
      <c r="M356" s="149" t="s">
        <v>950</v>
      </c>
      <c r="N356" s="149" t="s">
        <v>185</v>
      </c>
      <c r="O356" s="148">
        <v>42048</v>
      </c>
      <c r="P356" s="150">
        <f t="shared" si="663"/>
        <v>3</v>
      </c>
      <c r="Q356" s="149" t="s">
        <v>1470</v>
      </c>
      <c r="R356" s="149" t="s">
        <v>17</v>
      </c>
      <c r="S356" s="149" t="s">
        <v>101</v>
      </c>
      <c r="T356" s="149" t="s">
        <v>1011</v>
      </c>
      <c r="U356" s="154">
        <v>42053</v>
      </c>
      <c r="V356" s="149" t="s">
        <v>186</v>
      </c>
      <c r="W356" s="153">
        <f t="shared" si="664"/>
        <v>0</v>
      </c>
      <c r="X356" s="153" t="str">
        <f t="shared" si="665"/>
        <v>Correcto</v>
      </c>
    </row>
    <row r="357" spans="1:24" ht="18" customHeight="1" x14ac:dyDescent="0.25">
      <c r="A357" s="172">
        <v>348</v>
      </c>
      <c r="B357" s="145" t="s">
        <v>1471</v>
      </c>
      <c r="C357" s="146">
        <v>42045</v>
      </c>
      <c r="D357" s="147">
        <v>2</v>
      </c>
      <c r="E357" s="147" t="s">
        <v>93</v>
      </c>
      <c r="F357" s="145" t="s">
        <v>827</v>
      </c>
      <c r="G357" s="147" t="s">
        <v>202</v>
      </c>
      <c r="H357" s="148">
        <v>42047</v>
      </c>
      <c r="I357" s="147" t="s">
        <v>187</v>
      </c>
      <c r="J357" s="147" t="s">
        <v>103</v>
      </c>
      <c r="K357" s="149" t="s">
        <v>1472</v>
      </c>
      <c r="L357" s="148">
        <v>42047</v>
      </c>
      <c r="M357" s="149" t="s">
        <v>950</v>
      </c>
      <c r="N357" s="149" t="s">
        <v>185</v>
      </c>
      <c r="O357" s="148">
        <v>42048</v>
      </c>
      <c r="P357" s="150">
        <f t="shared" si="663"/>
        <v>3</v>
      </c>
      <c r="Q357" s="149" t="s">
        <v>1473</v>
      </c>
      <c r="R357" s="149" t="s">
        <v>605</v>
      </c>
      <c r="S357" s="149" t="s">
        <v>101</v>
      </c>
      <c r="T357" s="151" t="s">
        <v>1474</v>
      </c>
      <c r="U357" s="154">
        <v>42047</v>
      </c>
      <c r="V357" s="149" t="s">
        <v>186</v>
      </c>
      <c r="W357" s="153">
        <f t="shared" si="664"/>
        <v>0</v>
      </c>
      <c r="X357" s="153" t="str">
        <f t="shared" si="665"/>
        <v>Correcto</v>
      </c>
    </row>
    <row r="358" spans="1:24" ht="18" customHeight="1" x14ac:dyDescent="0.25">
      <c r="A358" s="172">
        <v>349</v>
      </c>
      <c r="B358" s="145" t="s">
        <v>1475</v>
      </c>
      <c r="C358" s="146">
        <v>42045</v>
      </c>
      <c r="D358" s="147">
        <v>2</v>
      </c>
      <c r="E358" s="147" t="s">
        <v>93</v>
      </c>
      <c r="F358" s="145" t="s">
        <v>827</v>
      </c>
      <c r="G358" s="147" t="s">
        <v>202</v>
      </c>
      <c r="H358" s="148">
        <v>42047</v>
      </c>
      <c r="I358" s="147" t="s">
        <v>187</v>
      </c>
      <c r="J358" s="147" t="s">
        <v>103</v>
      </c>
      <c r="K358" s="149" t="s">
        <v>1476</v>
      </c>
      <c r="L358" s="148">
        <v>42047</v>
      </c>
      <c r="M358" s="149" t="s">
        <v>950</v>
      </c>
      <c r="N358" s="149" t="s">
        <v>185</v>
      </c>
      <c r="O358" s="148">
        <v>42048</v>
      </c>
      <c r="P358" s="150">
        <f t="shared" si="663"/>
        <v>3</v>
      </c>
      <c r="Q358" s="149" t="s">
        <v>1477</v>
      </c>
      <c r="R358" s="149" t="s">
        <v>17</v>
      </c>
      <c r="S358" s="149" t="s">
        <v>101</v>
      </c>
      <c r="T358" s="149" t="s">
        <v>1442</v>
      </c>
      <c r="U358" s="154">
        <v>42055</v>
      </c>
      <c r="V358" s="149" t="s">
        <v>186</v>
      </c>
      <c r="W358" s="153">
        <f t="shared" si="664"/>
        <v>0</v>
      </c>
      <c r="X358" s="153" t="str">
        <f t="shared" si="665"/>
        <v>Correcto</v>
      </c>
    </row>
    <row r="359" spans="1:24" ht="18" customHeight="1" x14ac:dyDescent="0.25">
      <c r="A359" s="172">
        <v>350</v>
      </c>
      <c r="B359" s="145" t="s">
        <v>1478</v>
      </c>
      <c r="C359" s="146">
        <v>42045</v>
      </c>
      <c r="D359" s="147">
        <v>2</v>
      </c>
      <c r="E359" s="147" t="s">
        <v>93</v>
      </c>
      <c r="F359" s="145" t="s">
        <v>827</v>
      </c>
      <c r="G359" s="147" t="s">
        <v>202</v>
      </c>
      <c r="H359" s="148">
        <v>42047</v>
      </c>
      <c r="I359" s="147" t="s">
        <v>187</v>
      </c>
      <c r="J359" s="147" t="s">
        <v>103</v>
      </c>
      <c r="K359" s="149" t="s">
        <v>1479</v>
      </c>
      <c r="L359" s="148">
        <v>42047</v>
      </c>
      <c r="M359" s="149" t="s">
        <v>950</v>
      </c>
      <c r="N359" s="149" t="s">
        <v>185</v>
      </c>
      <c r="O359" s="148">
        <v>42048</v>
      </c>
      <c r="P359" s="150">
        <f t="shared" si="663"/>
        <v>3</v>
      </c>
      <c r="Q359" s="149" t="s">
        <v>1480</v>
      </c>
      <c r="R359" s="149" t="s">
        <v>17</v>
      </c>
      <c r="S359" s="149" t="s">
        <v>101</v>
      </c>
      <c r="T359" s="149" t="s">
        <v>1008</v>
      </c>
      <c r="U359" s="154">
        <v>42053</v>
      </c>
      <c r="V359" s="149" t="s">
        <v>186</v>
      </c>
      <c r="W359" s="153">
        <f t="shared" si="664"/>
        <v>0</v>
      </c>
      <c r="X359" s="153" t="str">
        <f t="shared" si="665"/>
        <v>Correcto</v>
      </c>
    </row>
    <row r="360" spans="1:24" ht="18" customHeight="1" x14ac:dyDescent="0.25">
      <c r="A360" s="172">
        <v>351</v>
      </c>
      <c r="B360" s="145" t="s">
        <v>1481</v>
      </c>
      <c r="C360" s="146">
        <v>42045</v>
      </c>
      <c r="D360" s="147">
        <v>2</v>
      </c>
      <c r="E360" s="147" t="s">
        <v>93</v>
      </c>
      <c r="F360" s="145" t="s">
        <v>827</v>
      </c>
      <c r="G360" s="147" t="s">
        <v>202</v>
      </c>
      <c r="H360" s="148">
        <v>42047</v>
      </c>
      <c r="I360" s="147" t="s">
        <v>187</v>
      </c>
      <c r="J360" s="147" t="s">
        <v>103</v>
      </c>
      <c r="K360" s="149" t="s">
        <v>1482</v>
      </c>
      <c r="L360" s="148">
        <v>42047</v>
      </c>
      <c r="M360" s="149" t="s">
        <v>950</v>
      </c>
      <c r="N360" s="149" t="s">
        <v>185</v>
      </c>
      <c r="O360" s="148">
        <v>42048</v>
      </c>
      <c r="P360" s="150">
        <f t="shared" si="663"/>
        <v>3</v>
      </c>
      <c r="Q360" s="149" t="s">
        <v>1483</v>
      </c>
      <c r="R360" s="149" t="s">
        <v>17</v>
      </c>
      <c r="S360" s="149" t="s">
        <v>101</v>
      </c>
      <c r="T360" s="149" t="s">
        <v>1006</v>
      </c>
      <c r="U360" s="154">
        <v>42053</v>
      </c>
      <c r="V360" s="149" t="s">
        <v>186</v>
      </c>
      <c r="W360" s="153">
        <f t="shared" si="664"/>
        <v>0</v>
      </c>
      <c r="X360" s="153" t="str">
        <f t="shared" si="665"/>
        <v>Correcto</v>
      </c>
    </row>
    <row r="361" spans="1:24" ht="18" customHeight="1" x14ac:dyDescent="0.25">
      <c r="A361" s="172">
        <v>352</v>
      </c>
      <c r="B361" s="145" t="s">
        <v>1484</v>
      </c>
      <c r="C361" s="146">
        <v>42045</v>
      </c>
      <c r="D361" s="147">
        <v>2</v>
      </c>
      <c r="E361" s="147" t="s">
        <v>93</v>
      </c>
      <c r="F361" s="145" t="s">
        <v>827</v>
      </c>
      <c r="G361" s="147" t="s">
        <v>202</v>
      </c>
      <c r="H361" s="148">
        <v>42047</v>
      </c>
      <c r="I361" s="147" t="s">
        <v>187</v>
      </c>
      <c r="J361" s="147" t="s">
        <v>103</v>
      </c>
      <c r="K361" s="149" t="s">
        <v>1485</v>
      </c>
      <c r="L361" s="148">
        <v>42047</v>
      </c>
      <c r="M361" s="149" t="s">
        <v>950</v>
      </c>
      <c r="N361" s="149" t="s">
        <v>185</v>
      </c>
      <c r="O361" s="148">
        <v>42048</v>
      </c>
      <c r="P361" s="150">
        <f t="shared" si="663"/>
        <v>3</v>
      </c>
      <c r="Q361" s="149" t="s">
        <v>1486</v>
      </c>
      <c r="R361" s="149" t="s">
        <v>17</v>
      </c>
      <c r="S361" s="149" t="s">
        <v>101</v>
      </c>
      <c r="T361" s="149" t="s">
        <v>953</v>
      </c>
      <c r="U361" s="154">
        <v>42053</v>
      </c>
      <c r="V361" s="149" t="s">
        <v>186</v>
      </c>
      <c r="W361" s="153">
        <f t="shared" si="664"/>
        <v>0</v>
      </c>
      <c r="X361" s="153" t="str">
        <f t="shared" si="665"/>
        <v>Correcto</v>
      </c>
    </row>
    <row r="362" spans="1:24" ht="18" customHeight="1" x14ac:dyDescent="0.25">
      <c r="A362" s="172">
        <v>353</v>
      </c>
      <c r="B362" s="145" t="s">
        <v>1487</v>
      </c>
      <c r="C362" s="146">
        <v>42045</v>
      </c>
      <c r="D362" s="147">
        <v>2</v>
      </c>
      <c r="E362" s="147" t="s">
        <v>93</v>
      </c>
      <c r="F362" s="145" t="s">
        <v>827</v>
      </c>
      <c r="G362" s="147" t="s">
        <v>202</v>
      </c>
      <c r="H362" s="148">
        <v>42047</v>
      </c>
      <c r="I362" s="147" t="s">
        <v>187</v>
      </c>
      <c r="J362" s="147" t="s">
        <v>103</v>
      </c>
      <c r="K362" s="149" t="s">
        <v>1488</v>
      </c>
      <c r="L362" s="148">
        <v>42047</v>
      </c>
      <c r="M362" s="149" t="s">
        <v>950</v>
      </c>
      <c r="N362" s="149" t="s">
        <v>185</v>
      </c>
      <c r="O362" s="148">
        <v>42048</v>
      </c>
      <c r="P362" s="150">
        <f t="shared" si="663"/>
        <v>3</v>
      </c>
      <c r="Q362" s="149" t="s">
        <v>1489</v>
      </c>
      <c r="R362" s="149" t="s">
        <v>17</v>
      </c>
      <c r="S362" s="149" t="s">
        <v>101</v>
      </c>
      <c r="T362" s="149" t="s">
        <v>1011</v>
      </c>
      <c r="U362" s="154">
        <v>42053</v>
      </c>
      <c r="V362" s="149" t="s">
        <v>186</v>
      </c>
      <c r="W362" s="153">
        <f t="shared" si="664"/>
        <v>0</v>
      </c>
      <c r="X362" s="153" t="str">
        <f t="shared" si="665"/>
        <v>Correcto</v>
      </c>
    </row>
    <row r="363" spans="1:24" ht="18" customHeight="1" x14ac:dyDescent="0.25">
      <c r="A363" s="172">
        <v>354</v>
      </c>
      <c r="B363" s="145" t="s">
        <v>1490</v>
      </c>
      <c r="C363" s="146">
        <v>42045</v>
      </c>
      <c r="D363" s="147">
        <v>2</v>
      </c>
      <c r="E363" s="147" t="s">
        <v>93</v>
      </c>
      <c r="F363" s="145" t="s">
        <v>827</v>
      </c>
      <c r="G363" s="147" t="s">
        <v>202</v>
      </c>
      <c r="H363" s="148">
        <v>42047</v>
      </c>
      <c r="I363" s="147" t="s">
        <v>187</v>
      </c>
      <c r="J363" s="147" t="s">
        <v>103</v>
      </c>
      <c r="K363" s="149" t="s">
        <v>1491</v>
      </c>
      <c r="L363" s="148">
        <v>42047</v>
      </c>
      <c r="M363" s="149" t="s">
        <v>950</v>
      </c>
      <c r="N363" s="149" t="s">
        <v>185</v>
      </c>
      <c r="O363" s="148">
        <v>42048</v>
      </c>
      <c r="P363" s="150">
        <f t="shared" si="663"/>
        <v>3</v>
      </c>
      <c r="Q363" s="149" t="s">
        <v>1492</v>
      </c>
      <c r="R363" s="149" t="s">
        <v>17</v>
      </c>
      <c r="S363" s="149" t="s">
        <v>101</v>
      </c>
      <c r="T363" s="149" t="s">
        <v>1339</v>
      </c>
      <c r="U363" s="154">
        <v>42053</v>
      </c>
      <c r="V363" s="149" t="s">
        <v>186</v>
      </c>
      <c r="W363" s="153">
        <f t="shared" si="664"/>
        <v>0</v>
      </c>
      <c r="X363" s="153" t="str">
        <f t="shared" si="665"/>
        <v>Correcto</v>
      </c>
    </row>
    <row r="364" spans="1:24" ht="18" customHeight="1" x14ac:dyDescent="0.25">
      <c r="A364" s="172">
        <v>355</v>
      </c>
      <c r="B364" s="145" t="s">
        <v>1493</v>
      </c>
      <c r="C364" s="146">
        <v>42045</v>
      </c>
      <c r="D364" s="147">
        <v>2</v>
      </c>
      <c r="E364" s="147" t="s">
        <v>93</v>
      </c>
      <c r="F364" s="145" t="s">
        <v>827</v>
      </c>
      <c r="G364" s="147" t="s">
        <v>202</v>
      </c>
      <c r="H364" s="148">
        <v>42047</v>
      </c>
      <c r="I364" s="147" t="s">
        <v>187</v>
      </c>
      <c r="J364" s="147" t="s">
        <v>103</v>
      </c>
      <c r="K364" s="149" t="s">
        <v>1494</v>
      </c>
      <c r="L364" s="148">
        <v>42047</v>
      </c>
      <c r="M364" s="149" t="s">
        <v>950</v>
      </c>
      <c r="N364" s="149" t="s">
        <v>185</v>
      </c>
      <c r="O364" s="148">
        <v>42048</v>
      </c>
      <c r="P364" s="150">
        <f t="shared" si="663"/>
        <v>3</v>
      </c>
      <c r="Q364" s="149" t="s">
        <v>1495</v>
      </c>
      <c r="R364" s="149" t="s">
        <v>17</v>
      </c>
      <c r="S364" s="149" t="s">
        <v>101</v>
      </c>
      <c r="T364" s="149" t="s">
        <v>1496</v>
      </c>
      <c r="U364" s="154">
        <v>42053</v>
      </c>
      <c r="V364" s="149" t="s">
        <v>186</v>
      </c>
      <c r="W364" s="153">
        <f t="shared" si="664"/>
        <v>0</v>
      </c>
      <c r="X364" s="153" t="str">
        <f t="shared" si="665"/>
        <v>Correcto</v>
      </c>
    </row>
    <row r="365" spans="1:24" ht="18" customHeight="1" x14ac:dyDescent="0.25">
      <c r="A365" s="172">
        <v>356</v>
      </c>
      <c r="B365" s="145" t="s">
        <v>1497</v>
      </c>
      <c r="C365" s="146">
        <v>42045</v>
      </c>
      <c r="D365" s="147">
        <v>2</v>
      </c>
      <c r="E365" s="147" t="s">
        <v>93</v>
      </c>
      <c r="F365" s="145" t="s">
        <v>827</v>
      </c>
      <c r="G365" s="147" t="s">
        <v>202</v>
      </c>
      <c r="H365" s="148">
        <v>42047</v>
      </c>
      <c r="I365" s="147" t="s">
        <v>187</v>
      </c>
      <c r="J365" s="147" t="s">
        <v>103</v>
      </c>
      <c r="K365" s="149" t="s">
        <v>1498</v>
      </c>
      <c r="L365" s="148">
        <v>42047</v>
      </c>
      <c r="M365" s="149" t="s">
        <v>950</v>
      </c>
      <c r="N365" s="149" t="s">
        <v>185</v>
      </c>
      <c r="O365" s="148">
        <v>42048</v>
      </c>
      <c r="P365" s="150">
        <f t="shared" si="663"/>
        <v>3</v>
      </c>
      <c r="Q365" s="149" t="s">
        <v>1499</v>
      </c>
      <c r="R365" s="149" t="s">
        <v>17</v>
      </c>
      <c r="S365" s="149" t="s">
        <v>101</v>
      </c>
      <c r="T365" s="149" t="s">
        <v>1500</v>
      </c>
      <c r="U365" s="154">
        <v>42053</v>
      </c>
      <c r="V365" s="149" t="s">
        <v>186</v>
      </c>
      <c r="W365" s="153">
        <f t="shared" si="664"/>
        <v>0</v>
      </c>
      <c r="X365" s="153" t="str">
        <f t="shared" si="665"/>
        <v>Correcto</v>
      </c>
    </row>
    <row r="366" spans="1:24" ht="18" customHeight="1" x14ac:dyDescent="0.25">
      <c r="A366" s="172">
        <v>357</v>
      </c>
      <c r="B366" s="145" t="s">
        <v>1501</v>
      </c>
      <c r="C366" s="146">
        <v>42045</v>
      </c>
      <c r="D366" s="147">
        <v>2</v>
      </c>
      <c r="E366" s="147" t="s">
        <v>93</v>
      </c>
      <c r="F366" s="145" t="s">
        <v>827</v>
      </c>
      <c r="G366" s="147" t="s">
        <v>202</v>
      </c>
      <c r="H366" s="148">
        <v>42047</v>
      </c>
      <c r="I366" s="147" t="s">
        <v>187</v>
      </c>
      <c r="J366" s="147" t="s">
        <v>103</v>
      </c>
      <c r="K366" s="149" t="s">
        <v>1502</v>
      </c>
      <c r="L366" s="148">
        <v>42047</v>
      </c>
      <c r="M366" s="149" t="s">
        <v>950</v>
      </c>
      <c r="N366" s="149" t="s">
        <v>185</v>
      </c>
      <c r="O366" s="148">
        <v>42048</v>
      </c>
      <c r="P366" s="150">
        <f t="shared" si="663"/>
        <v>3</v>
      </c>
      <c r="Q366" s="149" t="s">
        <v>1503</v>
      </c>
      <c r="R366" s="149" t="s">
        <v>17</v>
      </c>
      <c r="S366" s="149" t="s">
        <v>101</v>
      </c>
      <c r="T366" s="149" t="s">
        <v>1504</v>
      </c>
      <c r="U366" s="154">
        <v>42053</v>
      </c>
      <c r="V366" s="149" t="s">
        <v>186</v>
      </c>
      <c r="W366" s="153">
        <f t="shared" si="664"/>
        <v>0</v>
      </c>
      <c r="X366" s="153" t="str">
        <f t="shared" si="665"/>
        <v>Correcto</v>
      </c>
    </row>
    <row r="367" spans="1:24" ht="18" customHeight="1" x14ac:dyDescent="0.25">
      <c r="A367" s="172">
        <v>358</v>
      </c>
      <c r="B367" s="145" t="s">
        <v>1505</v>
      </c>
      <c r="C367" s="146">
        <v>42045</v>
      </c>
      <c r="D367" s="147">
        <v>2</v>
      </c>
      <c r="E367" s="147" t="s">
        <v>93</v>
      </c>
      <c r="F367" s="145" t="s">
        <v>827</v>
      </c>
      <c r="G367" s="147" t="s">
        <v>202</v>
      </c>
      <c r="H367" s="148">
        <v>42047</v>
      </c>
      <c r="I367" s="147" t="s">
        <v>187</v>
      </c>
      <c r="J367" s="147" t="s">
        <v>103</v>
      </c>
      <c r="K367" s="149" t="s">
        <v>1506</v>
      </c>
      <c r="L367" s="148">
        <v>42047</v>
      </c>
      <c r="M367" s="149" t="s">
        <v>950</v>
      </c>
      <c r="N367" s="149" t="s">
        <v>185</v>
      </c>
      <c r="O367" s="148">
        <v>42048</v>
      </c>
      <c r="P367" s="150">
        <f t="shared" si="663"/>
        <v>3</v>
      </c>
      <c r="Q367" s="149" t="s">
        <v>1507</v>
      </c>
      <c r="R367" s="149" t="s">
        <v>17</v>
      </c>
      <c r="S367" s="149" t="s">
        <v>1508</v>
      </c>
      <c r="T367" s="151" t="s">
        <v>1509</v>
      </c>
      <c r="U367" s="154">
        <v>42051</v>
      </c>
      <c r="V367" s="149" t="s">
        <v>186</v>
      </c>
      <c r="W367" s="153">
        <f t="shared" si="664"/>
        <v>0</v>
      </c>
      <c r="X367" s="153" t="str">
        <f t="shared" si="665"/>
        <v>Correcto</v>
      </c>
    </row>
    <row r="368" spans="1:24" ht="18" customHeight="1" x14ac:dyDescent="0.25">
      <c r="A368" s="172">
        <v>359</v>
      </c>
      <c r="B368" s="145" t="s">
        <v>1510</v>
      </c>
      <c r="C368" s="146">
        <v>42045</v>
      </c>
      <c r="D368" s="147">
        <v>2</v>
      </c>
      <c r="E368" s="147" t="s">
        <v>93</v>
      </c>
      <c r="F368" s="145" t="s">
        <v>827</v>
      </c>
      <c r="G368" s="147" t="s">
        <v>202</v>
      </c>
      <c r="H368" s="148">
        <v>42046</v>
      </c>
      <c r="I368" s="147" t="s">
        <v>187</v>
      </c>
      <c r="J368" s="147" t="s">
        <v>103</v>
      </c>
      <c r="K368" s="149" t="s">
        <v>1511</v>
      </c>
      <c r="L368" s="148">
        <v>42046</v>
      </c>
      <c r="M368" s="149" t="s">
        <v>950</v>
      </c>
      <c r="N368" s="149" t="s">
        <v>185</v>
      </c>
      <c r="O368" s="148">
        <v>42047</v>
      </c>
      <c r="P368" s="150">
        <f t="shared" si="663"/>
        <v>2</v>
      </c>
      <c r="Q368" s="149" t="s">
        <v>1512</v>
      </c>
      <c r="R368" s="149" t="s">
        <v>17</v>
      </c>
      <c r="S368" s="149" t="s">
        <v>1513</v>
      </c>
      <c r="T368" s="151" t="s">
        <v>1514</v>
      </c>
      <c r="U368" s="154">
        <v>42051</v>
      </c>
      <c r="V368" s="149" t="s">
        <v>186</v>
      </c>
      <c r="W368" s="153">
        <f t="shared" si="664"/>
        <v>0</v>
      </c>
      <c r="X368" s="153" t="str">
        <f t="shared" si="665"/>
        <v>Correcto</v>
      </c>
    </row>
    <row r="369" spans="1:24" ht="18" customHeight="1" x14ac:dyDescent="0.25">
      <c r="A369" s="172">
        <v>360</v>
      </c>
      <c r="B369" s="145" t="s">
        <v>1515</v>
      </c>
      <c r="C369" s="146">
        <v>42045</v>
      </c>
      <c r="D369" s="147">
        <v>2</v>
      </c>
      <c r="E369" s="147" t="s">
        <v>93</v>
      </c>
      <c r="F369" s="145" t="s">
        <v>827</v>
      </c>
      <c r="G369" s="147" t="s">
        <v>202</v>
      </c>
      <c r="H369" s="148">
        <v>42046</v>
      </c>
      <c r="I369" s="147" t="s">
        <v>187</v>
      </c>
      <c r="J369" s="147" t="s">
        <v>103</v>
      </c>
      <c r="K369" s="149" t="s">
        <v>1516</v>
      </c>
      <c r="L369" s="148">
        <v>42046</v>
      </c>
      <c r="M369" s="149" t="s">
        <v>950</v>
      </c>
      <c r="N369" s="149" t="s">
        <v>185</v>
      </c>
      <c r="O369" s="148">
        <v>42047</v>
      </c>
      <c r="P369" s="150">
        <f t="shared" si="663"/>
        <v>2</v>
      </c>
      <c r="Q369" s="149" t="s">
        <v>1517</v>
      </c>
      <c r="R369" s="149" t="s">
        <v>17</v>
      </c>
      <c r="S369" s="149" t="s">
        <v>1518</v>
      </c>
      <c r="T369" s="151" t="s">
        <v>1519</v>
      </c>
      <c r="U369" s="154">
        <v>42051</v>
      </c>
      <c r="V369" s="149" t="s">
        <v>186</v>
      </c>
      <c r="W369" s="153">
        <f t="shared" si="664"/>
        <v>0</v>
      </c>
      <c r="X369" s="153" t="str">
        <f t="shared" si="665"/>
        <v>Correcto</v>
      </c>
    </row>
    <row r="370" spans="1:24" ht="18" customHeight="1" x14ac:dyDescent="0.25">
      <c r="A370" s="172">
        <v>361</v>
      </c>
      <c r="B370" s="145" t="s">
        <v>1520</v>
      </c>
      <c r="C370" s="146">
        <v>42045</v>
      </c>
      <c r="D370" s="147">
        <v>2</v>
      </c>
      <c r="E370" s="147" t="s">
        <v>93</v>
      </c>
      <c r="F370" s="145" t="s">
        <v>827</v>
      </c>
      <c r="G370" s="147" t="s">
        <v>202</v>
      </c>
      <c r="H370" s="148">
        <v>42047</v>
      </c>
      <c r="I370" s="147" t="s">
        <v>187</v>
      </c>
      <c r="J370" s="147" t="s">
        <v>103</v>
      </c>
      <c r="K370" s="149" t="s">
        <v>1521</v>
      </c>
      <c r="L370" s="148">
        <v>42047</v>
      </c>
      <c r="M370" s="149" t="s">
        <v>950</v>
      </c>
      <c r="N370" s="149" t="s">
        <v>185</v>
      </c>
      <c r="O370" s="148">
        <v>42047</v>
      </c>
      <c r="P370" s="150">
        <f t="shared" si="663"/>
        <v>2</v>
      </c>
      <c r="Q370" s="149" t="s">
        <v>1522</v>
      </c>
      <c r="R370" s="149" t="s">
        <v>17</v>
      </c>
      <c r="S370" s="149" t="s">
        <v>101</v>
      </c>
      <c r="T370" s="149" t="s">
        <v>1500</v>
      </c>
      <c r="U370" s="154">
        <v>42053</v>
      </c>
      <c r="V370" s="149" t="s">
        <v>186</v>
      </c>
      <c r="W370" s="153">
        <f t="shared" si="664"/>
        <v>0</v>
      </c>
      <c r="X370" s="153" t="str">
        <f t="shared" si="665"/>
        <v>Correcto</v>
      </c>
    </row>
    <row r="371" spans="1:24" ht="18" customHeight="1" x14ac:dyDescent="0.25">
      <c r="A371" s="172">
        <v>362</v>
      </c>
      <c r="B371" s="145" t="s">
        <v>1523</v>
      </c>
      <c r="C371" s="146">
        <v>42045</v>
      </c>
      <c r="D371" s="147">
        <v>2</v>
      </c>
      <c r="E371" s="147" t="s">
        <v>93</v>
      </c>
      <c r="F371" s="145" t="s">
        <v>827</v>
      </c>
      <c r="G371" s="147" t="s">
        <v>202</v>
      </c>
      <c r="H371" s="148">
        <v>42047</v>
      </c>
      <c r="I371" s="147" t="s">
        <v>187</v>
      </c>
      <c r="J371" s="147" t="s">
        <v>103</v>
      </c>
      <c r="K371" s="149" t="s">
        <v>1524</v>
      </c>
      <c r="L371" s="148">
        <v>42047</v>
      </c>
      <c r="M371" s="149" t="s">
        <v>950</v>
      </c>
      <c r="N371" s="149" t="s">
        <v>185</v>
      </c>
      <c r="O371" s="148">
        <v>42047</v>
      </c>
      <c r="P371" s="150">
        <f t="shared" si="663"/>
        <v>2</v>
      </c>
      <c r="Q371" s="149" t="s">
        <v>1525</v>
      </c>
      <c r="R371" s="149" t="s">
        <v>17</v>
      </c>
      <c r="S371" s="149" t="s">
        <v>101</v>
      </c>
      <c r="T371" s="149" t="s">
        <v>1526</v>
      </c>
      <c r="U371" s="154">
        <v>42053</v>
      </c>
      <c r="V371" s="149" t="s">
        <v>186</v>
      </c>
      <c r="W371" s="153">
        <f t="shared" si="664"/>
        <v>0</v>
      </c>
      <c r="X371" s="153" t="str">
        <f t="shared" si="665"/>
        <v>Correcto</v>
      </c>
    </row>
    <row r="372" spans="1:24" ht="18" customHeight="1" x14ac:dyDescent="0.25">
      <c r="A372" s="172">
        <v>363</v>
      </c>
      <c r="B372" s="145" t="s">
        <v>1527</v>
      </c>
      <c r="C372" s="146">
        <v>42045</v>
      </c>
      <c r="D372" s="147">
        <v>2</v>
      </c>
      <c r="E372" s="147" t="s">
        <v>93</v>
      </c>
      <c r="F372" s="145" t="s">
        <v>827</v>
      </c>
      <c r="G372" s="147" t="s">
        <v>202</v>
      </c>
      <c r="H372" s="148">
        <v>42047</v>
      </c>
      <c r="I372" s="147" t="s">
        <v>187</v>
      </c>
      <c r="J372" s="147" t="s">
        <v>103</v>
      </c>
      <c r="K372" s="149" t="s">
        <v>1528</v>
      </c>
      <c r="L372" s="148">
        <v>42047</v>
      </c>
      <c r="M372" s="149" t="s">
        <v>950</v>
      </c>
      <c r="N372" s="149" t="s">
        <v>185</v>
      </c>
      <c r="O372" s="148">
        <v>42047</v>
      </c>
      <c r="P372" s="150">
        <f t="shared" si="663"/>
        <v>2</v>
      </c>
      <c r="Q372" s="149" t="s">
        <v>1529</v>
      </c>
      <c r="R372" s="149" t="s">
        <v>17</v>
      </c>
      <c r="S372" s="149" t="s">
        <v>101</v>
      </c>
      <c r="T372" s="149" t="s">
        <v>1442</v>
      </c>
      <c r="U372" s="154">
        <v>42053</v>
      </c>
      <c r="V372" s="149" t="s">
        <v>186</v>
      </c>
      <c r="W372" s="153">
        <f t="shared" si="664"/>
        <v>0</v>
      </c>
      <c r="X372" s="153" t="str">
        <f t="shared" si="665"/>
        <v>Correcto</v>
      </c>
    </row>
    <row r="373" spans="1:24" ht="18" customHeight="1" x14ac:dyDescent="0.25">
      <c r="A373" s="172">
        <v>364</v>
      </c>
      <c r="B373" s="145" t="s">
        <v>1530</v>
      </c>
      <c r="C373" s="146">
        <v>42045</v>
      </c>
      <c r="D373" s="147">
        <v>2</v>
      </c>
      <c r="E373" s="147" t="s">
        <v>93</v>
      </c>
      <c r="F373" s="145" t="s">
        <v>827</v>
      </c>
      <c r="G373" s="147" t="s">
        <v>202</v>
      </c>
      <c r="H373" s="148">
        <v>42047</v>
      </c>
      <c r="I373" s="147" t="s">
        <v>187</v>
      </c>
      <c r="J373" s="147" t="s">
        <v>103</v>
      </c>
      <c r="K373" s="149" t="s">
        <v>1531</v>
      </c>
      <c r="L373" s="148">
        <v>42047</v>
      </c>
      <c r="M373" s="149" t="s">
        <v>950</v>
      </c>
      <c r="N373" s="149" t="s">
        <v>185</v>
      </c>
      <c r="O373" s="148">
        <v>42047</v>
      </c>
      <c r="P373" s="150">
        <f t="shared" si="663"/>
        <v>2</v>
      </c>
      <c r="Q373" s="149" t="s">
        <v>1532</v>
      </c>
      <c r="R373" s="149" t="s">
        <v>17</v>
      </c>
      <c r="S373" s="149" t="s">
        <v>101</v>
      </c>
      <c r="T373" s="149" t="s">
        <v>1442</v>
      </c>
      <c r="U373" s="154">
        <v>42053</v>
      </c>
      <c r="V373" s="149" t="s">
        <v>186</v>
      </c>
      <c r="W373" s="153">
        <f t="shared" si="664"/>
        <v>0</v>
      </c>
      <c r="X373" s="153" t="str">
        <f t="shared" si="665"/>
        <v>Correcto</v>
      </c>
    </row>
    <row r="374" spans="1:24" ht="18" customHeight="1" x14ac:dyDescent="0.25">
      <c r="A374" s="172">
        <v>365</v>
      </c>
      <c r="B374" s="145" t="s">
        <v>1533</v>
      </c>
      <c r="C374" s="146">
        <v>42045</v>
      </c>
      <c r="D374" s="147">
        <v>2</v>
      </c>
      <c r="E374" s="147" t="s">
        <v>93</v>
      </c>
      <c r="F374" s="145" t="s">
        <v>827</v>
      </c>
      <c r="G374" s="147" t="s">
        <v>202</v>
      </c>
      <c r="H374" s="148">
        <v>42047</v>
      </c>
      <c r="I374" s="147" t="s">
        <v>187</v>
      </c>
      <c r="J374" s="147" t="s">
        <v>103</v>
      </c>
      <c r="K374" s="149" t="s">
        <v>1534</v>
      </c>
      <c r="L374" s="148">
        <v>42047</v>
      </c>
      <c r="M374" s="149" t="s">
        <v>950</v>
      </c>
      <c r="N374" s="149" t="s">
        <v>185</v>
      </c>
      <c r="O374" s="148">
        <v>42047</v>
      </c>
      <c r="P374" s="150">
        <f t="shared" si="663"/>
        <v>2</v>
      </c>
      <c r="Q374" s="149" t="s">
        <v>1535</v>
      </c>
      <c r="R374" s="149" t="s">
        <v>17</v>
      </c>
      <c r="S374" s="149" t="s">
        <v>101</v>
      </c>
      <c r="T374" s="149" t="s">
        <v>953</v>
      </c>
      <c r="U374" s="154">
        <v>42053</v>
      </c>
      <c r="V374" s="149" t="s">
        <v>186</v>
      </c>
      <c r="W374" s="153">
        <f t="shared" si="664"/>
        <v>0</v>
      </c>
      <c r="X374" s="153" t="str">
        <f t="shared" si="665"/>
        <v>Correcto</v>
      </c>
    </row>
    <row r="375" spans="1:24" ht="18" customHeight="1" x14ac:dyDescent="0.25">
      <c r="A375" s="172">
        <v>366</v>
      </c>
      <c r="B375" s="145" t="s">
        <v>1536</v>
      </c>
      <c r="C375" s="146">
        <v>42045</v>
      </c>
      <c r="D375" s="147">
        <v>2</v>
      </c>
      <c r="E375" s="147" t="s">
        <v>93</v>
      </c>
      <c r="F375" s="145" t="s">
        <v>827</v>
      </c>
      <c r="G375" s="147" t="s">
        <v>202</v>
      </c>
      <c r="H375" s="148">
        <v>42047</v>
      </c>
      <c r="I375" s="147" t="s">
        <v>187</v>
      </c>
      <c r="J375" s="147" t="s">
        <v>103</v>
      </c>
      <c r="K375" s="149" t="s">
        <v>1537</v>
      </c>
      <c r="L375" s="148">
        <v>42047</v>
      </c>
      <c r="M375" s="149" t="s">
        <v>950</v>
      </c>
      <c r="N375" s="149" t="s">
        <v>185</v>
      </c>
      <c r="O375" s="148">
        <v>42047</v>
      </c>
      <c r="P375" s="150">
        <f t="shared" si="663"/>
        <v>2</v>
      </c>
      <c r="Q375" s="149" t="s">
        <v>1538</v>
      </c>
      <c r="R375" s="149" t="s">
        <v>17</v>
      </c>
      <c r="S375" s="149" t="s">
        <v>101</v>
      </c>
      <c r="T375" s="149" t="s">
        <v>1011</v>
      </c>
      <c r="U375" s="154">
        <v>42053</v>
      </c>
      <c r="V375" s="149" t="s">
        <v>186</v>
      </c>
      <c r="W375" s="153">
        <f t="shared" si="664"/>
        <v>0</v>
      </c>
      <c r="X375" s="153" t="str">
        <f t="shared" si="665"/>
        <v>Correcto</v>
      </c>
    </row>
    <row r="376" spans="1:24" ht="18" customHeight="1" x14ac:dyDescent="0.25">
      <c r="A376" s="172">
        <v>367</v>
      </c>
      <c r="B376" s="145" t="s">
        <v>1539</v>
      </c>
      <c r="C376" s="146">
        <v>42045</v>
      </c>
      <c r="D376" s="147">
        <v>2</v>
      </c>
      <c r="E376" s="147" t="s">
        <v>93</v>
      </c>
      <c r="F376" s="145" t="s">
        <v>827</v>
      </c>
      <c r="G376" s="147" t="s">
        <v>202</v>
      </c>
      <c r="H376" s="148">
        <v>42047</v>
      </c>
      <c r="I376" s="147" t="s">
        <v>187</v>
      </c>
      <c r="J376" s="147" t="s">
        <v>103</v>
      </c>
      <c r="K376" s="149" t="s">
        <v>1540</v>
      </c>
      <c r="L376" s="148">
        <v>42047</v>
      </c>
      <c r="M376" s="149" t="s">
        <v>950</v>
      </c>
      <c r="N376" s="149" t="s">
        <v>185</v>
      </c>
      <c r="O376" s="148">
        <v>42047</v>
      </c>
      <c r="P376" s="150">
        <f t="shared" si="663"/>
        <v>2</v>
      </c>
      <c r="Q376" s="149" t="s">
        <v>1541</v>
      </c>
      <c r="R376" s="149" t="s">
        <v>17</v>
      </c>
      <c r="S376" s="149" t="s">
        <v>101</v>
      </c>
      <c r="T376" s="149" t="s">
        <v>1011</v>
      </c>
      <c r="U376" s="154">
        <v>42053</v>
      </c>
      <c r="V376" s="149" t="s">
        <v>186</v>
      </c>
      <c r="W376" s="153">
        <f t="shared" si="664"/>
        <v>0</v>
      </c>
      <c r="X376" s="153" t="str">
        <f t="shared" si="665"/>
        <v>Correcto</v>
      </c>
    </row>
    <row r="377" spans="1:24" ht="18" customHeight="1" x14ac:dyDescent="0.25">
      <c r="A377" s="172">
        <v>368</v>
      </c>
      <c r="B377" s="145" t="s">
        <v>1542</v>
      </c>
      <c r="C377" s="146">
        <v>42045</v>
      </c>
      <c r="D377" s="147">
        <v>2</v>
      </c>
      <c r="E377" s="147" t="s">
        <v>93</v>
      </c>
      <c r="F377" s="145" t="s">
        <v>827</v>
      </c>
      <c r="G377" s="147" t="s">
        <v>202</v>
      </c>
      <c r="H377" s="148">
        <v>42047</v>
      </c>
      <c r="I377" s="147" t="s">
        <v>187</v>
      </c>
      <c r="J377" s="147" t="s">
        <v>103</v>
      </c>
      <c r="K377" s="149" t="s">
        <v>1543</v>
      </c>
      <c r="L377" s="148">
        <v>42047</v>
      </c>
      <c r="M377" s="149" t="s">
        <v>950</v>
      </c>
      <c r="N377" s="149" t="s">
        <v>185</v>
      </c>
      <c r="O377" s="148">
        <v>42047</v>
      </c>
      <c r="P377" s="150">
        <f t="shared" si="663"/>
        <v>2</v>
      </c>
      <c r="Q377" s="149" t="s">
        <v>1544</v>
      </c>
      <c r="R377" s="149" t="s">
        <v>17</v>
      </c>
      <c r="S377" s="149" t="s">
        <v>101</v>
      </c>
      <c r="T377" s="149" t="s">
        <v>996</v>
      </c>
      <c r="U377" s="154">
        <v>42053</v>
      </c>
      <c r="V377" s="149" t="s">
        <v>186</v>
      </c>
      <c r="W377" s="153">
        <f t="shared" si="664"/>
        <v>0</v>
      </c>
      <c r="X377" s="153" t="str">
        <f t="shared" si="665"/>
        <v>Correcto</v>
      </c>
    </row>
    <row r="378" spans="1:24" ht="18" customHeight="1" x14ac:dyDescent="0.25">
      <c r="A378" s="172">
        <v>369</v>
      </c>
      <c r="B378" s="145" t="s">
        <v>1545</v>
      </c>
      <c r="C378" s="146">
        <v>42045</v>
      </c>
      <c r="D378" s="147">
        <v>2</v>
      </c>
      <c r="E378" s="147" t="s">
        <v>93</v>
      </c>
      <c r="F378" s="145" t="s">
        <v>827</v>
      </c>
      <c r="G378" s="147" t="s">
        <v>202</v>
      </c>
      <c r="H378" s="148">
        <v>42047</v>
      </c>
      <c r="I378" s="147" t="s">
        <v>187</v>
      </c>
      <c r="J378" s="147" t="s">
        <v>103</v>
      </c>
      <c r="K378" s="149" t="s">
        <v>1546</v>
      </c>
      <c r="L378" s="148">
        <v>42047</v>
      </c>
      <c r="M378" s="149" t="s">
        <v>950</v>
      </c>
      <c r="N378" s="149" t="s">
        <v>185</v>
      </c>
      <c r="O378" s="148">
        <v>42047</v>
      </c>
      <c r="P378" s="150">
        <f t="shared" si="663"/>
        <v>2</v>
      </c>
      <c r="Q378" s="149" t="s">
        <v>1547</v>
      </c>
      <c r="R378" s="149" t="s">
        <v>17</v>
      </c>
      <c r="S378" s="149" t="s">
        <v>101</v>
      </c>
      <c r="T378" s="149" t="s">
        <v>1442</v>
      </c>
      <c r="U378" s="154">
        <v>42053</v>
      </c>
      <c r="V378" s="149" t="s">
        <v>186</v>
      </c>
      <c r="W378" s="153">
        <f t="shared" si="664"/>
        <v>0</v>
      </c>
      <c r="X378" s="153" t="str">
        <f t="shared" si="665"/>
        <v>Correcto</v>
      </c>
    </row>
    <row r="379" spans="1:24" ht="18" customHeight="1" x14ac:dyDescent="0.25">
      <c r="A379" s="172">
        <v>370</v>
      </c>
      <c r="B379" s="145" t="s">
        <v>1548</v>
      </c>
      <c r="C379" s="146">
        <v>42045</v>
      </c>
      <c r="D379" s="147">
        <v>2</v>
      </c>
      <c r="E379" s="147" t="s">
        <v>93</v>
      </c>
      <c r="F379" s="145" t="s">
        <v>827</v>
      </c>
      <c r="G379" s="147" t="s">
        <v>202</v>
      </c>
      <c r="H379" s="148">
        <v>42047</v>
      </c>
      <c r="I379" s="147" t="s">
        <v>187</v>
      </c>
      <c r="J379" s="147" t="s">
        <v>103</v>
      </c>
      <c r="K379" s="149" t="s">
        <v>1549</v>
      </c>
      <c r="L379" s="148">
        <v>42047</v>
      </c>
      <c r="M379" s="149" t="s">
        <v>950</v>
      </c>
      <c r="N379" s="149" t="s">
        <v>185</v>
      </c>
      <c r="O379" s="148">
        <v>42047</v>
      </c>
      <c r="P379" s="150">
        <f t="shared" si="663"/>
        <v>2</v>
      </c>
      <c r="Q379" s="149" t="s">
        <v>1550</v>
      </c>
      <c r="R379" s="149" t="s">
        <v>17</v>
      </c>
      <c r="S379" s="149" t="s">
        <v>101</v>
      </c>
      <c r="T379" s="149" t="s">
        <v>1007</v>
      </c>
      <c r="U379" s="154">
        <v>42053</v>
      </c>
      <c r="V379" s="149" t="s">
        <v>186</v>
      </c>
      <c r="W379" s="153">
        <f t="shared" si="664"/>
        <v>0</v>
      </c>
      <c r="X379" s="153" t="str">
        <f t="shared" si="665"/>
        <v>Correcto</v>
      </c>
    </row>
    <row r="380" spans="1:24" ht="18" customHeight="1" x14ac:dyDescent="0.25">
      <c r="A380" s="172">
        <v>371</v>
      </c>
      <c r="B380" s="145" t="s">
        <v>1551</v>
      </c>
      <c r="C380" s="146">
        <v>42045</v>
      </c>
      <c r="D380" s="147">
        <v>2</v>
      </c>
      <c r="E380" s="147" t="s">
        <v>93</v>
      </c>
      <c r="F380" s="145" t="s">
        <v>827</v>
      </c>
      <c r="G380" s="147" t="s">
        <v>202</v>
      </c>
      <c r="H380" s="148">
        <v>42047</v>
      </c>
      <c r="I380" s="147" t="s">
        <v>187</v>
      </c>
      <c r="J380" s="147" t="s">
        <v>103</v>
      </c>
      <c r="K380" s="149" t="s">
        <v>1552</v>
      </c>
      <c r="L380" s="148">
        <v>42047</v>
      </c>
      <c r="M380" s="149" t="s">
        <v>950</v>
      </c>
      <c r="N380" s="149" t="s">
        <v>185</v>
      </c>
      <c r="O380" s="148">
        <v>42047</v>
      </c>
      <c r="P380" s="150">
        <f t="shared" si="663"/>
        <v>2</v>
      </c>
      <c r="Q380" s="149" t="s">
        <v>1553</v>
      </c>
      <c r="R380" s="149" t="s">
        <v>17</v>
      </c>
      <c r="S380" s="149" t="s">
        <v>101</v>
      </c>
      <c r="T380" s="149" t="s">
        <v>996</v>
      </c>
      <c r="U380" s="154">
        <v>42053</v>
      </c>
      <c r="V380" s="149" t="s">
        <v>186</v>
      </c>
      <c r="W380" s="153">
        <f t="shared" si="664"/>
        <v>0</v>
      </c>
      <c r="X380" s="153" t="str">
        <f t="shared" si="665"/>
        <v>Correcto</v>
      </c>
    </row>
    <row r="381" spans="1:24" ht="18" customHeight="1" x14ac:dyDescent="0.25">
      <c r="A381" s="172">
        <v>372</v>
      </c>
      <c r="B381" s="145" t="s">
        <v>1554</v>
      </c>
      <c r="C381" s="146">
        <v>42045</v>
      </c>
      <c r="D381" s="147">
        <v>2</v>
      </c>
      <c r="E381" s="147" t="s">
        <v>93</v>
      </c>
      <c r="F381" s="145" t="s">
        <v>827</v>
      </c>
      <c r="G381" s="147" t="s">
        <v>202</v>
      </c>
      <c r="H381" s="148">
        <v>42047</v>
      </c>
      <c r="I381" s="147" t="s">
        <v>187</v>
      </c>
      <c r="J381" s="147" t="s">
        <v>103</v>
      </c>
      <c r="K381" s="149" t="s">
        <v>1555</v>
      </c>
      <c r="L381" s="148">
        <v>42047</v>
      </c>
      <c r="M381" s="149" t="s">
        <v>950</v>
      </c>
      <c r="N381" s="149" t="s">
        <v>185</v>
      </c>
      <c r="O381" s="148">
        <v>42047</v>
      </c>
      <c r="P381" s="150">
        <f t="shared" si="663"/>
        <v>2</v>
      </c>
      <c r="Q381" s="149" t="s">
        <v>1556</v>
      </c>
      <c r="R381" s="149" t="s">
        <v>17</v>
      </c>
      <c r="S381" s="149" t="s">
        <v>101</v>
      </c>
      <c r="T381" s="149" t="s">
        <v>1011</v>
      </c>
      <c r="U381" s="154">
        <v>42053</v>
      </c>
      <c r="V381" s="149" t="s">
        <v>186</v>
      </c>
      <c r="W381" s="153">
        <f t="shared" si="664"/>
        <v>0</v>
      </c>
      <c r="X381" s="153" t="str">
        <f t="shared" si="665"/>
        <v>Correcto</v>
      </c>
    </row>
    <row r="382" spans="1:24" ht="18" customHeight="1" x14ac:dyDescent="0.25">
      <c r="A382" s="172">
        <v>373</v>
      </c>
      <c r="B382" s="145" t="s">
        <v>1557</v>
      </c>
      <c r="C382" s="146">
        <v>42046</v>
      </c>
      <c r="D382" s="147">
        <v>2</v>
      </c>
      <c r="E382" s="147" t="s">
        <v>93</v>
      </c>
      <c r="F382" s="145" t="s">
        <v>827</v>
      </c>
      <c r="G382" s="147" t="s">
        <v>202</v>
      </c>
      <c r="H382" s="148">
        <v>42048</v>
      </c>
      <c r="I382" s="147" t="s">
        <v>187</v>
      </c>
      <c r="J382" s="147" t="s">
        <v>103</v>
      </c>
      <c r="K382" s="149" t="s">
        <v>1558</v>
      </c>
      <c r="L382" s="148">
        <v>42048</v>
      </c>
      <c r="M382" s="149" t="s">
        <v>1559</v>
      </c>
      <c r="N382" s="149" t="s">
        <v>185</v>
      </c>
      <c r="O382" s="148">
        <v>42048</v>
      </c>
      <c r="P382" s="150">
        <f t="shared" si="663"/>
        <v>2</v>
      </c>
      <c r="Q382" s="149" t="s">
        <v>1558</v>
      </c>
      <c r="R382" s="149" t="s">
        <v>17</v>
      </c>
      <c r="S382" s="149" t="s">
        <v>104</v>
      </c>
      <c r="T382" s="151" t="s">
        <v>1560</v>
      </c>
      <c r="U382" s="154">
        <v>42051</v>
      </c>
      <c r="V382" s="149" t="s">
        <v>186</v>
      </c>
      <c r="W382" s="153">
        <f t="shared" si="664"/>
        <v>0</v>
      </c>
      <c r="X382" s="153" t="str">
        <f t="shared" si="665"/>
        <v>Correcto</v>
      </c>
    </row>
    <row r="383" spans="1:24" ht="18" customHeight="1" x14ac:dyDescent="0.25">
      <c r="A383" s="172">
        <v>374</v>
      </c>
      <c r="B383" s="145" t="s">
        <v>1561</v>
      </c>
      <c r="C383" s="146">
        <v>42046</v>
      </c>
      <c r="D383" s="147">
        <v>2</v>
      </c>
      <c r="E383" s="147" t="s">
        <v>93</v>
      </c>
      <c r="F383" s="145" t="s">
        <v>1122</v>
      </c>
      <c r="G383" s="147" t="s">
        <v>202</v>
      </c>
      <c r="H383" s="148">
        <v>42048</v>
      </c>
      <c r="I383" s="147" t="s">
        <v>187</v>
      </c>
      <c r="J383" s="147" t="s">
        <v>103</v>
      </c>
      <c r="K383" s="149" t="s">
        <v>1562</v>
      </c>
      <c r="L383" s="148">
        <v>42048</v>
      </c>
      <c r="M383" s="149" t="s">
        <v>1559</v>
      </c>
      <c r="N383" s="149" t="s">
        <v>185</v>
      </c>
      <c r="O383" s="148">
        <v>42053</v>
      </c>
      <c r="P383" s="150">
        <f t="shared" si="663"/>
        <v>7</v>
      </c>
      <c r="Q383" s="149" t="s">
        <v>1563</v>
      </c>
      <c r="R383" s="149" t="s">
        <v>17</v>
      </c>
      <c r="S383" s="149" t="s">
        <v>1564</v>
      </c>
      <c r="T383" s="151" t="s">
        <v>1565</v>
      </c>
      <c r="U383" s="154">
        <v>42053</v>
      </c>
      <c r="V383" s="149" t="s">
        <v>186</v>
      </c>
      <c r="W383" s="153">
        <f t="shared" si="664"/>
        <v>0</v>
      </c>
      <c r="X383" s="153" t="str">
        <f t="shared" si="665"/>
        <v>Correcto</v>
      </c>
    </row>
    <row r="384" spans="1:24" ht="18" customHeight="1" x14ac:dyDescent="0.25">
      <c r="A384" s="172">
        <v>375</v>
      </c>
      <c r="B384" s="145" t="s">
        <v>1566</v>
      </c>
      <c r="C384" s="146">
        <v>42046</v>
      </c>
      <c r="D384" s="147">
        <v>2</v>
      </c>
      <c r="E384" s="147" t="s">
        <v>93</v>
      </c>
      <c r="F384" s="145" t="s">
        <v>827</v>
      </c>
      <c r="G384" s="147" t="s">
        <v>202</v>
      </c>
      <c r="H384" s="148">
        <v>42048</v>
      </c>
      <c r="I384" s="147" t="s">
        <v>187</v>
      </c>
      <c r="J384" s="147" t="s">
        <v>103</v>
      </c>
      <c r="K384" s="149" t="s">
        <v>1567</v>
      </c>
      <c r="L384" s="148">
        <v>42048</v>
      </c>
      <c r="M384" s="149" t="s">
        <v>1559</v>
      </c>
      <c r="N384" s="149" t="s">
        <v>185</v>
      </c>
      <c r="O384" s="148">
        <v>42048</v>
      </c>
      <c r="P384" s="150">
        <f t="shared" si="663"/>
        <v>2</v>
      </c>
      <c r="Q384" s="149" t="s">
        <v>1568</v>
      </c>
      <c r="R384" s="149" t="s">
        <v>17</v>
      </c>
      <c r="S384" s="149" t="s">
        <v>1569</v>
      </c>
      <c r="T384" s="151" t="s">
        <v>1570</v>
      </c>
      <c r="U384" s="154">
        <v>42053</v>
      </c>
      <c r="V384" s="149" t="s">
        <v>186</v>
      </c>
      <c r="W384" s="153">
        <f t="shared" si="664"/>
        <v>0</v>
      </c>
      <c r="X384" s="153" t="str">
        <f t="shared" si="665"/>
        <v>Correcto</v>
      </c>
    </row>
    <row r="385" spans="1:24" ht="18" customHeight="1" x14ac:dyDescent="0.25">
      <c r="A385" s="172">
        <v>376</v>
      </c>
      <c r="B385" s="145" t="s">
        <v>1571</v>
      </c>
      <c r="C385" s="146">
        <v>42046</v>
      </c>
      <c r="D385" s="147">
        <v>2</v>
      </c>
      <c r="E385" s="147" t="s">
        <v>93</v>
      </c>
      <c r="F385" s="145" t="s">
        <v>1122</v>
      </c>
      <c r="G385" s="147" t="s">
        <v>202</v>
      </c>
      <c r="H385" s="148">
        <v>42053</v>
      </c>
      <c r="I385" s="147" t="s">
        <v>187</v>
      </c>
      <c r="J385" s="147" t="s">
        <v>103</v>
      </c>
      <c r="K385" s="149" t="s">
        <v>1572</v>
      </c>
      <c r="L385" s="148">
        <v>42053</v>
      </c>
      <c r="M385" s="149" t="s">
        <v>1559</v>
      </c>
      <c r="N385" s="149" t="s">
        <v>185</v>
      </c>
      <c r="O385" s="148">
        <v>42054</v>
      </c>
      <c r="P385" s="150">
        <f t="shared" si="663"/>
        <v>8</v>
      </c>
      <c r="Q385" s="149" t="s">
        <v>1573</v>
      </c>
      <c r="R385" s="149" t="s">
        <v>17</v>
      </c>
      <c r="S385" s="149" t="s">
        <v>1574</v>
      </c>
      <c r="T385" s="149" t="s">
        <v>1575</v>
      </c>
      <c r="U385" s="154">
        <v>42055</v>
      </c>
      <c r="V385" s="149" t="s">
        <v>186</v>
      </c>
      <c r="W385" s="153">
        <f t="shared" si="664"/>
        <v>0</v>
      </c>
      <c r="X385" s="153" t="str">
        <f t="shared" si="665"/>
        <v>Correcto</v>
      </c>
    </row>
    <row r="386" spans="1:24" ht="18" customHeight="1" x14ac:dyDescent="0.25">
      <c r="A386" s="172">
        <v>377</v>
      </c>
      <c r="B386" s="145" t="s">
        <v>1576</v>
      </c>
      <c r="C386" s="146">
        <v>42046</v>
      </c>
      <c r="D386" s="147">
        <v>14</v>
      </c>
      <c r="E386" s="147" t="s">
        <v>93</v>
      </c>
      <c r="F386" s="145" t="s">
        <v>950</v>
      </c>
      <c r="G386" s="147" t="s">
        <v>202</v>
      </c>
      <c r="H386" s="148">
        <v>42048</v>
      </c>
      <c r="I386" s="147" t="s">
        <v>187</v>
      </c>
      <c r="J386" s="147" t="s">
        <v>103</v>
      </c>
      <c r="K386" s="149" t="s">
        <v>1577</v>
      </c>
      <c r="L386" s="148">
        <v>42048</v>
      </c>
      <c r="M386" s="149" t="s">
        <v>950</v>
      </c>
      <c r="N386" s="149" t="s">
        <v>185</v>
      </c>
      <c r="O386" s="148">
        <v>42048</v>
      </c>
      <c r="P386" s="150">
        <f t="shared" si="663"/>
        <v>2</v>
      </c>
      <c r="Q386" s="149" t="s">
        <v>1577</v>
      </c>
      <c r="R386" s="149" t="s">
        <v>17</v>
      </c>
      <c r="S386" s="149" t="s">
        <v>104</v>
      </c>
      <c r="T386" s="151" t="s">
        <v>1578</v>
      </c>
      <c r="U386" s="154">
        <v>42051</v>
      </c>
      <c r="V386" s="149" t="s">
        <v>186</v>
      </c>
      <c r="W386" s="153">
        <f t="shared" si="664"/>
        <v>0</v>
      </c>
      <c r="X386" s="153" t="str">
        <f t="shared" si="665"/>
        <v>Correcto</v>
      </c>
    </row>
    <row r="387" spans="1:24" ht="18" customHeight="1" x14ac:dyDescent="0.25">
      <c r="A387" s="172">
        <v>378</v>
      </c>
      <c r="B387" s="145" t="s">
        <v>1579</v>
      </c>
      <c r="C387" s="146">
        <v>42046</v>
      </c>
      <c r="D387" s="147">
        <v>2</v>
      </c>
      <c r="E387" s="147" t="s">
        <v>93</v>
      </c>
      <c r="F387" s="145" t="s">
        <v>1122</v>
      </c>
      <c r="G387" s="147" t="s">
        <v>202</v>
      </c>
      <c r="H387" s="148">
        <v>42053</v>
      </c>
      <c r="I387" s="147" t="s">
        <v>187</v>
      </c>
      <c r="J387" s="147" t="s">
        <v>103</v>
      </c>
      <c r="K387" s="149" t="s">
        <v>1580</v>
      </c>
      <c r="L387" s="148">
        <v>42053</v>
      </c>
      <c r="M387" s="149" t="s">
        <v>1559</v>
      </c>
      <c r="N387" s="149" t="s">
        <v>185</v>
      </c>
      <c r="O387" s="148">
        <v>42054</v>
      </c>
      <c r="P387" s="150">
        <f t="shared" si="663"/>
        <v>8</v>
      </c>
      <c r="Q387" s="149" t="s">
        <v>1581</v>
      </c>
      <c r="R387" s="149" t="s">
        <v>17</v>
      </c>
      <c r="S387" s="149" t="s">
        <v>101</v>
      </c>
      <c r="T387" s="149" t="s">
        <v>1582</v>
      </c>
      <c r="U387" s="154">
        <v>42055</v>
      </c>
      <c r="V387" s="149" t="s">
        <v>186</v>
      </c>
      <c r="W387" s="153">
        <f t="shared" si="664"/>
        <v>0</v>
      </c>
      <c r="X387" s="153" t="str">
        <f t="shared" si="665"/>
        <v>Correcto</v>
      </c>
    </row>
    <row r="388" spans="1:24" ht="18" customHeight="1" x14ac:dyDescent="0.25">
      <c r="A388" s="172">
        <v>379</v>
      </c>
      <c r="B388" s="145" t="s">
        <v>1583</v>
      </c>
      <c r="C388" s="146">
        <v>42046</v>
      </c>
      <c r="D388" s="147">
        <v>2</v>
      </c>
      <c r="E388" s="147" t="s">
        <v>93</v>
      </c>
      <c r="F388" s="145" t="s">
        <v>1122</v>
      </c>
      <c r="G388" s="147" t="s">
        <v>202</v>
      </c>
      <c r="H388" s="148">
        <v>42053</v>
      </c>
      <c r="I388" s="147" t="s">
        <v>187</v>
      </c>
      <c r="J388" s="147" t="s">
        <v>103</v>
      </c>
      <c r="K388" s="149" t="s">
        <v>1584</v>
      </c>
      <c r="L388" s="148">
        <v>42053</v>
      </c>
      <c r="M388" s="149" t="s">
        <v>1559</v>
      </c>
      <c r="N388" s="149" t="s">
        <v>185</v>
      </c>
      <c r="O388" s="148">
        <v>42054</v>
      </c>
      <c r="P388" s="150">
        <f t="shared" si="663"/>
        <v>8</v>
      </c>
      <c r="Q388" s="149" t="s">
        <v>1585</v>
      </c>
      <c r="R388" s="149" t="s">
        <v>17</v>
      </c>
      <c r="S388" s="149" t="s">
        <v>101</v>
      </c>
      <c r="T388" s="149" t="s">
        <v>1586</v>
      </c>
      <c r="U388" s="154">
        <v>42055</v>
      </c>
      <c r="V388" s="149" t="s">
        <v>186</v>
      </c>
      <c r="W388" s="153">
        <f t="shared" si="664"/>
        <v>0</v>
      </c>
      <c r="X388" s="153" t="str">
        <f t="shared" si="665"/>
        <v>Correcto</v>
      </c>
    </row>
    <row r="389" spans="1:24" ht="18" customHeight="1" x14ac:dyDescent="0.25">
      <c r="A389" s="172">
        <v>380</v>
      </c>
      <c r="B389" s="145" t="s">
        <v>1587</v>
      </c>
      <c r="C389" s="146">
        <v>42046</v>
      </c>
      <c r="D389" s="147">
        <v>2</v>
      </c>
      <c r="E389" s="147" t="s">
        <v>93</v>
      </c>
      <c r="F389" s="145" t="s">
        <v>827</v>
      </c>
      <c r="G389" s="147" t="s">
        <v>202</v>
      </c>
      <c r="H389" s="148">
        <v>42047</v>
      </c>
      <c r="I389" s="147" t="s">
        <v>187</v>
      </c>
      <c r="J389" s="147" t="s">
        <v>103</v>
      </c>
      <c r="K389" s="149" t="s">
        <v>1588</v>
      </c>
      <c r="L389" s="148">
        <v>42047</v>
      </c>
      <c r="M389" s="149" t="s">
        <v>950</v>
      </c>
      <c r="N389" s="149" t="s">
        <v>185</v>
      </c>
      <c r="O389" s="148">
        <v>42047</v>
      </c>
      <c r="P389" s="150">
        <f t="shared" si="663"/>
        <v>1</v>
      </c>
      <c r="Q389" s="149" t="s">
        <v>1588</v>
      </c>
      <c r="R389" s="149" t="s">
        <v>605</v>
      </c>
      <c r="S389" s="149" t="s">
        <v>101</v>
      </c>
      <c r="T389" s="151" t="s">
        <v>1384</v>
      </c>
      <c r="U389" s="154">
        <v>42047</v>
      </c>
      <c r="V389" s="149" t="s">
        <v>186</v>
      </c>
      <c r="W389" s="153">
        <f t="shared" si="664"/>
        <v>0</v>
      </c>
      <c r="X389" s="153" t="str">
        <f t="shared" si="665"/>
        <v>Correcto</v>
      </c>
    </row>
    <row r="390" spans="1:24" ht="18" customHeight="1" x14ac:dyDescent="0.25">
      <c r="A390" s="172">
        <v>381</v>
      </c>
      <c r="B390" s="145" t="s">
        <v>1589</v>
      </c>
      <c r="C390" s="146">
        <v>42046</v>
      </c>
      <c r="D390" s="147">
        <v>2</v>
      </c>
      <c r="E390" s="147" t="s">
        <v>93</v>
      </c>
      <c r="F390" s="145" t="s">
        <v>1122</v>
      </c>
      <c r="G390" s="147" t="s">
        <v>202</v>
      </c>
      <c r="H390" s="148">
        <v>42048</v>
      </c>
      <c r="I390" s="147" t="s">
        <v>187</v>
      </c>
      <c r="J390" s="147" t="s">
        <v>103</v>
      </c>
      <c r="K390" s="149" t="s">
        <v>1590</v>
      </c>
      <c r="L390" s="148">
        <v>42048</v>
      </c>
      <c r="M390" s="149" t="s">
        <v>950</v>
      </c>
      <c r="N390" s="149" t="s">
        <v>185</v>
      </c>
      <c r="O390" s="148">
        <v>42053</v>
      </c>
      <c r="P390" s="150">
        <f t="shared" si="663"/>
        <v>7</v>
      </c>
      <c r="Q390" s="149" t="s">
        <v>1591</v>
      </c>
      <c r="R390" s="149" t="s">
        <v>605</v>
      </c>
      <c r="S390" s="149" t="s">
        <v>101</v>
      </c>
      <c r="T390" s="151" t="s">
        <v>1592</v>
      </c>
      <c r="U390" s="154">
        <v>42054</v>
      </c>
      <c r="V390" s="149" t="s">
        <v>186</v>
      </c>
      <c r="W390" s="153">
        <f t="shared" si="664"/>
        <v>0</v>
      </c>
      <c r="X390" s="153" t="str">
        <f t="shared" si="665"/>
        <v>Correcto</v>
      </c>
    </row>
    <row r="391" spans="1:24" ht="18" customHeight="1" x14ac:dyDescent="0.25">
      <c r="A391" s="172">
        <v>382</v>
      </c>
      <c r="B391" s="145" t="s">
        <v>1593</v>
      </c>
      <c r="C391" s="146">
        <v>42047</v>
      </c>
      <c r="D391" s="147">
        <v>2</v>
      </c>
      <c r="E391" s="147" t="s">
        <v>93</v>
      </c>
      <c r="F391" s="145" t="s">
        <v>1122</v>
      </c>
      <c r="G391" s="147" t="s">
        <v>202</v>
      </c>
      <c r="H391" s="148">
        <v>42047</v>
      </c>
      <c r="I391" s="147" t="s">
        <v>187</v>
      </c>
      <c r="J391" s="147" t="s">
        <v>103</v>
      </c>
      <c r="K391" s="149" t="s">
        <v>1594</v>
      </c>
      <c r="L391" s="148">
        <v>42047</v>
      </c>
      <c r="M391" s="149" t="s">
        <v>1559</v>
      </c>
      <c r="N391" s="149" t="s">
        <v>185</v>
      </c>
      <c r="O391" s="148">
        <v>42053</v>
      </c>
      <c r="P391" s="150">
        <f t="shared" si="663"/>
        <v>6</v>
      </c>
      <c r="Q391" s="149" t="s">
        <v>1595</v>
      </c>
      <c r="R391" s="149" t="s">
        <v>17</v>
      </c>
      <c r="S391" s="149" t="s">
        <v>101</v>
      </c>
      <c r="T391" s="149" t="s">
        <v>1596</v>
      </c>
      <c r="U391" s="154">
        <v>42055</v>
      </c>
      <c r="V391" s="149" t="s">
        <v>186</v>
      </c>
      <c r="W391" s="153">
        <f t="shared" si="664"/>
        <v>0</v>
      </c>
      <c r="X391" s="153" t="str">
        <f t="shared" si="665"/>
        <v>Correcto</v>
      </c>
    </row>
    <row r="392" spans="1:24" ht="18" customHeight="1" x14ac:dyDescent="0.25">
      <c r="A392" s="172">
        <v>383</v>
      </c>
      <c r="B392" s="145" t="s">
        <v>1597</v>
      </c>
      <c r="C392" s="146">
        <v>42047</v>
      </c>
      <c r="D392" s="147">
        <v>2</v>
      </c>
      <c r="E392" s="147" t="s">
        <v>93</v>
      </c>
      <c r="F392" s="145" t="s">
        <v>1122</v>
      </c>
      <c r="G392" s="147" t="s">
        <v>202</v>
      </c>
      <c r="H392" s="148">
        <v>42047</v>
      </c>
      <c r="I392" s="147" t="s">
        <v>187</v>
      </c>
      <c r="J392" s="147" t="s">
        <v>103</v>
      </c>
      <c r="K392" s="149" t="s">
        <v>1598</v>
      </c>
      <c r="L392" s="148">
        <v>42047</v>
      </c>
      <c r="M392" s="149" t="s">
        <v>1559</v>
      </c>
      <c r="N392" s="149" t="s">
        <v>185</v>
      </c>
      <c r="O392" s="148">
        <v>42053</v>
      </c>
      <c r="P392" s="150">
        <f t="shared" si="663"/>
        <v>6</v>
      </c>
      <c r="Q392" s="149" t="s">
        <v>1599</v>
      </c>
      <c r="R392" s="149" t="s">
        <v>17</v>
      </c>
      <c r="S392" s="149" t="s">
        <v>101</v>
      </c>
      <c r="T392" s="149" t="s">
        <v>1600</v>
      </c>
      <c r="U392" s="154">
        <v>42055</v>
      </c>
      <c r="V392" s="149" t="s">
        <v>186</v>
      </c>
      <c r="W392" s="153">
        <f t="shared" si="664"/>
        <v>0</v>
      </c>
      <c r="X392" s="153" t="str">
        <f t="shared" si="665"/>
        <v>Correcto</v>
      </c>
    </row>
    <row r="393" spans="1:24" ht="18" customHeight="1" x14ac:dyDescent="0.25">
      <c r="A393" s="172">
        <v>384</v>
      </c>
      <c r="B393" s="145" t="s">
        <v>1601</v>
      </c>
      <c r="C393" s="146">
        <v>42047</v>
      </c>
      <c r="D393" s="147">
        <v>2</v>
      </c>
      <c r="E393" s="147" t="s">
        <v>93</v>
      </c>
      <c r="F393" s="145" t="s">
        <v>1122</v>
      </c>
      <c r="G393" s="147" t="s">
        <v>202</v>
      </c>
      <c r="H393" s="148">
        <v>42047</v>
      </c>
      <c r="I393" s="147" t="s">
        <v>187</v>
      </c>
      <c r="J393" s="147" t="s">
        <v>103</v>
      </c>
      <c r="K393" s="149" t="s">
        <v>1602</v>
      </c>
      <c r="L393" s="148">
        <v>42047</v>
      </c>
      <c r="M393" s="149" t="s">
        <v>1559</v>
      </c>
      <c r="N393" s="149" t="s">
        <v>185</v>
      </c>
      <c r="O393" s="148">
        <v>42053</v>
      </c>
      <c r="P393" s="150">
        <f t="shared" ref="P393:P456" si="666">O393-C393</f>
        <v>6</v>
      </c>
      <c r="Q393" s="149" t="s">
        <v>1603</v>
      </c>
      <c r="R393" s="149" t="s">
        <v>17</v>
      </c>
      <c r="S393" s="149" t="s">
        <v>101</v>
      </c>
      <c r="T393" s="149" t="s">
        <v>1604</v>
      </c>
      <c r="U393" s="154">
        <v>42055</v>
      </c>
      <c r="V393" s="149" t="s">
        <v>186</v>
      </c>
      <c r="W393" s="153">
        <f t="shared" ref="W393:W456" si="667">COUNTBLANK(C393:V393)</f>
        <v>0</v>
      </c>
      <c r="X393" s="153" t="str">
        <f t="shared" ref="X393:X456" si="668">IF(W393=0,"Correcto","Incorrecto")</f>
        <v>Correcto</v>
      </c>
    </row>
    <row r="394" spans="1:24" ht="18" customHeight="1" x14ac:dyDescent="0.25">
      <c r="A394" s="172">
        <v>385</v>
      </c>
      <c r="B394" s="145" t="s">
        <v>1605</v>
      </c>
      <c r="C394" s="146">
        <v>42047</v>
      </c>
      <c r="D394" s="147">
        <v>2</v>
      </c>
      <c r="E394" s="147" t="s">
        <v>93</v>
      </c>
      <c r="F394" s="145" t="s">
        <v>827</v>
      </c>
      <c r="G394" s="147" t="s">
        <v>202</v>
      </c>
      <c r="H394" s="148">
        <v>42047</v>
      </c>
      <c r="I394" s="147" t="s">
        <v>187</v>
      </c>
      <c r="J394" s="147" t="s">
        <v>103</v>
      </c>
      <c r="K394" s="149" t="s">
        <v>1606</v>
      </c>
      <c r="L394" s="148">
        <v>42047</v>
      </c>
      <c r="M394" s="149" t="s">
        <v>1559</v>
      </c>
      <c r="N394" s="149" t="s">
        <v>185</v>
      </c>
      <c r="O394" s="148">
        <v>42048</v>
      </c>
      <c r="P394" s="150">
        <f t="shared" si="666"/>
        <v>1</v>
      </c>
      <c r="Q394" s="149" t="s">
        <v>1607</v>
      </c>
      <c r="R394" s="149" t="s">
        <v>17</v>
      </c>
      <c r="S394" s="149" t="s">
        <v>101</v>
      </c>
      <c r="T394" s="149" t="s">
        <v>1608</v>
      </c>
      <c r="U394" s="154">
        <v>42053</v>
      </c>
      <c r="V394" s="149" t="s">
        <v>186</v>
      </c>
      <c r="W394" s="153">
        <f t="shared" si="667"/>
        <v>0</v>
      </c>
      <c r="X394" s="153" t="str">
        <f t="shared" si="668"/>
        <v>Correcto</v>
      </c>
    </row>
    <row r="395" spans="1:24" ht="18" customHeight="1" x14ac:dyDescent="0.25">
      <c r="A395" s="172">
        <v>386</v>
      </c>
      <c r="B395" s="145" t="s">
        <v>1609</v>
      </c>
      <c r="C395" s="146">
        <v>42047</v>
      </c>
      <c r="D395" s="147">
        <v>2</v>
      </c>
      <c r="E395" s="147" t="s">
        <v>93</v>
      </c>
      <c r="F395" s="145" t="s">
        <v>827</v>
      </c>
      <c r="G395" s="147" t="s">
        <v>202</v>
      </c>
      <c r="H395" s="148">
        <v>42047</v>
      </c>
      <c r="I395" s="147" t="s">
        <v>187</v>
      </c>
      <c r="J395" s="147" t="s">
        <v>103</v>
      </c>
      <c r="K395" s="149" t="s">
        <v>1610</v>
      </c>
      <c r="L395" s="148">
        <v>42047</v>
      </c>
      <c r="M395" s="149" t="s">
        <v>1559</v>
      </c>
      <c r="N395" s="149" t="s">
        <v>185</v>
      </c>
      <c r="O395" s="148">
        <v>42048</v>
      </c>
      <c r="P395" s="150">
        <f t="shared" si="666"/>
        <v>1</v>
      </c>
      <c r="Q395" s="149" t="s">
        <v>1611</v>
      </c>
      <c r="R395" s="149" t="s">
        <v>977</v>
      </c>
      <c r="S395" s="149" t="s">
        <v>101</v>
      </c>
      <c r="T395" s="151" t="s">
        <v>1612</v>
      </c>
      <c r="U395" s="154">
        <v>42048</v>
      </c>
      <c r="V395" s="149" t="s">
        <v>186</v>
      </c>
      <c r="W395" s="153">
        <f t="shared" si="667"/>
        <v>0</v>
      </c>
      <c r="X395" s="153" t="str">
        <f t="shared" si="668"/>
        <v>Correcto</v>
      </c>
    </row>
    <row r="396" spans="1:24" ht="18" customHeight="1" x14ac:dyDescent="0.25">
      <c r="A396" s="172">
        <v>387</v>
      </c>
      <c r="B396" s="145" t="s">
        <v>1613</v>
      </c>
      <c r="C396" s="146">
        <v>42047</v>
      </c>
      <c r="D396" s="147">
        <v>2</v>
      </c>
      <c r="E396" s="147" t="s">
        <v>93</v>
      </c>
      <c r="F396" s="145" t="s">
        <v>827</v>
      </c>
      <c r="G396" s="147" t="s">
        <v>202</v>
      </c>
      <c r="H396" s="148">
        <v>42047</v>
      </c>
      <c r="I396" s="147" t="s">
        <v>187</v>
      </c>
      <c r="J396" s="147" t="s">
        <v>103</v>
      </c>
      <c r="K396" s="149" t="s">
        <v>1614</v>
      </c>
      <c r="L396" s="148">
        <v>42047</v>
      </c>
      <c r="M396" s="149" t="s">
        <v>1559</v>
      </c>
      <c r="N396" s="149" t="s">
        <v>185</v>
      </c>
      <c r="O396" s="148">
        <v>42048</v>
      </c>
      <c r="P396" s="150">
        <f t="shared" si="666"/>
        <v>1</v>
      </c>
      <c r="Q396" s="149" t="s">
        <v>1615</v>
      </c>
      <c r="R396" s="149" t="s">
        <v>17</v>
      </c>
      <c r="S396" s="149" t="s">
        <v>101</v>
      </c>
      <c r="T396" s="149" t="s">
        <v>1008</v>
      </c>
      <c r="U396" s="154">
        <v>42053</v>
      </c>
      <c r="V396" s="149" t="s">
        <v>186</v>
      </c>
      <c r="W396" s="153">
        <f t="shared" si="667"/>
        <v>0</v>
      </c>
      <c r="X396" s="153" t="str">
        <f t="shared" si="668"/>
        <v>Correcto</v>
      </c>
    </row>
    <row r="397" spans="1:24" ht="18" customHeight="1" x14ac:dyDescent="0.25">
      <c r="A397" s="172">
        <v>388</v>
      </c>
      <c r="B397" s="145" t="s">
        <v>1616</v>
      </c>
      <c r="C397" s="146">
        <v>42047</v>
      </c>
      <c r="D397" s="147">
        <v>2</v>
      </c>
      <c r="E397" s="147" t="s">
        <v>93</v>
      </c>
      <c r="F397" s="145" t="s">
        <v>827</v>
      </c>
      <c r="G397" s="147" t="s">
        <v>202</v>
      </c>
      <c r="H397" s="148">
        <v>42047</v>
      </c>
      <c r="I397" s="147" t="s">
        <v>187</v>
      </c>
      <c r="J397" s="147" t="s">
        <v>103</v>
      </c>
      <c r="K397" s="149" t="s">
        <v>1617</v>
      </c>
      <c r="L397" s="148">
        <v>42047</v>
      </c>
      <c r="M397" s="149" t="s">
        <v>1559</v>
      </c>
      <c r="N397" s="149" t="s">
        <v>185</v>
      </c>
      <c r="O397" s="148">
        <v>42048</v>
      </c>
      <c r="P397" s="150">
        <f t="shared" si="666"/>
        <v>1</v>
      </c>
      <c r="Q397" s="149" t="s">
        <v>1618</v>
      </c>
      <c r="R397" s="149" t="s">
        <v>17</v>
      </c>
      <c r="S397" s="149" t="s">
        <v>101</v>
      </c>
      <c r="T397" s="149" t="s">
        <v>996</v>
      </c>
      <c r="U397" s="154">
        <v>42053</v>
      </c>
      <c r="V397" s="149" t="s">
        <v>186</v>
      </c>
      <c r="W397" s="153">
        <f t="shared" si="667"/>
        <v>0</v>
      </c>
      <c r="X397" s="153" t="str">
        <f t="shared" si="668"/>
        <v>Correcto</v>
      </c>
    </row>
    <row r="398" spans="1:24" ht="18" customHeight="1" x14ac:dyDescent="0.25">
      <c r="A398" s="172">
        <v>389</v>
      </c>
      <c r="B398" s="145" t="s">
        <v>1619</v>
      </c>
      <c r="C398" s="146">
        <v>42047</v>
      </c>
      <c r="D398" s="147">
        <v>2</v>
      </c>
      <c r="E398" s="147" t="s">
        <v>93</v>
      </c>
      <c r="F398" s="145" t="s">
        <v>1122</v>
      </c>
      <c r="G398" s="147" t="s">
        <v>202</v>
      </c>
      <c r="H398" s="148">
        <v>42053</v>
      </c>
      <c r="I398" s="147" t="s">
        <v>187</v>
      </c>
      <c r="J398" s="147" t="s">
        <v>103</v>
      </c>
      <c r="K398" s="149" t="s">
        <v>1620</v>
      </c>
      <c r="L398" s="148">
        <v>42053</v>
      </c>
      <c r="M398" s="149" t="s">
        <v>1559</v>
      </c>
      <c r="N398" s="149" t="s">
        <v>185</v>
      </c>
      <c r="O398" s="148">
        <v>42054</v>
      </c>
      <c r="P398" s="150">
        <f t="shared" si="666"/>
        <v>7</v>
      </c>
      <c r="Q398" s="149" t="s">
        <v>1621</v>
      </c>
      <c r="R398" s="149" t="s">
        <v>17</v>
      </c>
      <c r="S398" s="149" t="s">
        <v>101</v>
      </c>
      <c r="T398" s="149" t="s">
        <v>1604</v>
      </c>
      <c r="U398" s="154">
        <v>42055</v>
      </c>
      <c r="V398" s="149" t="s">
        <v>186</v>
      </c>
      <c r="W398" s="153">
        <f t="shared" si="667"/>
        <v>0</v>
      </c>
      <c r="X398" s="153" t="str">
        <f t="shared" si="668"/>
        <v>Correcto</v>
      </c>
    </row>
    <row r="399" spans="1:24" ht="18" customHeight="1" x14ac:dyDescent="0.25">
      <c r="A399" s="172">
        <v>390</v>
      </c>
      <c r="B399" s="145" t="s">
        <v>1622</v>
      </c>
      <c r="C399" s="146">
        <v>42047</v>
      </c>
      <c r="D399" s="147">
        <v>2</v>
      </c>
      <c r="E399" s="147" t="s">
        <v>93</v>
      </c>
      <c r="F399" s="145" t="s">
        <v>827</v>
      </c>
      <c r="G399" s="147" t="s">
        <v>202</v>
      </c>
      <c r="H399" s="148">
        <v>42047</v>
      </c>
      <c r="I399" s="147" t="s">
        <v>187</v>
      </c>
      <c r="J399" s="147" t="s">
        <v>103</v>
      </c>
      <c r="K399" s="149" t="s">
        <v>1623</v>
      </c>
      <c r="L399" s="148">
        <v>42047</v>
      </c>
      <c r="M399" s="149" t="s">
        <v>1559</v>
      </c>
      <c r="N399" s="149" t="s">
        <v>185</v>
      </c>
      <c r="O399" s="148">
        <v>42048</v>
      </c>
      <c r="P399" s="150">
        <f t="shared" si="666"/>
        <v>1</v>
      </c>
      <c r="Q399" s="149" t="s">
        <v>1624</v>
      </c>
      <c r="R399" s="149" t="s">
        <v>17</v>
      </c>
      <c r="S399" s="149" t="s">
        <v>101</v>
      </c>
      <c r="T399" s="149" t="s">
        <v>996</v>
      </c>
      <c r="U399" s="154">
        <v>42053</v>
      </c>
      <c r="V399" s="149" t="s">
        <v>186</v>
      </c>
      <c r="W399" s="153">
        <f t="shared" si="667"/>
        <v>0</v>
      </c>
      <c r="X399" s="153" t="str">
        <f t="shared" si="668"/>
        <v>Correcto</v>
      </c>
    </row>
    <row r="400" spans="1:24" ht="18" customHeight="1" x14ac:dyDescent="0.25">
      <c r="A400" s="172">
        <v>391</v>
      </c>
      <c r="B400" s="145" t="s">
        <v>1625</v>
      </c>
      <c r="C400" s="146">
        <v>42047</v>
      </c>
      <c r="D400" s="147">
        <v>8</v>
      </c>
      <c r="E400" s="147" t="s">
        <v>93</v>
      </c>
      <c r="F400" s="145" t="s">
        <v>1122</v>
      </c>
      <c r="G400" s="147" t="s">
        <v>202</v>
      </c>
      <c r="H400" s="148">
        <v>42047</v>
      </c>
      <c r="I400" s="147" t="s">
        <v>187</v>
      </c>
      <c r="J400" s="147" t="s">
        <v>103</v>
      </c>
      <c r="K400" s="149" t="s">
        <v>1626</v>
      </c>
      <c r="L400" s="148">
        <v>42047</v>
      </c>
      <c r="M400" s="149" t="s">
        <v>1559</v>
      </c>
      <c r="N400" s="149" t="s">
        <v>185</v>
      </c>
      <c r="O400" s="148">
        <v>42053</v>
      </c>
      <c r="P400" s="150">
        <f t="shared" si="666"/>
        <v>6</v>
      </c>
      <c r="Q400" s="149" t="s">
        <v>1627</v>
      </c>
      <c r="R400" s="149" t="s">
        <v>17</v>
      </c>
      <c r="S400" s="149" t="s">
        <v>101</v>
      </c>
      <c r="T400" s="149" t="s">
        <v>1628</v>
      </c>
      <c r="U400" s="154">
        <v>42053</v>
      </c>
      <c r="V400" s="149" t="s">
        <v>186</v>
      </c>
      <c r="W400" s="153">
        <f t="shared" si="667"/>
        <v>0</v>
      </c>
      <c r="X400" s="153" t="str">
        <f t="shared" si="668"/>
        <v>Correcto</v>
      </c>
    </row>
    <row r="401" spans="1:24" ht="18" customHeight="1" x14ac:dyDescent="0.25">
      <c r="A401" s="172">
        <v>392</v>
      </c>
      <c r="B401" s="145" t="s">
        <v>1629</v>
      </c>
      <c r="C401" s="146">
        <v>42047</v>
      </c>
      <c r="D401" s="147">
        <v>2</v>
      </c>
      <c r="E401" s="147" t="s">
        <v>93</v>
      </c>
      <c r="F401" s="145" t="s">
        <v>1122</v>
      </c>
      <c r="G401" s="147" t="s">
        <v>202</v>
      </c>
      <c r="H401" s="148">
        <v>42048</v>
      </c>
      <c r="I401" s="147" t="s">
        <v>187</v>
      </c>
      <c r="J401" s="147" t="s">
        <v>103</v>
      </c>
      <c r="K401" s="149" t="s">
        <v>1630</v>
      </c>
      <c r="L401" s="148">
        <v>42048</v>
      </c>
      <c r="M401" s="149" t="s">
        <v>950</v>
      </c>
      <c r="N401" s="149" t="s">
        <v>185</v>
      </c>
      <c r="O401" s="148">
        <v>42053</v>
      </c>
      <c r="P401" s="150">
        <f t="shared" si="666"/>
        <v>6</v>
      </c>
      <c r="Q401" s="149" t="s">
        <v>1631</v>
      </c>
      <c r="R401" s="149" t="s">
        <v>17</v>
      </c>
      <c r="S401" s="149" t="s">
        <v>101</v>
      </c>
      <c r="T401" s="149" t="s">
        <v>1628</v>
      </c>
      <c r="U401" s="154">
        <v>42053</v>
      </c>
      <c r="V401" s="149" t="s">
        <v>186</v>
      </c>
      <c r="W401" s="153">
        <f t="shared" si="667"/>
        <v>0</v>
      </c>
      <c r="X401" s="153" t="str">
        <f t="shared" si="668"/>
        <v>Correcto</v>
      </c>
    </row>
    <row r="402" spans="1:24" ht="18" customHeight="1" x14ac:dyDescent="0.25">
      <c r="A402" s="172">
        <v>393</v>
      </c>
      <c r="B402" s="145" t="s">
        <v>1632</v>
      </c>
      <c r="C402" s="146">
        <v>42047</v>
      </c>
      <c r="D402" s="147">
        <v>7</v>
      </c>
      <c r="E402" s="147" t="s">
        <v>93</v>
      </c>
      <c r="F402" s="145" t="s">
        <v>1122</v>
      </c>
      <c r="G402" s="147" t="s">
        <v>202</v>
      </c>
      <c r="H402" s="148">
        <v>42053</v>
      </c>
      <c r="I402" s="147" t="s">
        <v>187</v>
      </c>
      <c r="J402" s="147" t="s">
        <v>103</v>
      </c>
      <c r="K402" s="149" t="s">
        <v>1633</v>
      </c>
      <c r="L402" s="148">
        <v>42053</v>
      </c>
      <c r="M402" s="149" t="s">
        <v>950</v>
      </c>
      <c r="N402" s="149" t="s">
        <v>185</v>
      </c>
      <c r="O402" s="148">
        <v>42054</v>
      </c>
      <c r="P402" s="150">
        <f t="shared" si="666"/>
        <v>7</v>
      </c>
      <c r="Q402" s="149" t="s">
        <v>1634</v>
      </c>
      <c r="R402" s="149" t="s">
        <v>17</v>
      </c>
      <c r="S402" s="149" t="s">
        <v>101</v>
      </c>
      <c r="T402" s="149" t="s">
        <v>1628</v>
      </c>
      <c r="U402" s="154">
        <v>42053</v>
      </c>
      <c r="V402" s="149" t="s">
        <v>186</v>
      </c>
      <c r="W402" s="153">
        <f t="shared" si="667"/>
        <v>0</v>
      </c>
      <c r="X402" s="153" t="str">
        <f t="shared" si="668"/>
        <v>Correcto</v>
      </c>
    </row>
    <row r="403" spans="1:24" ht="18" customHeight="1" x14ac:dyDescent="0.25">
      <c r="A403" s="172">
        <v>394</v>
      </c>
      <c r="B403" s="145" t="s">
        <v>1635</v>
      </c>
      <c r="C403" s="146">
        <v>42047</v>
      </c>
      <c r="D403" s="147">
        <v>2</v>
      </c>
      <c r="E403" s="147" t="s">
        <v>93</v>
      </c>
      <c r="F403" s="145" t="s">
        <v>1122</v>
      </c>
      <c r="G403" s="147" t="s">
        <v>202</v>
      </c>
      <c r="H403" s="148">
        <v>42048</v>
      </c>
      <c r="I403" s="147" t="s">
        <v>187</v>
      </c>
      <c r="J403" s="147" t="s">
        <v>103</v>
      </c>
      <c r="K403" s="149" t="s">
        <v>1636</v>
      </c>
      <c r="L403" s="148">
        <v>42048</v>
      </c>
      <c r="M403" s="149" t="s">
        <v>950</v>
      </c>
      <c r="N403" s="149" t="s">
        <v>185</v>
      </c>
      <c r="O403" s="148">
        <v>42053</v>
      </c>
      <c r="P403" s="150">
        <f t="shared" si="666"/>
        <v>6</v>
      </c>
      <c r="Q403" s="149" t="s">
        <v>1637</v>
      </c>
      <c r="R403" s="149" t="s">
        <v>17</v>
      </c>
      <c r="S403" s="149" t="s">
        <v>101</v>
      </c>
      <c r="T403" s="149" t="s">
        <v>1628</v>
      </c>
      <c r="U403" s="154">
        <v>42053</v>
      </c>
      <c r="V403" s="149" t="s">
        <v>186</v>
      </c>
      <c r="W403" s="153">
        <f t="shared" si="667"/>
        <v>0</v>
      </c>
      <c r="X403" s="153" t="str">
        <f t="shared" si="668"/>
        <v>Correcto</v>
      </c>
    </row>
    <row r="404" spans="1:24" ht="18" customHeight="1" x14ac:dyDescent="0.25">
      <c r="A404" s="172">
        <v>395</v>
      </c>
      <c r="B404" s="145" t="s">
        <v>1638</v>
      </c>
      <c r="C404" s="146">
        <v>42047</v>
      </c>
      <c r="D404" s="147">
        <v>11</v>
      </c>
      <c r="E404" s="147" t="s">
        <v>93</v>
      </c>
      <c r="F404" s="145" t="s">
        <v>1122</v>
      </c>
      <c r="G404" s="147" t="s">
        <v>202</v>
      </c>
      <c r="H404" s="148">
        <v>42053</v>
      </c>
      <c r="I404" s="147" t="s">
        <v>187</v>
      </c>
      <c r="J404" s="147" t="s">
        <v>103</v>
      </c>
      <c r="K404" s="149" t="s">
        <v>1639</v>
      </c>
      <c r="L404" s="148">
        <v>42053</v>
      </c>
      <c r="M404" s="149" t="s">
        <v>950</v>
      </c>
      <c r="N404" s="149" t="s">
        <v>185</v>
      </c>
      <c r="O404" s="148">
        <v>42054</v>
      </c>
      <c r="P404" s="150">
        <f t="shared" si="666"/>
        <v>7</v>
      </c>
      <c r="Q404" s="149" t="s">
        <v>1640</v>
      </c>
      <c r="R404" s="149" t="s">
        <v>17</v>
      </c>
      <c r="S404" s="149" t="s">
        <v>101</v>
      </c>
      <c r="T404" s="149" t="s">
        <v>1432</v>
      </c>
      <c r="U404" s="154">
        <v>42053</v>
      </c>
      <c r="V404" s="149" t="s">
        <v>186</v>
      </c>
      <c r="W404" s="153">
        <f t="shared" si="667"/>
        <v>0</v>
      </c>
      <c r="X404" s="153" t="str">
        <f t="shared" si="668"/>
        <v>Correcto</v>
      </c>
    </row>
    <row r="405" spans="1:24" ht="18" customHeight="1" x14ac:dyDescent="0.25">
      <c r="A405" s="172">
        <v>396</v>
      </c>
      <c r="B405" s="145" t="s">
        <v>1641</v>
      </c>
      <c r="C405" s="146">
        <v>42047</v>
      </c>
      <c r="D405" s="147">
        <v>31</v>
      </c>
      <c r="E405" s="147" t="s">
        <v>93</v>
      </c>
      <c r="F405" s="145" t="s">
        <v>1122</v>
      </c>
      <c r="G405" s="147" t="s">
        <v>202</v>
      </c>
      <c r="H405" s="148">
        <v>42053</v>
      </c>
      <c r="I405" s="147" t="s">
        <v>187</v>
      </c>
      <c r="J405" s="147" t="s">
        <v>103</v>
      </c>
      <c r="K405" s="149" t="s">
        <v>1642</v>
      </c>
      <c r="L405" s="148">
        <v>42053</v>
      </c>
      <c r="M405" s="149" t="s">
        <v>950</v>
      </c>
      <c r="N405" s="149" t="s">
        <v>185</v>
      </c>
      <c r="O405" s="148">
        <v>42054</v>
      </c>
      <c r="P405" s="150">
        <f t="shared" si="666"/>
        <v>7</v>
      </c>
      <c r="Q405" s="149" t="s">
        <v>1643</v>
      </c>
      <c r="R405" s="149" t="s">
        <v>1026</v>
      </c>
      <c r="S405" s="149" t="s">
        <v>101</v>
      </c>
      <c r="T405" s="151" t="s">
        <v>1644</v>
      </c>
      <c r="U405" s="154">
        <v>42054</v>
      </c>
      <c r="V405" s="149" t="s">
        <v>186</v>
      </c>
      <c r="W405" s="153">
        <f t="shared" si="667"/>
        <v>0</v>
      </c>
      <c r="X405" s="153" t="str">
        <f t="shared" si="668"/>
        <v>Correcto</v>
      </c>
    </row>
    <row r="406" spans="1:24" ht="18" customHeight="1" x14ac:dyDescent="0.25">
      <c r="A406" s="172">
        <v>397</v>
      </c>
      <c r="B406" s="145" t="s">
        <v>1645</v>
      </c>
      <c r="C406" s="146">
        <v>42047</v>
      </c>
      <c r="D406" s="147">
        <v>2</v>
      </c>
      <c r="E406" s="147" t="s">
        <v>93</v>
      </c>
      <c r="F406" s="145" t="s">
        <v>1122</v>
      </c>
      <c r="G406" s="147" t="s">
        <v>202</v>
      </c>
      <c r="H406" s="148">
        <v>42053</v>
      </c>
      <c r="I406" s="147" t="s">
        <v>187</v>
      </c>
      <c r="J406" s="147" t="s">
        <v>103</v>
      </c>
      <c r="K406" s="149" t="s">
        <v>1646</v>
      </c>
      <c r="L406" s="148">
        <v>42053</v>
      </c>
      <c r="M406" s="149" t="s">
        <v>1559</v>
      </c>
      <c r="N406" s="149" t="s">
        <v>185</v>
      </c>
      <c r="O406" s="148">
        <v>42054</v>
      </c>
      <c r="P406" s="150">
        <f t="shared" si="666"/>
        <v>7</v>
      </c>
      <c r="Q406" s="149" t="s">
        <v>1647</v>
      </c>
      <c r="R406" s="149" t="s">
        <v>17</v>
      </c>
      <c r="S406" s="149" t="s">
        <v>101</v>
      </c>
      <c r="T406" s="149" t="s">
        <v>1604</v>
      </c>
      <c r="U406" s="154">
        <v>42055</v>
      </c>
      <c r="V406" s="149" t="s">
        <v>186</v>
      </c>
      <c r="W406" s="153">
        <f t="shared" si="667"/>
        <v>0</v>
      </c>
      <c r="X406" s="153" t="str">
        <f t="shared" si="668"/>
        <v>Correcto</v>
      </c>
    </row>
    <row r="407" spans="1:24" ht="18" customHeight="1" x14ac:dyDescent="0.25">
      <c r="A407" s="172">
        <v>398</v>
      </c>
      <c r="B407" s="145" t="s">
        <v>1648</v>
      </c>
      <c r="C407" s="146">
        <v>42047</v>
      </c>
      <c r="D407" s="147">
        <v>2</v>
      </c>
      <c r="E407" s="147" t="s">
        <v>93</v>
      </c>
      <c r="F407" s="145" t="s">
        <v>1122</v>
      </c>
      <c r="G407" s="147" t="s">
        <v>202</v>
      </c>
      <c r="H407" s="148">
        <v>42048</v>
      </c>
      <c r="I407" s="147" t="s">
        <v>187</v>
      </c>
      <c r="J407" s="147" t="s">
        <v>103</v>
      </c>
      <c r="K407" s="149" t="s">
        <v>1649</v>
      </c>
      <c r="L407" s="148">
        <v>42048</v>
      </c>
      <c r="M407" s="149" t="s">
        <v>950</v>
      </c>
      <c r="N407" s="149" t="s">
        <v>185</v>
      </c>
      <c r="O407" s="148">
        <v>42053</v>
      </c>
      <c r="P407" s="150">
        <f t="shared" si="666"/>
        <v>6</v>
      </c>
      <c r="Q407" s="149" t="s">
        <v>1650</v>
      </c>
      <c r="R407" s="149" t="s">
        <v>17</v>
      </c>
      <c r="S407" s="149" t="s">
        <v>101</v>
      </c>
      <c r="T407" s="149" t="s">
        <v>1651</v>
      </c>
      <c r="U407" s="154">
        <v>42055</v>
      </c>
      <c r="V407" s="149" t="s">
        <v>186</v>
      </c>
      <c r="W407" s="153">
        <f t="shared" si="667"/>
        <v>0</v>
      </c>
      <c r="X407" s="153" t="str">
        <f t="shared" si="668"/>
        <v>Correcto</v>
      </c>
    </row>
    <row r="408" spans="1:24" ht="18" customHeight="1" x14ac:dyDescent="0.25">
      <c r="A408" s="172">
        <v>399</v>
      </c>
      <c r="B408" s="145" t="s">
        <v>1652</v>
      </c>
      <c r="C408" s="146">
        <v>42047</v>
      </c>
      <c r="D408" s="147">
        <v>2</v>
      </c>
      <c r="E408" s="147" t="s">
        <v>93</v>
      </c>
      <c r="F408" s="145" t="s">
        <v>1122</v>
      </c>
      <c r="G408" s="147" t="s">
        <v>202</v>
      </c>
      <c r="H408" s="148">
        <v>42059</v>
      </c>
      <c r="I408" s="147" t="s">
        <v>187</v>
      </c>
      <c r="J408" s="147" t="s">
        <v>103</v>
      </c>
      <c r="K408" s="149" t="s">
        <v>1653</v>
      </c>
      <c r="L408" s="148">
        <v>42059</v>
      </c>
      <c r="M408" s="149" t="s">
        <v>1654</v>
      </c>
      <c r="N408" s="149" t="s">
        <v>185</v>
      </c>
      <c r="O408" s="148">
        <v>42059</v>
      </c>
      <c r="P408" s="150">
        <f t="shared" si="666"/>
        <v>12</v>
      </c>
      <c r="Q408" s="149" t="s">
        <v>1655</v>
      </c>
      <c r="R408" s="149" t="s">
        <v>17</v>
      </c>
      <c r="S408" s="149" t="s">
        <v>101</v>
      </c>
      <c r="T408" s="151" t="s">
        <v>101</v>
      </c>
      <c r="U408" s="154">
        <v>42061</v>
      </c>
      <c r="V408" s="149" t="s">
        <v>186</v>
      </c>
      <c r="W408" s="153">
        <f t="shared" si="667"/>
        <v>0</v>
      </c>
      <c r="X408" s="153" t="str">
        <f t="shared" si="668"/>
        <v>Correcto</v>
      </c>
    </row>
    <row r="409" spans="1:24" ht="18" customHeight="1" x14ac:dyDescent="0.25">
      <c r="A409" s="172">
        <v>400</v>
      </c>
      <c r="B409" s="145" t="s">
        <v>1656</v>
      </c>
      <c r="C409" s="146">
        <v>42047</v>
      </c>
      <c r="D409" s="147">
        <v>4</v>
      </c>
      <c r="E409" s="147" t="s">
        <v>93</v>
      </c>
      <c r="F409" s="145" t="s">
        <v>1122</v>
      </c>
      <c r="G409" s="147" t="s">
        <v>202</v>
      </c>
      <c r="H409" s="148">
        <v>42048</v>
      </c>
      <c r="I409" s="147" t="s">
        <v>187</v>
      </c>
      <c r="J409" s="147" t="s">
        <v>103</v>
      </c>
      <c r="K409" s="149" t="s">
        <v>1657</v>
      </c>
      <c r="L409" s="148">
        <v>42048</v>
      </c>
      <c r="M409" s="149" t="s">
        <v>100</v>
      </c>
      <c r="N409" s="149" t="s">
        <v>1295</v>
      </c>
      <c r="O409" s="148">
        <v>42062</v>
      </c>
      <c r="P409" s="150">
        <f t="shared" si="666"/>
        <v>15</v>
      </c>
      <c r="Q409" s="149" t="s">
        <v>1658</v>
      </c>
      <c r="R409" s="149" t="s">
        <v>17</v>
      </c>
      <c r="S409" s="149" t="s">
        <v>189</v>
      </c>
      <c r="T409" s="151" t="s">
        <v>1659</v>
      </c>
      <c r="U409" s="154">
        <v>42062</v>
      </c>
      <c r="V409" s="149" t="s">
        <v>186</v>
      </c>
      <c r="W409" s="153">
        <f t="shared" si="667"/>
        <v>0</v>
      </c>
      <c r="X409" s="153" t="str">
        <f t="shared" si="668"/>
        <v>Correcto</v>
      </c>
    </row>
    <row r="410" spans="1:24" ht="18" customHeight="1" x14ac:dyDescent="0.25">
      <c r="A410" s="172">
        <v>401</v>
      </c>
      <c r="B410" s="145" t="s">
        <v>1660</v>
      </c>
      <c r="C410" s="146">
        <v>42047</v>
      </c>
      <c r="D410" s="147">
        <v>2</v>
      </c>
      <c r="E410" s="147" t="s">
        <v>93</v>
      </c>
      <c r="F410" s="145" t="s">
        <v>1122</v>
      </c>
      <c r="G410" s="147" t="s">
        <v>202</v>
      </c>
      <c r="H410" s="148">
        <v>42059</v>
      </c>
      <c r="I410" s="147" t="s">
        <v>187</v>
      </c>
      <c r="J410" s="147" t="s">
        <v>103</v>
      </c>
      <c r="K410" s="149" t="s">
        <v>1661</v>
      </c>
      <c r="L410" s="148">
        <v>42059</v>
      </c>
      <c r="M410" s="149" t="s">
        <v>1654</v>
      </c>
      <c r="N410" s="149" t="s">
        <v>185</v>
      </c>
      <c r="O410" s="148">
        <v>42059</v>
      </c>
      <c r="P410" s="150">
        <f t="shared" si="666"/>
        <v>12</v>
      </c>
      <c r="Q410" s="149" t="s">
        <v>1662</v>
      </c>
      <c r="R410" s="149" t="s">
        <v>17</v>
      </c>
      <c r="S410" s="149" t="s">
        <v>101</v>
      </c>
      <c r="T410" s="151" t="s">
        <v>101</v>
      </c>
      <c r="U410" s="154">
        <v>42061</v>
      </c>
      <c r="V410" s="149" t="s">
        <v>186</v>
      </c>
      <c r="W410" s="153">
        <f t="shared" si="667"/>
        <v>0</v>
      </c>
      <c r="X410" s="153" t="str">
        <f t="shared" si="668"/>
        <v>Correcto</v>
      </c>
    </row>
    <row r="411" spans="1:24" ht="18" customHeight="1" x14ac:dyDescent="0.25">
      <c r="A411" s="172">
        <v>402</v>
      </c>
      <c r="B411" s="145" t="s">
        <v>1663</v>
      </c>
      <c r="C411" s="146">
        <v>42047</v>
      </c>
      <c r="D411" s="147">
        <v>2</v>
      </c>
      <c r="E411" s="147" t="s">
        <v>93</v>
      </c>
      <c r="F411" s="145" t="s">
        <v>1122</v>
      </c>
      <c r="G411" s="147" t="s">
        <v>202</v>
      </c>
      <c r="H411" s="148">
        <v>42048</v>
      </c>
      <c r="I411" s="147" t="s">
        <v>187</v>
      </c>
      <c r="J411" s="147" t="s">
        <v>103</v>
      </c>
      <c r="K411" s="149" t="s">
        <v>1664</v>
      </c>
      <c r="L411" s="148">
        <v>42048</v>
      </c>
      <c r="M411" s="149" t="s">
        <v>1559</v>
      </c>
      <c r="N411" s="149" t="s">
        <v>185</v>
      </c>
      <c r="O411" s="148">
        <v>42053</v>
      </c>
      <c r="P411" s="150">
        <f t="shared" si="666"/>
        <v>6</v>
      </c>
      <c r="Q411" s="149" t="s">
        <v>1665</v>
      </c>
      <c r="R411" s="149" t="s">
        <v>17</v>
      </c>
      <c r="S411" s="149" t="s">
        <v>1666</v>
      </c>
      <c r="T411" s="149">
        <v>1105323511</v>
      </c>
      <c r="U411" s="154">
        <v>42053</v>
      </c>
      <c r="V411" s="149" t="s">
        <v>186</v>
      </c>
      <c r="W411" s="153">
        <f t="shared" si="667"/>
        <v>0</v>
      </c>
      <c r="X411" s="153" t="str">
        <f t="shared" si="668"/>
        <v>Correcto</v>
      </c>
    </row>
    <row r="412" spans="1:24" ht="18" customHeight="1" x14ac:dyDescent="0.25">
      <c r="A412" s="172">
        <v>403</v>
      </c>
      <c r="B412" s="145" t="s">
        <v>1667</v>
      </c>
      <c r="C412" s="146">
        <v>42047</v>
      </c>
      <c r="D412" s="147">
        <v>2</v>
      </c>
      <c r="E412" s="147" t="s">
        <v>93</v>
      </c>
      <c r="F412" s="145" t="s">
        <v>1122</v>
      </c>
      <c r="G412" s="147" t="s">
        <v>202</v>
      </c>
      <c r="H412" s="148">
        <v>42048</v>
      </c>
      <c r="I412" s="147" t="s">
        <v>187</v>
      </c>
      <c r="J412" s="147" t="s">
        <v>103</v>
      </c>
      <c r="K412" s="149" t="s">
        <v>1668</v>
      </c>
      <c r="L412" s="148">
        <v>42048</v>
      </c>
      <c r="M412" s="149" t="s">
        <v>950</v>
      </c>
      <c r="N412" s="149" t="s">
        <v>185</v>
      </c>
      <c r="O412" s="148">
        <v>42053</v>
      </c>
      <c r="P412" s="150">
        <f t="shared" si="666"/>
        <v>6</v>
      </c>
      <c r="Q412" s="149" t="s">
        <v>1669</v>
      </c>
      <c r="R412" s="149" t="s">
        <v>17</v>
      </c>
      <c r="S412" s="149" t="s">
        <v>101</v>
      </c>
      <c r="T412" s="149" t="s">
        <v>1659</v>
      </c>
      <c r="U412" s="154">
        <v>42055</v>
      </c>
      <c r="V412" s="149" t="s">
        <v>186</v>
      </c>
      <c r="W412" s="153">
        <f t="shared" si="667"/>
        <v>0</v>
      </c>
      <c r="X412" s="153" t="str">
        <f t="shared" si="668"/>
        <v>Correcto</v>
      </c>
    </row>
    <row r="413" spans="1:24" ht="18" customHeight="1" x14ac:dyDescent="0.25">
      <c r="A413" s="172">
        <v>404</v>
      </c>
      <c r="B413" s="145" t="s">
        <v>1670</v>
      </c>
      <c r="C413" s="146">
        <v>42047</v>
      </c>
      <c r="D413" s="147">
        <v>9</v>
      </c>
      <c r="E413" s="147" t="s">
        <v>93</v>
      </c>
      <c r="F413" s="145" t="s">
        <v>1122</v>
      </c>
      <c r="G413" s="147" t="s">
        <v>202</v>
      </c>
      <c r="H413" s="148">
        <v>42048</v>
      </c>
      <c r="I413" s="147" t="s">
        <v>187</v>
      </c>
      <c r="J413" s="147" t="s">
        <v>103</v>
      </c>
      <c r="K413" s="149" t="s">
        <v>1671</v>
      </c>
      <c r="L413" s="148">
        <v>42048</v>
      </c>
      <c r="M413" s="149" t="s">
        <v>950</v>
      </c>
      <c r="N413" s="149" t="s">
        <v>185</v>
      </c>
      <c r="O413" s="148">
        <v>42054</v>
      </c>
      <c r="P413" s="150">
        <f t="shared" si="666"/>
        <v>7</v>
      </c>
      <c r="Q413" s="149" t="s">
        <v>1672</v>
      </c>
      <c r="R413" s="149" t="s">
        <v>17</v>
      </c>
      <c r="S413" s="149" t="s">
        <v>101</v>
      </c>
      <c r="T413" s="149" t="s">
        <v>101</v>
      </c>
      <c r="U413" s="154">
        <v>42055</v>
      </c>
      <c r="V413" s="149" t="s">
        <v>186</v>
      </c>
      <c r="W413" s="153">
        <f t="shared" si="667"/>
        <v>0</v>
      </c>
      <c r="X413" s="153" t="str">
        <f t="shared" si="668"/>
        <v>Correcto</v>
      </c>
    </row>
    <row r="414" spans="1:24" ht="18" customHeight="1" x14ac:dyDescent="0.25">
      <c r="A414" s="172">
        <v>405</v>
      </c>
      <c r="B414" s="145" t="s">
        <v>1673</v>
      </c>
      <c r="C414" s="146">
        <v>42047</v>
      </c>
      <c r="D414" s="147">
        <v>2</v>
      </c>
      <c r="E414" s="147" t="s">
        <v>93</v>
      </c>
      <c r="F414" s="145" t="s">
        <v>1122</v>
      </c>
      <c r="G414" s="147" t="s">
        <v>202</v>
      </c>
      <c r="H414" s="148">
        <v>42048</v>
      </c>
      <c r="I414" s="147" t="s">
        <v>187</v>
      </c>
      <c r="J414" s="147" t="s">
        <v>103</v>
      </c>
      <c r="K414" s="149" t="s">
        <v>1674</v>
      </c>
      <c r="L414" s="148">
        <v>42048</v>
      </c>
      <c r="M414" s="149" t="s">
        <v>1559</v>
      </c>
      <c r="N414" s="149" t="s">
        <v>185</v>
      </c>
      <c r="O414" s="148">
        <v>42053</v>
      </c>
      <c r="P414" s="150">
        <f t="shared" si="666"/>
        <v>6</v>
      </c>
      <c r="Q414" s="149" t="s">
        <v>1675</v>
      </c>
      <c r="R414" s="149" t="s">
        <v>17</v>
      </c>
      <c r="S414" s="149" t="s">
        <v>1676</v>
      </c>
      <c r="T414" s="151" t="s">
        <v>1677</v>
      </c>
      <c r="U414" s="154">
        <v>42055</v>
      </c>
      <c r="V414" s="149" t="s">
        <v>186</v>
      </c>
      <c r="W414" s="153">
        <f t="shared" si="667"/>
        <v>0</v>
      </c>
      <c r="X414" s="153" t="str">
        <f t="shared" si="668"/>
        <v>Correcto</v>
      </c>
    </row>
    <row r="415" spans="1:24" ht="18" customHeight="1" x14ac:dyDescent="0.25">
      <c r="A415" s="172">
        <v>406</v>
      </c>
      <c r="B415" s="145" t="s">
        <v>1678</v>
      </c>
      <c r="C415" s="146">
        <v>42047</v>
      </c>
      <c r="D415" s="147">
        <v>2</v>
      </c>
      <c r="E415" s="147" t="s">
        <v>93</v>
      </c>
      <c r="F415" s="145" t="s">
        <v>1122</v>
      </c>
      <c r="G415" s="147" t="s">
        <v>202</v>
      </c>
      <c r="H415" s="148">
        <v>42053</v>
      </c>
      <c r="I415" s="147" t="s">
        <v>187</v>
      </c>
      <c r="J415" s="147" t="s">
        <v>103</v>
      </c>
      <c r="K415" s="149" t="s">
        <v>1679</v>
      </c>
      <c r="L415" s="148">
        <v>42053</v>
      </c>
      <c r="M415" s="149" t="s">
        <v>1559</v>
      </c>
      <c r="N415" s="149" t="s">
        <v>185</v>
      </c>
      <c r="O415" s="148">
        <v>42054</v>
      </c>
      <c r="P415" s="150">
        <f t="shared" si="666"/>
        <v>7</v>
      </c>
      <c r="Q415" s="149" t="s">
        <v>1680</v>
      </c>
      <c r="R415" s="149" t="s">
        <v>17</v>
      </c>
      <c r="S415" s="149" t="s">
        <v>101</v>
      </c>
      <c r="T415" s="149" t="s">
        <v>967</v>
      </c>
      <c r="U415" s="154">
        <v>42055</v>
      </c>
      <c r="V415" s="149" t="s">
        <v>186</v>
      </c>
      <c r="W415" s="153">
        <f t="shared" si="667"/>
        <v>0</v>
      </c>
      <c r="X415" s="153" t="str">
        <f t="shared" si="668"/>
        <v>Correcto</v>
      </c>
    </row>
    <row r="416" spans="1:24" ht="18" customHeight="1" x14ac:dyDescent="0.25">
      <c r="A416" s="172">
        <v>407</v>
      </c>
      <c r="B416" s="145" t="s">
        <v>1681</v>
      </c>
      <c r="C416" s="146">
        <v>42047</v>
      </c>
      <c r="D416" s="147">
        <v>2</v>
      </c>
      <c r="E416" s="147" t="s">
        <v>93</v>
      </c>
      <c r="F416" s="145" t="s">
        <v>1122</v>
      </c>
      <c r="G416" s="147" t="s">
        <v>202</v>
      </c>
      <c r="H416" s="148">
        <v>42053</v>
      </c>
      <c r="I416" s="147" t="s">
        <v>187</v>
      </c>
      <c r="J416" s="147" t="s">
        <v>103</v>
      </c>
      <c r="K416" s="149" t="s">
        <v>1682</v>
      </c>
      <c r="L416" s="148">
        <v>42053</v>
      </c>
      <c r="M416" s="149" t="s">
        <v>1559</v>
      </c>
      <c r="N416" s="149" t="s">
        <v>185</v>
      </c>
      <c r="O416" s="148">
        <v>42054</v>
      </c>
      <c r="P416" s="150">
        <f t="shared" si="666"/>
        <v>7</v>
      </c>
      <c r="Q416" s="149" t="s">
        <v>1683</v>
      </c>
      <c r="R416" s="149" t="s">
        <v>17</v>
      </c>
      <c r="S416" s="149" t="s">
        <v>101</v>
      </c>
      <c r="T416" s="149" t="s">
        <v>967</v>
      </c>
      <c r="U416" s="154">
        <v>42055</v>
      </c>
      <c r="V416" s="149" t="s">
        <v>186</v>
      </c>
      <c r="W416" s="153">
        <f t="shared" si="667"/>
        <v>0</v>
      </c>
      <c r="X416" s="153" t="str">
        <f t="shared" si="668"/>
        <v>Correcto</v>
      </c>
    </row>
    <row r="417" spans="1:24" ht="18" customHeight="1" x14ac:dyDescent="0.25">
      <c r="A417" s="172">
        <v>408</v>
      </c>
      <c r="B417" s="145" t="s">
        <v>1684</v>
      </c>
      <c r="C417" s="146">
        <v>42047</v>
      </c>
      <c r="D417" s="147">
        <v>2</v>
      </c>
      <c r="E417" s="147" t="s">
        <v>93</v>
      </c>
      <c r="F417" s="145" t="s">
        <v>1122</v>
      </c>
      <c r="G417" s="147" t="s">
        <v>202</v>
      </c>
      <c r="H417" s="148">
        <v>42053</v>
      </c>
      <c r="I417" s="147" t="s">
        <v>187</v>
      </c>
      <c r="J417" s="147" t="s">
        <v>103</v>
      </c>
      <c r="K417" s="149" t="s">
        <v>1685</v>
      </c>
      <c r="L417" s="148">
        <v>42053</v>
      </c>
      <c r="M417" s="149" t="s">
        <v>1201</v>
      </c>
      <c r="N417" s="149" t="s">
        <v>1202</v>
      </c>
      <c r="O417" s="148">
        <v>42053</v>
      </c>
      <c r="P417" s="150">
        <f t="shared" si="666"/>
        <v>6</v>
      </c>
      <c r="Q417" s="149" t="s">
        <v>1685</v>
      </c>
      <c r="R417" s="149" t="s">
        <v>17</v>
      </c>
      <c r="S417" s="149" t="s">
        <v>635</v>
      </c>
      <c r="T417" s="151" t="s">
        <v>1686</v>
      </c>
      <c r="U417" s="154">
        <v>42055</v>
      </c>
      <c r="V417" s="149" t="s">
        <v>186</v>
      </c>
      <c r="W417" s="153">
        <f t="shared" si="667"/>
        <v>0</v>
      </c>
      <c r="X417" s="153" t="str">
        <f t="shared" si="668"/>
        <v>Correcto</v>
      </c>
    </row>
    <row r="418" spans="1:24" ht="18" customHeight="1" x14ac:dyDescent="0.25">
      <c r="A418" s="172">
        <v>409</v>
      </c>
      <c r="B418" s="145" t="s">
        <v>1687</v>
      </c>
      <c r="C418" s="146">
        <v>42047</v>
      </c>
      <c r="D418" s="147">
        <v>2</v>
      </c>
      <c r="E418" s="147" t="s">
        <v>93</v>
      </c>
      <c r="F418" s="145" t="s">
        <v>1122</v>
      </c>
      <c r="G418" s="147" t="s">
        <v>202</v>
      </c>
      <c r="H418" s="148">
        <v>42053</v>
      </c>
      <c r="I418" s="147" t="s">
        <v>187</v>
      </c>
      <c r="J418" s="147" t="s">
        <v>103</v>
      </c>
      <c r="K418" s="149" t="s">
        <v>1688</v>
      </c>
      <c r="L418" s="148">
        <v>42053</v>
      </c>
      <c r="M418" s="149" t="s">
        <v>1559</v>
      </c>
      <c r="N418" s="149" t="s">
        <v>185</v>
      </c>
      <c r="O418" s="148">
        <v>42054</v>
      </c>
      <c r="P418" s="150">
        <f t="shared" si="666"/>
        <v>7</v>
      </c>
      <c r="Q418" s="149" t="s">
        <v>1689</v>
      </c>
      <c r="R418" s="149" t="s">
        <v>17</v>
      </c>
      <c r="S418" s="149" t="s">
        <v>101</v>
      </c>
      <c r="T418" s="149" t="s">
        <v>1686</v>
      </c>
      <c r="U418" s="154">
        <v>42055</v>
      </c>
      <c r="V418" s="149" t="s">
        <v>186</v>
      </c>
      <c r="W418" s="153">
        <f t="shared" si="667"/>
        <v>0</v>
      </c>
      <c r="X418" s="153" t="str">
        <f t="shared" si="668"/>
        <v>Correcto</v>
      </c>
    </row>
    <row r="419" spans="1:24" ht="18" customHeight="1" x14ac:dyDescent="0.25">
      <c r="A419" s="172">
        <v>410</v>
      </c>
      <c r="B419" s="145" t="s">
        <v>1690</v>
      </c>
      <c r="C419" s="146">
        <v>42047</v>
      </c>
      <c r="D419" s="147">
        <v>2</v>
      </c>
      <c r="E419" s="147" t="s">
        <v>93</v>
      </c>
      <c r="F419" s="145" t="s">
        <v>1122</v>
      </c>
      <c r="G419" s="147" t="s">
        <v>202</v>
      </c>
      <c r="H419" s="148">
        <v>42048</v>
      </c>
      <c r="I419" s="147" t="s">
        <v>187</v>
      </c>
      <c r="J419" s="147" t="s">
        <v>103</v>
      </c>
      <c r="K419" s="149" t="s">
        <v>1691</v>
      </c>
      <c r="L419" s="148">
        <v>42048</v>
      </c>
      <c r="M419" s="149" t="s">
        <v>1559</v>
      </c>
      <c r="N419" s="149" t="s">
        <v>185</v>
      </c>
      <c r="O419" s="148">
        <v>42053</v>
      </c>
      <c r="P419" s="150">
        <f t="shared" si="666"/>
        <v>6</v>
      </c>
      <c r="Q419" s="149" t="s">
        <v>1692</v>
      </c>
      <c r="R419" s="149" t="s">
        <v>17</v>
      </c>
      <c r="S419" s="149" t="s">
        <v>101</v>
      </c>
      <c r="T419" s="149" t="s">
        <v>1693</v>
      </c>
      <c r="U419" s="154">
        <v>42055</v>
      </c>
      <c r="V419" s="149" t="s">
        <v>186</v>
      </c>
      <c r="W419" s="153">
        <f t="shared" si="667"/>
        <v>0</v>
      </c>
      <c r="X419" s="153" t="str">
        <f t="shared" si="668"/>
        <v>Correcto</v>
      </c>
    </row>
    <row r="420" spans="1:24" ht="18" customHeight="1" x14ac:dyDescent="0.25">
      <c r="A420" s="172">
        <v>411</v>
      </c>
      <c r="B420" s="145" t="s">
        <v>1694</v>
      </c>
      <c r="C420" s="146">
        <v>42047</v>
      </c>
      <c r="D420" s="147">
        <v>2</v>
      </c>
      <c r="E420" s="147" t="s">
        <v>93</v>
      </c>
      <c r="F420" s="145" t="s">
        <v>1122</v>
      </c>
      <c r="G420" s="147" t="s">
        <v>202</v>
      </c>
      <c r="H420" s="148">
        <v>42048</v>
      </c>
      <c r="I420" s="147" t="s">
        <v>187</v>
      </c>
      <c r="J420" s="147" t="s">
        <v>103</v>
      </c>
      <c r="K420" s="149" t="s">
        <v>1695</v>
      </c>
      <c r="L420" s="148">
        <v>42048</v>
      </c>
      <c r="M420" s="149" t="s">
        <v>1559</v>
      </c>
      <c r="N420" s="149" t="s">
        <v>185</v>
      </c>
      <c r="O420" s="148">
        <v>42053</v>
      </c>
      <c r="P420" s="150">
        <f t="shared" si="666"/>
        <v>6</v>
      </c>
      <c r="Q420" s="149" t="s">
        <v>1696</v>
      </c>
      <c r="R420" s="149" t="s">
        <v>17</v>
      </c>
      <c r="S420" s="149" t="s">
        <v>101</v>
      </c>
      <c r="T420" s="149" t="s">
        <v>1693</v>
      </c>
      <c r="U420" s="154">
        <v>42055</v>
      </c>
      <c r="V420" s="149" t="s">
        <v>186</v>
      </c>
      <c r="W420" s="153">
        <f t="shared" si="667"/>
        <v>0</v>
      </c>
      <c r="X420" s="153" t="str">
        <f t="shared" si="668"/>
        <v>Correcto</v>
      </c>
    </row>
    <row r="421" spans="1:24" ht="18" customHeight="1" x14ac:dyDescent="0.25">
      <c r="A421" s="172">
        <v>412</v>
      </c>
      <c r="B421" s="145" t="s">
        <v>1697</v>
      </c>
      <c r="C421" s="146">
        <v>42047</v>
      </c>
      <c r="D421" s="147">
        <v>2</v>
      </c>
      <c r="E421" s="147" t="s">
        <v>93</v>
      </c>
      <c r="F421" s="145" t="s">
        <v>1122</v>
      </c>
      <c r="G421" s="147" t="s">
        <v>202</v>
      </c>
      <c r="H421" s="148">
        <v>42048</v>
      </c>
      <c r="I421" s="147" t="s">
        <v>187</v>
      </c>
      <c r="J421" s="147" t="s">
        <v>103</v>
      </c>
      <c r="K421" s="149" t="s">
        <v>1698</v>
      </c>
      <c r="L421" s="148">
        <v>42048</v>
      </c>
      <c r="M421" s="149" t="s">
        <v>1559</v>
      </c>
      <c r="N421" s="149" t="s">
        <v>185</v>
      </c>
      <c r="O421" s="148">
        <v>42053</v>
      </c>
      <c r="P421" s="150">
        <f t="shared" si="666"/>
        <v>6</v>
      </c>
      <c r="Q421" s="149" t="s">
        <v>1699</v>
      </c>
      <c r="R421" s="149" t="s">
        <v>17</v>
      </c>
      <c r="S421" s="149" t="s">
        <v>101</v>
      </c>
      <c r="T421" s="149" t="s">
        <v>1693</v>
      </c>
      <c r="U421" s="154">
        <v>42055</v>
      </c>
      <c r="V421" s="149" t="s">
        <v>186</v>
      </c>
      <c r="W421" s="153">
        <f t="shared" si="667"/>
        <v>0</v>
      </c>
      <c r="X421" s="153" t="str">
        <f t="shared" si="668"/>
        <v>Correcto</v>
      </c>
    </row>
    <row r="422" spans="1:24" ht="18" customHeight="1" x14ac:dyDescent="0.25">
      <c r="A422" s="172">
        <v>413</v>
      </c>
      <c r="B422" s="145" t="s">
        <v>1700</v>
      </c>
      <c r="C422" s="146">
        <v>42047</v>
      </c>
      <c r="D422" s="147">
        <v>2</v>
      </c>
      <c r="E422" s="147" t="s">
        <v>93</v>
      </c>
      <c r="F422" s="145" t="s">
        <v>1122</v>
      </c>
      <c r="G422" s="147" t="s">
        <v>202</v>
      </c>
      <c r="H422" s="148">
        <v>42048</v>
      </c>
      <c r="I422" s="147" t="s">
        <v>187</v>
      </c>
      <c r="J422" s="147" t="s">
        <v>103</v>
      </c>
      <c r="K422" s="149" t="s">
        <v>1701</v>
      </c>
      <c r="L422" s="148">
        <v>42048</v>
      </c>
      <c r="M422" s="149" t="s">
        <v>1559</v>
      </c>
      <c r="N422" s="149" t="s">
        <v>185</v>
      </c>
      <c r="O422" s="148">
        <v>42053</v>
      </c>
      <c r="P422" s="150">
        <f t="shared" si="666"/>
        <v>6</v>
      </c>
      <c r="Q422" s="149" t="s">
        <v>1702</v>
      </c>
      <c r="R422" s="149" t="s">
        <v>17</v>
      </c>
      <c r="S422" s="149" t="s">
        <v>101</v>
      </c>
      <c r="T422" s="149" t="s">
        <v>1703</v>
      </c>
      <c r="U422" s="154">
        <v>42055</v>
      </c>
      <c r="V422" s="149" t="s">
        <v>186</v>
      </c>
      <c r="W422" s="153">
        <f t="shared" si="667"/>
        <v>0</v>
      </c>
      <c r="X422" s="153" t="str">
        <f t="shared" si="668"/>
        <v>Correcto</v>
      </c>
    </row>
    <row r="423" spans="1:24" ht="18" customHeight="1" x14ac:dyDescent="0.25">
      <c r="A423" s="172">
        <v>414</v>
      </c>
      <c r="B423" s="145" t="s">
        <v>1704</v>
      </c>
      <c r="C423" s="146">
        <v>42047</v>
      </c>
      <c r="D423" s="147">
        <v>2</v>
      </c>
      <c r="E423" s="147" t="s">
        <v>93</v>
      </c>
      <c r="F423" s="145" t="s">
        <v>1122</v>
      </c>
      <c r="G423" s="147" t="s">
        <v>202</v>
      </c>
      <c r="H423" s="148">
        <v>42048</v>
      </c>
      <c r="I423" s="147" t="s">
        <v>187</v>
      </c>
      <c r="J423" s="147" t="s">
        <v>103</v>
      </c>
      <c r="K423" s="149" t="s">
        <v>1705</v>
      </c>
      <c r="L423" s="148">
        <v>42048</v>
      </c>
      <c r="M423" s="149" t="s">
        <v>1559</v>
      </c>
      <c r="N423" s="149" t="s">
        <v>185</v>
      </c>
      <c r="O423" s="148">
        <v>42053</v>
      </c>
      <c r="P423" s="150">
        <f t="shared" si="666"/>
        <v>6</v>
      </c>
      <c r="Q423" s="149" t="s">
        <v>1706</v>
      </c>
      <c r="R423" s="149" t="s">
        <v>17</v>
      </c>
      <c r="S423" s="149" t="s">
        <v>1707</v>
      </c>
      <c r="T423" s="151" t="s">
        <v>1708</v>
      </c>
      <c r="U423" s="154">
        <v>42055</v>
      </c>
      <c r="V423" s="149" t="s">
        <v>186</v>
      </c>
      <c r="W423" s="153">
        <f t="shared" si="667"/>
        <v>0</v>
      </c>
      <c r="X423" s="153" t="str">
        <f t="shared" si="668"/>
        <v>Correcto</v>
      </c>
    </row>
    <row r="424" spans="1:24" ht="18" customHeight="1" x14ac:dyDescent="0.25">
      <c r="A424" s="172">
        <v>415</v>
      </c>
      <c r="B424" s="145" t="s">
        <v>1709</v>
      </c>
      <c r="C424" s="146">
        <v>42047</v>
      </c>
      <c r="D424" s="147">
        <v>11</v>
      </c>
      <c r="E424" s="147" t="s">
        <v>93</v>
      </c>
      <c r="F424" s="145" t="s">
        <v>1122</v>
      </c>
      <c r="G424" s="147" t="s">
        <v>202</v>
      </c>
      <c r="H424" s="148">
        <v>42048</v>
      </c>
      <c r="I424" s="147" t="s">
        <v>187</v>
      </c>
      <c r="J424" s="147" t="s">
        <v>103</v>
      </c>
      <c r="K424" s="149" t="s">
        <v>1710</v>
      </c>
      <c r="L424" s="148">
        <v>42048</v>
      </c>
      <c r="M424" s="149" t="s">
        <v>950</v>
      </c>
      <c r="N424" s="149" t="s">
        <v>185</v>
      </c>
      <c r="O424" s="148">
        <v>42053</v>
      </c>
      <c r="P424" s="150">
        <f t="shared" si="666"/>
        <v>6</v>
      </c>
      <c r="Q424" s="149" t="s">
        <v>1711</v>
      </c>
      <c r="R424" s="149" t="s">
        <v>17</v>
      </c>
      <c r="S424" s="149" t="s">
        <v>1712</v>
      </c>
      <c r="T424" s="151" t="s">
        <v>1713</v>
      </c>
      <c r="U424" s="154">
        <v>42055</v>
      </c>
      <c r="V424" s="149" t="s">
        <v>186</v>
      </c>
      <c r="W424" s="153">
        <f t="shared" si="667"/>
        <v>0</v>
      </c>
      <c r="X424" s="153" t="str">
        <f t="shared" si="668"/>
        <v>Correcto</v>
      </c>
    </row>
    <row r="425" spans="1:24" ht="18" customHeight="1" x14ac:dyDescent="0.25">
      <c r="A425" s="172">
        <v>416</v>
      </c>
      <c r="B425" s="145" t="s">
        <v>1714</v>
      </c>
      <c r="C425" s="146">
        <v>42047</v>
      </c>
      <c r="D425" s="147">
        <v>2</v>
      </c>
      <c r="E425" s="147" t="s">
        <v>93</v>
      </c>
      <c r="F425" s="145" t="s">
        <v>1122</v>
      </c>
      <c r="G425" s="147" t="s">
        <v>202</v>
      </c>
      <c r="H425" s="148">
        <v>42048</v>
      </c>
      <c r="I425" s="147" t="s">
        <v>187</v>
      </c>
      <c r="J425" s="147" t="s">
        <v>103</v>
      </c>
      <c r="K425" s="149" t="s">
        <v>1715</v>
      </c>
      <c r="L425" s="148">
        <v>42048</v>
      </c>
      <c r="M425" s="149" t="s">
        <v>1559</v>
      </c>
      <c r="N425" s="149" t="s">
        <v>185</v>
      </c>
      <c r="O425" s="148">
        <v>42053</v>
      </c>
      <c r="P425" s="150">
        <f t="shared" si="666"/>
        <v>6</v>
      </c>
      <c r="Q425" s="149" t="s">
        <v>1716</v>
      </c>
      <c r="R425" s="149" t="s">
        <v>17</v>
      </c>
      <c r="S425" s="149" t="s">
        <v>1717</v>
      </c>
      <c r="T425" s="151" t="s">
        <v>1718</v>
      </c>
      <c r="U425" s="154">
        <v>42055</v>
      </c>
      <c r="V425" s="149" t="s">
        <v>186</v>
      </c>
      <c r="W425" s="153">
        <f t="shared" si="667"/>
        <v>0</v>
      </c>
      <c r="X425" s="153" t="str">
        <f t="shared" si="668"/>
        <v>Correcto</v>
      </c>
    </row>
    <row r="426" spans="1:24" ht="18" customHeight="1" x14ac:dyDescent="0.25">
      <c r="A426" s="172">
        <v>417</v>
      </c>
      <c r="B426" s="145" t="s">
        <v>1719</v>
      </c>
      <c r="C426" s="146">
        <v>42047</v>
      </c>
      <c r="D426" s="147">
        <v>5</v>
      </c>
      <c r="E426" s="147" t="s">
        <v>93</v>
      </c>
      <c r="F426" s="145" t="s">
        <v>1122</v>
      </c>
      <c r="G426" s="147" t="s">
        <v>202</v>
      </c>
      <c r="H426" s="148">
        <v>42059</v>
      </c>
      <c r="I426" s="147" t="s">
        <v>187</v>
      </c>
      <c r="J426" s="147" t="s">
        <v>103</v>
      </c>
      <c r="K426" s="149" t="s">
        <v>1720</v>
      </c>
      <c r="L426" s="148">
        <v>41694</v>
      </c>
      <c r="M426" s="149" t="s">
        <v>1721</v>
      </c>
      <c r="N426" s="149" t="s">
        <v>1079</v>
      </c>
      <c r="O426" s="148">
        <v>42060</v>
      </c>
      <c r="P426" s="150">
        <f t="shared" si="666"/>
        <v>13</v>
      </c>
      <c r="Q426" s="149" t="s">
        <v>1722</v>
      </c>
      <c r="R426" s="149" t="s">
        <v>17</v>
      </c>
      <c r="S426" s="149" t="s">
        <v>104</v>
      </c>
      <c r="T426" s="151" t="s">
        <v>1723</v>
      </c>
      <c r="U426" s="154">
        <v>42060</v>
      </c>
      <c r="V426" s="149" t="s">
        <v>186</v>
      </c>
      <c r="W426" s="153">
        <f t="shared" si="667"/>
        <v>0</v>
      </c>
      <c r="X426" s="153" t="str">
        <f t="shared" si="668"/>
        <v>Correcto</v>
      </c>
    </row>
    <row r="427" spans="1:24" ht="18" customHeight="1" x14ac:dyDescent="0.25">
      <c r="A427" s="172">
        <v>418</v>
      </c>
      <c r="B427" s="145" t="s">
        <v>1724</v>
      </c>
      <c r="C427" s="146">
        <v>42047</v>
      </c>
      <c r="D427" s="147">
        <v>2</v>
      </c>
      <c r="E427" s="147" t="s">
        <v>93</v>
      </c>
      <c r="F427" s="145" t="s">
        <v>1122</v>
      </c>
      <c r="G427" s="147" t="s">
        <v>202</v>
      </c>
      <c r="H427" s="148">
        <v>42048</v>
      </c>
      <c r="I427" s="147" t="s">
        <v>187</v>
      </c>
      <c r="J427" s="147" t="s">
        <v>103</v>
      </c>
      <c r="K427" s="149" t="s">
        <v>1725</v>
      </c>
      <c r="L427" s="148">
        <v>42048</v>
      </c>
      <c r="M427" s="149" t="s">
        <v>1559</v>
      </c>
      <c r="N427" s="149" t="s">
        <v>185</v>
      </c>
      <c r="O427" s="148">
        <v>42053</v>
      </c>
      <c r="P427" s="150">
        <f t="shared" si="666"/>
        <v>6</v>
      </c>
      <c r="Q427" s="149" t="s">
        <v>1726</v>
      </c>
      <c r="R427" s="149" t="s">
        <v>17</v>
      </c>
      <c r="S427" s="149" t="s">
        <v>1727</v>
      </c>
      <c r="T427" s="151" t="s">
        <v>1728</v>
      </c>
      <c r="U427" s="154">
        <v>42053</v>
      </c>
      <c r="V427" s="149" t="s">
        <v>186</v>
      </c>
      <c r="W427" s="153">
        <f t="shared" si="667"/>
        <v>0</v>
      </c>
      <c r="X427" s="153" t="str">
        <f t="shared" si="668"/>
        <v>Correcto</v>
      </c>
    </row>
    <row r="428" spans="1:24" ht="18" customHeight="1" x14ac:dyDescent="0.25">
      <c r="A428" s="172">
        <v>419</v>
      </c>
      <c r="B428" s="145" t="s">
        <v>1729</v>
      </c>
      <c r="C428" s="146">
        <v>42048</v>
      </c>
      <c r="D428" s="147">
        <v>2</v>
      </c>
      <c r="E428" s="147" t="s">
        <v>93</v>
      </c>
      <c r="F428" s="145" t="s">
        <v>1122</v>
      </c>
      <c r="G428" s="147" t="s">
        <v>202</v>
      </c>
      <c r="H428" s="148">
        <v>42048</v>
      </c>
      <c r="I428" s="147" t="s">
        <v>187</v>
      </c>
      <c r="J428" s="147" t="s">
        <v>103</v>
      </c>
      <c r="K428" s="149" t="s">
        <v>1730</v>
      </c>
      <c r="L428" s="148">
        <v>42048</v>
      </c>
      <c r="M428" s="149" t="s">
        <v>950</v>
      </c>
      <c r="N428" s="149" t="s">
        <v>185</v>
      </c>
      <c r="O428" s="148">
        <v>42054</v>
      </c>
      <c r="P428" s="150">
        <f t="shared" si="666"/>
        <v>6</v>
      </c>
      <c r="Q428" s="149" t="s">
        <v>1731</v>
      </c>
      <c r="R428" s="149" t="s">
        <v>17</v>
      </c>
      <c r="S428" s="149" t="s">
        <v>101</v>
      </c>
      <c r="T428" s="149" t="s">
        <v>1732</v>
      </c>
      <c r="U428" s="154">
        <v>42055</v>
      </c>
      <c r="V428" s="149" t="s">
        <v>186</v>
      </c>
      <c r="W428" s="153">
        <f t="shared" si="667"/>
        <v>0</v>
      </c>
      <c r="X428" s="153" t="str">
        <f t="shared" si="668"/>
        <v>Correcto</v>
      </c>
    </row>
    <row r="429" spans="1:24" ht="18" customHeight="1" x14ac:dyDescent="0.25">
      <c r="A429" s="172">
        <v>420</v>
      </c>
      <c r="B429" s="145" t="s">
        <v>1733</v>
      </c>
      <c r="C429" s="146">
        <v>42048</v>
      </c>
      <c r="D429" s="147">
        <v>2</v>
      </c>
      <c r="E429" s="147" t="s">
        <v>93</v>
      </c>
      <c r="F429" s="145" t="s">
        <v>1122</v>
      </c>
      <c r="G429" s="147" t="s">
        <v>202</v>
      </c>
      <c r="H429" s="148">
        <v>42048</v>
      </c>
      <c r="I429" s="147" t="s">
        <v>187</v>
      </c>
      <c r="J429" s="147" t="s">
        <v>103</v>
      </c>
      <c r="K429" s="149" t="s">
        <v>1734</v>
      </c>
      <c r="L429" s="148">
        <v>42048</v>
      </c>
      <c r="M429" s="149" t="s">
        <v>950</v>
      </c>
      <c r="N429" s="149" t="s">
        <v>185</v>
      </c>
      <c r="O429" s="148">
        <v>42053</v>
      </c>
      <c r="P429" s="150">
        <f t="shared" si="666"/>
        <v>5</v>
      </c>
      <c r="Q429" s="149" t="s">
        <v>1735</v>
      </c>
      <c r="R429" s="149" t="s">
        <v>17</v>
      </c>
      <c r="S429" s="149" t="s">
        <v>101</v>
      </c>
      <c r="T429" s="149" t="s">
        <v>1736</v>
      </c>
      <c r="U429" s="154">
        <v>42053</v>
      </c>
      <c r="V429" s="149" t="s">
        <v>186</v>
      </c>
      <c r="W429" s="153">
        <f t="shared" si="667"/>
        <v>0</v>
      </c>
      <c r="X429" s="153" t="str">
        <f t="shared" si="668"/>
        <v>Correcto</v>
      </c>
    </row>
    <row r="430" spans="1:24" ht="18" customHeight="1" x14ac:dyDescent="0.25">
      <c r="A430" s="172">
        <v>421</v>
      </c>
      <c r="B430" s="145" t="s">
        <v>1737</v>
      </c>
      <c r="C430" s="146">
        <v>42048</v>
      </c>
      <c r="D430" s="147">
        <v>2</v>
      </c>
      <c r="E430" s="147" t="s">
        <v>93</v>
      </c>
      <c r="F430" s="145" t="s">
        <v>1122</v>
      </c>
      <c r="G430" s="147" t="s">
        <v>202</v>
      </c>
      <c r="H430" s="148">
        <v>42054</v>
      </c>
      <c r="I430" s="147" t="s">
        <v>187</v>
      </c>
      <c r="J430" s="147" t="s">
        <v>103</v>
      </c>
      <c r="K430" s="149" t="s">
        <v>1738</v>
      </c>
      <c r="L430" s="148">
        <v>42054</v>
      </c>
      <c r="M430" s="149" t="s">
        <v>950</v>
      </c>
      <c r="N430" s="149" t="s">
        <v>185</v>
      </c>
      <c r="O430" s="148">
        <v>42054</v>
      </c>
      <c r="P430" s="150">
        <f t="shared" si="666"/>
        <v>6</v>
      </c>
      <c r="Q430" s="149" t="s">
        <v>1739</v>
      </c>
      <c r="R430" s="149" t="s">
        <v>17</v>
      </c>
      <c r="S430" s="149" t="s">
        <v>972</v>
      </c>
      <c r="T430" s="151" t="s">
        <v>975</v>
      </c>
      <c r="U430" s="154">
        <v>42055</v>
      </c>
      <c r="V430" s="149" t="s">
        <v>186</v>
      </c>
      <c r="W430" s="153">
        <f t="shared" si="667"/>
        <v>0</v>
      </c>
      <c r="X430" s="153" t="str">
        <f t="shared" si="668"/>
        <v>Correcto</v>
      </c>
    </row>
    <row r="431" spans="1:24" ht="18" customHeight="1" x14ac:dyDescent="0.25">
      <c r="A431" s="172">
        <v>422</v>
      </c>
      <c r="B431" s="145" t="s">
        <v>1740</v>
      </c>
      <c r="C431" s="146">
        <v>42048</v>
      </c>
      <c r="D431" s="147">
        <v>2</v>
      </c>
      <c r="E431" s="147" t="s">
        <v>93</v>
      </c>
      <c r="F431" s="145" t="s">
        <v>1122</v>
      </c>
      <c r="G431" s="147" t="s">
        <v>202</v>
      </c>
      <c r="H431" s="148">
        <v>42048</v>
      </c>
      <c r="I431" s="147" t="s">
        <v>187</v>
      </c>
      <c r="J431" s="147" t="s">
        <v>103</v>
      </c>
      <c r="K431" s="149" t="s">
        <v>1741</v>
      </c>
      <c r="L431" s="148">
        <v>42048</v>
      </c>
      <c r="M431" s="149" t="s">
        <v>950</v>
      </c>
      <c r="N431" s="149" t="s">
        <v>185</v>
      </c>
      <c r="O431" s="148">
        <v>42053</v>
      </c>
      <c r="P431" s="150">
        <f t="shared" si="666"/>
        <v>5</v>
      </c>
      <c r="Q431" s="149" t="s">
        <v>1742</v>
      </c>
      <c r="R431" s="149" t="s">
        <v>17</v>
      </c>
      <c r="S431" s="149" t="s">
        <v>1743</v>
      </c>
      <c r="T431" s="151" t="s">
        <v>1744</v>
      </c>
      <c r="U431" s="154">
        <v>42055</v>
      </c>
      <c r="V431" s="149" t="s">
        <v>186</v>
      </c>
      <c r="W431" s="153">
        <f t="shared" si="667"/>
        <v>0</v>
      </c>
      <c r="X431" s="153" t="str">
        <f t="shared" si="668"/>
        <v>Correcto</v>
      </c>
    </row>
    <row r="432" spans="1:24" ht="18" customHeight="1" x14ac:dyDescent="0.25">
      <c r="A432" s="172">
        <v>423</v>
      </c>
      <c r="B432" s="145" t="s">
        <v>1745</v>
      </c>
      <c r="C432" s="146">
        <v>42053</v>
      </c>
      <c r="D432" s="147">
        <v>3</v>
      </c>
      <c r="E432" s="147" t="s">
        <v>93</v>
      </c>
      <c r="F432" s="145" t="s">
        <v>1122</v>
      </c>
      <c r="G432" s="147" t="s">
        <v>202</v>
      </c>
      <c r="H432" s="148">
        <v>42054</v>
      </c>
      <c r="I432" s="147" t="s">
        <v>187</v>
      </c>
      <c r="J432" s="147" t="s">
        <v>103</v>
      </c>
      <c r="K432" s="149" t="s">
        <v>1746</v>
      </c>
      <c r="L432" s="148">
        <v>42054</v>
      </c>
      <c r="M432" s="149" t="s">
        <v>1654</v>
      </c>
      <c r="N432" s="149" t="s">
        <v>185</v>
      </c>
      <c r="O432" s="148">
        <v>42054</v>
      </c>
      <c r="P432" s="150">
        <f t="shared" si="666"/>
        <v>1</v>
      </c>
      <c r="Q432" s="149" t="s">
        <v>1747</v>
      </c>
      <c r="R432" s="149" t="s">
        <v>17</v>
      </c>
      <c r="S432" s="149" t="s">
        <v>104</v>
      </c>
      <c r="T432" s="151" t="s">
        <v>1748</v>
      </c>
      <c r="U432" s="154">
        <v>42055</v>
      </c>
      <c r="V432" s="149" t="s">
        <v>186</v>
      </c>
      <c r="W432" s="153">
        <f t="shared" si="667"/>
        <v>0</v>
      </c>
      <c r="X432" s="153" t="str">
        <f t="shared" si="668"/>
        <v>Correcto</v>
      </c>
    </row>
    <row r="433" spans="1:24" ht="18" customHeight="1" x14ac:dyDescent="0.25">
      <c r="A433" s="172">
        <v>424</v>
      </c>
      <c r="B433" s="145" t="s">
        <v>1749</v>
      </c>
      <c r="C433" s="146">
        <v>42053</v>
      </c>
      <c r="D433" s="147">
        <v>2</v>
      </c>
      <c r="E433" s="147" t="s">
        <v>93</v>
      </c>
      <c r="F433" s="145" t="s">
        <v>1122</v>
      </c>
      <c r="G433" s="147" t="s">
        <v>202</v>
      </c>
      <c r="H433" s="148">
        <v>42054</v>
      </c>
      <c r="I433" s="147" t="s">
        <v>187</v>
      </c>
      <c r="J433" s="147" t="s">
        <v>103</v>
      </c>
      <c r="K433" s="149" t="s">
        <v>1750</v>
      </c>
      <c r="L433" s="148">
        <v>42054</v>
      </c>
      <c r="M433" s="149" t="s">
        <v>1654</v>
      </c>
      <c r="N433" s="149" t="s">
        <v>185</v>
      </c>
      <c r="O433" s="148">
        <v>42055</v>
      </c>
      <c r="P433" s="150">
        <f t="shared" si="666"/>
        <v>2</v>
      </c>
      <c r="Q433" s="149" t="s">
        <v>1751</v>
      </c>
      <c r="R433" s="149" t="s">
        <v>1175</v>
      </c>
      <c r="S433" s="149" t="s">
        <v>101</v>
      </c>
      <c r="T433" s="151" t="s">
        <v>1752</v>
      </c>
      <c r="U433" s="154">
        <v>42062</v>
      </c>
      <c r="V433" s="149" t="s">
        <v>186</v>
      </c>
      <c r="W433" s="153">
        <f t="shared" si="667"/>
        <v>0</v>
      </c>
      <c r="X433" s="153" t="str">
        <f t="shared" si="668"/>
        <v>Correcto</v>
      </c>
    </row>
    <row r="434" spans="1:24" ht="18" customHeight="1" x14ac:dyDescent="0.25">
      <c r="A434" s="172">
        <v>425</v>
      </c>
      <c r="B434" s="145" t="s">
        <v>1753</v>
      </c>
      <c r="C434" s="146">
        <v>42053</v>
      </c>
      <c r="D434" s="147">
        <v>2</v>
      </c>
      <c r="E434" s="147" t="s">
        <v>93</v>
      </c>
      <c r="F434" s="145" t="s">
        <v>1122</v>
      </c>
      <c r="G434" s="147" t="s">
        <v>202</v>
      </c>
      <c r="H434" s="148">
        <v>42054</v>
      </c>
      <c r="I434" s="147" t="s">
        <v>187</v>
      </c>
      <c r="J434" s="147" t="s">
        <v>103</v>
      </c>
      <c r="K434" s="149" t="s">
        <v>1754</v>
      </c>
      <c r="L434" s="148">
        <v>42054</v>
      </c>
      <c r="M434" s="149" t="s">
        <v>1654</v>
      </c>
      <c r="N434" s="149" t="s">
        <v>185</v>
      </c>
      <c r="O434" s="148">
        <v>42055</v>
      </c>
      <c r="P434" s="150">
        <f t="shared" si="666"/>
        <v>2</v>
      </c>
      <c r="Q434" s="149" t="s">
        <v>1755</v>
      </c>
      <c r="R434" s="149" t="s">
        <v>17</v>
      </c>
      <c r="S434" s="149" t="s">
        <v>1756</v>
      </c>
      <c r="T434" s="151" t="s">
        <v>1757</v>
      </c>
      <c r="U434" s="154">
        <v>42058</v>
      </c>
      <c r="V434" s="149" t="s">
        <v>186</v>
      </c>
      <c r="W434" s="153">
        <f t="shared" si="667"/>
        <v>0</v>
      </c>
      <c r="X434" s="153" t="str">
        <f t="shared" si="668"/>
        <v>Correcto</v>
      </c>
    </row>
    <row r="435" spans="1:24" ht="18" customHeight="1" x14ac:dyDescent="0.25">
      <c r="A435" s="172">
        <v>426</v>
      </c>
      <c r="B435" s="145" t="s">
        <v>1758</v>
      </c>
      <c r="C435" s="146">
        <v>42053</v>
      </c>
      <c r="D435" s="147">
        <v>2</v>
      </c>
      <c r="E435" s="147" t="s">
        <v>93</v>
      </c>
      <c r="F435" s="145" t="s">
        <v>1122</v>
      </c>
      <c r="G435" s="147" t="s">
        <v>202</v>
      </c>
      <c r="H435" s="148">
        <v>42054</v>
      </c>
      <c r="I435" s="147" t="s">
        <v>187</v>
      </c>
      <c r="J435" s="147" t="s">
        <v>103</v>
      </c>
      <c r="K435" s="149" t="s">
        <v>1759</v>
      </c>
      <c r="L435" s="148">
        <v>42054</v>
      </c>
      <c r="M435" s="149" t="s">
        <v>1654</v>
      </c>
      <c r="N435" s="149" t="s">
        <v>185</v>
      </c>
      <c r="O435" s="148">
        <v>42055</v>
      </c>
      <c r="P435" s="150">
        <f t="shared" si="666"/>
        <v>2</v>
      </c>
      <c r="Q435" s="149" t="s">
        <v>1760</v>
      </c>
      <c r="R435" s="149" t="s">
        <v>17</v>
      </c>
      <c r="S435" s="149" t="s">
        <v>1761</v>
      </c>
      <c r="T435" s="151" t="s">
        <v>1762</v>
      </c>
      <c r="U435" s="154">
        <v>42058</v>
      </c>
      <c r="V435" s="149" t="s">
        <v>186</v>
      </c>
      <c r="W435" s="153">
        <f t="shared" si="667"/>
        <v>0</v>
      </c>
      <c r="X435" s="153" t="str">
        <f t="shared" si="668"/>
        <v>Correcto</v>
      </c>
    </row>
    <row r="436" spans="1:24" ht="18" customHeight="1" x14ac:dyDescent="0.25">
      <c r="A436" s="172">
        <v>427</v>
      </c>
      <c r="B436" s="145" t="s">
        <v>1763</v>
      </c>
      <c r="C436" s="146">
        <v>42053</v>
      </c>
      <c r="D436" s="147">
        <v>4</v>
      </c>
      <c r="E436" s="147" t="s">
        <v>93</v>
      </c>
      <c r="F436" s="145" t="s">
        <v>1122</v>
      </c>
      <c r="G436" s="147" t="s">
        <v>202</v>
      </c>
      <c r="H436" s="148">
        <v>42055</v>
      </c>
      <c r="I436" s="147" t="s">
        <v>187</v>
      </c>
      <c r="J436" s="147" t="s">
        <v>103</v>
      </c>
      <c r="K436" s="149" t="s">
        <v>1764</v>
      </c>
      <c r="L436" s="148">
        <v>42055</v>
      </c>
      <c r="M436" s="149" t="s">
        <v>1654</v>
      </c>
      <c r="N436" s="149" t="s">
        <v>185</v>
      </c>
      <c r="O436" s="148">
        <v>42056</v>
      </c>
      <c r="P436" s="150">
        <f t="shared" si="666"/>
        <v>3</v>
      </c>
      <c r="Q436" s="149" t="s">
        <v>1765</v>
      </c>
      <c r="R436" s="149" t="s">
        <v>17</v>
      </c>
      <c r="S436" s="149" t="s">
        <v>1766</v>
      </c>
      <c r="T436" s="151" t="s">
        <v>1767</v>
      </c>
      <c r="U436" s="154">
        <v>42058</v>
      </c>
      <c r="V436" s="149" t="s">
        <v>186</v>
      </c>
      <c r="W436" s="153">
        <f t="shared" si="667"/>
        <v>0</v>
      </c>
      <c r="X436" s="153" t="str">
        <f t="shared" si="668"/>
        <v>Correcto</v>
      </c>
    </row>
    <row r="437" spans="1:24" ht="18" customHeight="1" x14ac:dyDescent="0.25">
      <c r="A437" s="172">
        <v>428</v>
      </c>
      <c r="B437" s="145" t="s">
        <v>1768</v>
      </c>
      <c r="C437" s="146">
        <v>42053</v>
      </c>
      <c r="D437" s="147">
        <v>2</v>
      </c>
      <c r="E437" s="147" t="s">
        <v>93</v>
      </c>
      <c r="F437" s="145" t="s">
        <v>1122</v>
      </c>
      <c r="G437" s="147" t="s">
        <v>202</v>
      </c>
      <c r="H437" s="148">
        <v>42054</v>
      </c>
      <c r="I437" s="147" t="s">
        <v>187</v>
      </c>
      <c r="J437" s="147" t="s">
        <v>103</v>
      </c>
      <c r="K437" s="149" t="s">
        <v>1769</v>
      </c>
      <c r="L437" s="148">
        <v>42054</v>
      </c>
      <c r="M437" s="149" t="s">
        <v>1654</v>
      </c>
      <c r="N437" s="149" t="s">
        <v>185</v>
      </c>
      <c r="O437" s="148">
        <v>42055</v>
      </c>
      <c r="P437" s="150">
        <f t="shared" si="666"/>
        <v>2</v>
      </c>
      <c r="Q437" s="149" t="s">
        <v>1770</v>
      </c>
      <c r="R437" s="149" t="s">
        <v>17</v>
      </c>
      <c r="S437" s="149" t="s">
        <v>1771</v>
      </c>
      <c r="T437" s="151" t="s">
        <v>1772</v>
      </c>
      <c r="U437" s="154">
        <v>42058</v>
      </c>
      <c r="V437" s="149" t="s">
        <v>186</v>
      </c>
      <c r="W437" s="153">
        <f t="shared" si="667"/>
        <v>0</v>
      </c>
      <c r="X437" s="153" t="str">
        <f t="shared" si="668"/>
        <v>Correcto</v>
      </c>
    </row>
    <row r="438" spans="1:24" ht="18" customHeight="1" x14ac:dyDescent="0.25">
      <c r="A438" s="172">
        <v>429</v>
      </c>
      <c r="B438" s="145" t="s">
        <v>1773</v>
      </c>
      <c r="C438" s="146">
        <v>42053</v>
      </c>
      <c r="D438" s="147">
        <v>2</v>
      </c>
      <c r="E438" s="147" t="s">
        <v>93</v>
      </c>
      <c r="F438" s="145" t="s">
        <v>1774</v>
      </c>
      <c r="G438" s="147" t="s">
        <v>202</v>
      </c>
      <c r="H438" s="148">
        <v>42061</v>
      </c>
      <c r="I438" s="147" t="s">
        <v>187</v>
      </c>
      <c r="J438" s="147" t="s">
        <v>103</v>
      </c>
      <c r="K438" s="149" t="s">
        <v>1775</v>
      </c>
      <c r="L438" s="148">
        <v>42061</v>
      </c>
      <c r="M438" s="149" t="s">
        <v>1654</v>
      </c>
      <c r="N438" s="149" t="s">
        <v>185</v>
      </c>
      <c r="O438" s="148">
        <v>42062</v>
      </c>
      <c r="P438" s="150">
        <f t="shared" si="666"/>
        <v>9</v>
      </c>
      <c r="Q438" s="149" t="s">
        <v>1776</v>
      </c>
      <c r="R438" s="149" t="s">
        <v>17</v>
      </c>
      <c r="S438" s="149" t="s">
        <v>1574</v>
      </c>
      <c r="T438" s="151" t="s">
        <v>1574</v>
      </c>
      <c r="U438" s="154">
        <v>42062</v>
      </c>
      <c r="V438" s="149" t="s">
        <v>186</v>
      </c>
      <c r="W438" s="153">
        <f t="shared" si="667"/>
        <v>0</v>
      </c>
      <c r="X438" s="153" t="str">
        <f t="shared" si="668"/>
        <v>Correcto</v>
      </c>
    </row>
    <row r="439" spans="1:24" ht="18" customHeight="1" x14ac:dyDescent="0.25">
      <c r="A439" s="172">
        <v>430</v>
      </c>
      <c r="B439" s="145" t="s">
        <v>1777</v>
      </c>
      <c r="C439" s="146">
        <v>42053</v>
      </c>
      <c r="D439" s="147">
        <v>8</v>
      </c>
      <c r="E439" s="147" t="s">
        <v>93</v>
      </c>
      <c r="F439" s="145" t="s">
        <v>1778</v>
      </c>
      <c r="G439" s="147" t="s">
        <v>202</v>
      </c>
      <c r="H439" s="148">
        <v>42055</v>
      </c>
      <c r="I439" s="147" t="s">
        <v>187</v>
      </c>
      <c r="J439" s="147" t="s">
        <v>103</v>
      </c>
      <c r="K439" s="149" t="s">
        <v>1779</v>
      </c>
      <c r="L439" s="148">
        <v>42055</v>
      </c>
      <c r="M439" s="149" t="s">
        <v>1654</v>
      </c>
      <c r="N439" s="149" t="s">
        <v>185</v>
      </c>
      <c r="O439" s="148">
        <v>42055</v>
      </c>
      <c r="P439" s="150">
        <f t="shared" si="666"/>
        <v>2</v>
      </c>
      <c r="Q439" s="149" t="s">
        <v>1779</v>
      </c>
      <c r="R439" s="149" t="s">
        <v>17</v>
      </c>
      <c r="S439" s="149" t="s">
        <v>104</v>
      </c>
      <c r="T439" s="151" t="s">
        <v>1780</v>
      </c>
      <c r="U439" s="154">
        <v>42058</v>
      </c>
      <c r="V439" s="149" t="s">
        <v>186</v>
      </c>
      <c r="W439" s="153">
        <f t="shared" si="667"/>
        <v>0</v>
      </c>
      <c r="X439" s="153" t="str">
        <f t="shared" si="668"/>
        <v>Correcto</v>
      </c>
    </row>
    <row r="440" spans="1:24" ht="18" customHeight="1" x14ac:dyDescent="0.25">
      <c r="A440" s="172">
        <v>431</v>
      </c>
      <c r="B440" s="145" t="s">
        <v>1781</v>
      </c>
      <c r="C440" s="146">
        <v>42053</v>
      </c>
      <c r="D440" s="147">
        <v>2</v>
      </c>
      <c r="E440" s="147" t="s">
        <v>93</v>
      </c>
      <c r="F440" s="145" t="s">
        <v>1122</v>
      </c>
      <c r="G440" s="147" t="s">
        <v>202</v>
      </c>
      <c r="H440" s="148">
        <v>42054</v>
      </c>
      <c r="I440" s="147" t="s">
        <v>187</v>
      </c>
      <c r="J440" s="147" t="s">
        <v>103</v>
      </c>
      <c r="K440" s="149" t="s">
        <v>1782</v>
      </c>
      <c r="L440" s="148">
        <v>42054</v>
      </c>
      <c r="M440" s="149" t="s">
        <v>1654</v>
      </c>
      <c r="N440" s="149" t="s">
        <v>185</v>
      </c>
      <c r="O440" s="148">
        <v>42055</v>
      </c>
      <c r="P440" s="150">
        <f t="shared" si="666"/>
        <v>2</v>
      </c>
      <c r="Q440" s="149" t="s">
        <v>1783</v>
      </c>
      <c r="R440" s="149" t="s">
        <v>17</v>
      </c>
      <c r="S440" s="149" t="s">
        <v>1784</v>
      </c>
      <c r="T440" s="151" t="s">
        <v>1785</v>
      </c>
      <c r="U440" s="154">
        <v>42055</v>
      </c>
      <c r="V440" s="149" t="s">
        <v>186</v>
      </c>
      <c r="W440" s="153">
        <f t="shared" si="667"/>
        <v>0</v>
      </c>
      <c r="X440" s="153" t="str">
        <f t="shared" si="668"/>
        <v>Correcto</v>
      </c>
    </row>
    <row r="441" spans="1:24" ht="18" customHeight="1" x14ac:dyDescent="0.25">
      <c r="A441" s="172">
        <v>432</v>
      </c>
      <c r="B441" s="145" t="s">
        <v>1786</v>
      </c>
      <c r="C441" s="146">
        <v>42054</v>
      </c>
      <c r="D441" s="147">
        <v>2</v>
      </c>
      <c r="E441" s="147" t="s">
        <v>93</v>
      </c>
      <c r="F441" s="145" t="s">
        <v>1122</v>
      </c>
      <c r="G441" s="147" t="s">
        <v>202</v>
      </c>
      <c r="H441" s="148">
        <v>42055</v>
      </c>
      <c r="I441" s="147" t="s">
        <v>187</v>
      </c>
      <c r="J441" s="147" t="s">
        <v>103</v>
      </c>
      <c r="K441" s="149" t="s">
        <v>1787</v>
      </c>
      <c r="L441" s="148">
        <v>42055</v>
      </c>
      <c r="M441" s="149" t="s">
        <v>1654</v>
      </c>
      <c r="N441" s="149" t="s">
        <v>185</v>
      </c>
      <c r="O441" s="148">
        <v>42056</v>
      </c>
      <c r="P441" s="150">
        <f t="shared" si="666"/>
        <v>2</v>
      </c>
      <c r="Q441" s="149" t="s">
        <v>1788</v>
      </c>
      <c r="R441" s="149" t="s">
        <v>17</v>
      </c>
      <c r="S441" s="149" t="s">
        <v>101</v>
      </c>
      <c r="T441" s="149" t="s">
        <v>1693</v>
      </c>
      <c r="U441" s="154">
        <v>42058</v>
      </c>
      <c r="V441" s="149" t="s">
        <v>186</v>
      </c>
      <c r="W441" s="153">
        <f t="shared" si="667"/>
        <v>0</v>
      </c>
      <c r="X441" s="153" t="str">
        <f t="shared" si="668"/>
        <v>Correcto</v>
      </c>
    </row>
    <row r="442" spans="1:24" ht="18" customHeight="1" x14ac:dyDescent="0.25">
      <c r="A442" s="172">
        <v>433</v>
      </c>
      <c r="B442" s="145" t="s">
        <v>1789</v>
      </c>
      <c r="C442" s="146">
        <v>42054</v>
      </c>
      <c r="D442" s="147">
        <v>3</v>
      </c>
      <c r="E442" s="147" t="s">
        <v>93</v>
      </c>
      <c r="F442" s="145" t="s">
        <v>1122</v>
      </c>
      <c r="G442" s="147" t="s">
        <v>202</v>
      </c>
      <c r="H442" s="148">
        <v>42055</v>
      </c>
      <c r="I442" s="147" t="s">
        <v>187</v>
      </c>
      <c r="J442" s="147" t="s">
        <v>103</v>
      </c>
      <c r="K442" s="149" t="s">
        <v>1790</v>
      </c>
      <c r="L442" s="148">
        <v>42055</v>
      </c>
      <c r="M442" s="149" t="s">
        <v>1654</v>
      </c>
      <c r="N442" s="149" t="s">
        <v>185</v>
      </c>
      <c r="O442" s="148">
        <v>42056</v>
      </c>
      <c r="P442" s="150">
        <f t="shared" si="666"/>
        <v>2</v>
      </c>
      <c r="Q442" s="149" t="s">
        <v>1791</v>
      </c>
      <c r="R442" s="149" t="s">
        <v>1175</v>
      </c>
      <c r="S442" s="149" t="s">
        <v>101</v>
      </c>
      <c r="T442" s="151" t="s">
        <v>1792</v>
      </c>
      <c r="U442" s="154">
        <v>42056</v>
      </c>
      <c r="V442" s="149" t="s">
        <v>186</v>
      </c>
      <c r="W442" s="153">
        <f t="shared" si="667"/>
        <v>0</v>
      </c>
      <c r="X442" s="153" t="str">
        <f t="shared" si="668"/>
        <v>Correcto</v>
      </c>
    </row>
    <row r="443" spans="1:24" ht="18" customHeight="1" x14ac:dyDescent="0.25">
      <c r="A443" s="172">
        <v>434</v>
      </c>
      <c r="B443" s="145" t="s">
        <v>1793</v>
      </c>
      <c r="C443" s="146">
        <v>42054</v>
      </c>
      <c r="D443" s="147">
        <v>2</v>
      </c>
      <c r="E443" s="147" t="s">
        <v>93</v>
      </c>
      <c r="F443" s="145" t="s">
        <v>1122</v>
      </c>
      <c r="G443" s="147" t="s">
        <v>202</v>
      </c>
      <c r="H443" s="148">
        <v>42055</v>
      </c>
      <c r="I443" s="147" t="s">
        <v>187</v>
      </c>
      <c r="J443" s="147" t="s">
        <v>103</v>
      </c>
      <c r="K443" s="149" t="s">
        <v>1794</v>
      </c>
      <c r="L443" s="148">
        <v>42055</v>
      </c>
      <c r="M443" s="149" t="s">
        <v>1654</v>
      </c>
      <c r="N443" s="149" t="s">
        <v>185</v>
      </c>
      <c r="O443" s="148">
        <v>42056</v>
      </c>
      <c r="P443" s="150">
        <f t="shared" si="666"/>
        <v>2</v>
      </c>
      <c r="Q443" s="149" t="s">
        <v>1795</v>
      </c>
      <c r="R443" s="149" t="s">
        <v>17</v>
      </c>
      <c r="S443" s="149" t="s">
        <v>1796</v>
      </c>
      <c r="T443" s="151" t="s">
        <v>1797</v>
      </c>
      <c r="U443" s="154">
        <v>42056</v>
      </c>
      <c r="V443" s="149" t="s">
        <v>186</v>
      </c>
      <c r="W443" s="153">
        <f t="shared" si="667"/>
        <v>0</v>
      </c>
      <c r="X443" s="153" t="str">
        <f t="shared" si="668"/>
        <v>Correcto</v>
      </c>
    </row>
    <row r="444" spans="1:24" ht="18" customHeight="1" x14ac:dyDescent="0.25">
      <c r="A444" s="172">
        <v>435</v>
      </c>
      <c r="B444" s="145" t="s">
        <v>1798</v>
      </c>
      <c r="C444" s="146">
        <v>42054</v>
      </c>
      <c r="D444" s="147">
        <v>2</v>
      </c>
      <c r="E444" s="147" t="s">
        <v>93</v>
      </c>
      <c r="F444" s="145" t="s">
        <v>1122</v>
      </c>
      <c r="G444" s="147" t="s">
        <v>202</v>
      </c>
      <c r="H444" s="148">
        <v>42055</v>
      </c>
      <c r="I444" s="147" t="s">
        <v>187</v>
      </c>
      <c r="J444" s="147" t="s">
        <v>103</v>
      </c>
      <c r="K444" s="149" t="s">
        <v>1799</v>
      </c>
      <c r="L444" s="148">
        <v>42055</v>
      </c>
      <c r="M444" s="149" t="s">
        <v>1654</v>
      </c>
      <c r="N444" s="149" t="s">
        <v>185</v>
      </c>
      <c r="O444" s="148">
        <v>42058</v>
      </c>
      <c r="P444" s="150">
        <f t="shared" si="666"/>
        <v>4</v>
      </c>
      <c r="Q444" s="149" t="s">
        <v>1800</v>
      </c>
      <c r="R444" s="149" t="s">
        <v>17</v>
      </c>
      <c r="S444" s="149" t="s">
        <v>1801</v>
      </c>
      <c r="T444" s="151" t="s">
        <v>1802</v>
      </c>
      <c r="U444" s="154">
        <v>42058</v>
      </c>
      <c r="V444" s="149" t="s">
        <v>186</v>
      </c>
      <c r="W444" s="153">
        <f t="shared" si="667"/>
        <v>0</v>
      </c>
      <c r="X444" s="153" t="str">
        <f t="shared" si="668"/>
        <v>Correcto</v>
      </c>
    </row>
    <row r="445" spans="1:24" ht="18" customHeight="1" x14ac:dyDescent="0.25">
      <c r="A445" s="172">
        <v>436</v>
      </c>
      <c r="B445" s="145" t="s">
        <v>1803</v>
      </c>
      <c r="C445" s="146">
        <v>42054</v>
      </c>
      <c r="D445" s="147">
        <v>2</v>
      </c>
      <c r="E445" s="147" t="s">
        <v>93</v>
      </c>
      <c r="F445" s="145" t="s">
        <v>1122</v>
      </c>
      <c r="G445" s="147" t="s">
        <v>202</v>
      </c>
      <c r="H445" s="148">
        <v>42055</v>
      </c>
      <c r="I445" s="147" t="s">
        <v>187</v>
      </c>
      <c r="J445" s="147" t="s">
        <v>103</v>
      </c>
      <c r="K445" s="149" t="s">
        <v>1804</v>
      </c>
      <c r="L445" s="148">
        <v>42055</v>
      </c>
      <c r="M445" s="149" t="s">
        <v>1654</v>
      </c>
      <c r="N445" s="149" t="s">
        <v>185</v>
      </c>
      <c r="O445" s="148">
        <v>42056</v>
      </c>
      <c r="P445" s="150">
        <f t="shared" si="666"/>
        <v>2</v>
      </c>
      <c r="Q445" s="149" t="s">
        <v>1805</v>
      </c>
      <c r="R445" s="149" t="s">
        <v>17</v>
      </c>
      <c r="S445" s="149" t="s">
        <v>101</v>
      </c>
      <c r="T445" s="149" t="s">
        <v>1693</v>
      </c>
      <c r="U445" s="154">
        <v>42058</v>
      </c>
      <c r="V445" s="149" t="s">
        <v>186</v>
      </c>
      <c r="W445" s="153">
        <f t="shared" si="667"/>
        <v>0</v>
      </c>
      <c r="X445" s="153" t="str">
        <f t="shared" si="668"/>
        <v>Correcto</v>
      </c>
    </row>
    <row r="446" spans="1:24" ht="18" customHeight="1" x14ac:dyDescent="0.25">
      <c r="A446" s="172">
        <v>437</v>
      </c>
      <c r="B446" s="145" t="s">
        <v>1806</v>
      </c>
      <c r="C446" s="146">
        <v>42054</v>
      </c>
      <c r="D446" s="147">
        <v>2</v>
      </c>
      <c r="E446" s="147" t="s">
        <v>93</v>
      </c>
      <c r="F446" s="145" t="s">
        <v>1122</v>
      </c>
      <c r="G446" s="147" t="s">
        <v>202</v>
      </c>
      <c r="H446" s="148">
        <v>42055</v>
      </c>
      <c r="I446" s="147" t="s">
        <v>187</v>
      </c>
      <c r="J446" s="147" t="s">
        <v>103</v>
      </c>
      <c r="K446" s="149" t="s">
        <v>1807</v>
      </c>
      <c r="L446" s="148">
        <v>42055</v>
      </c>
      <c r="M446" s="149" t="s">
        <v>1654</v>
      </c>
      <c r="N446" s="149" t="s">
        <v>185</v>
      </c>
      <c r="O446" s="148">
        <v>42056</v>
      </c>
      <c r="P446" s="150">
        <f t="shared" si="666"/>
        <v>2</v>
      </c>
      <c r="Q446" s="149" t="s">
        <v>1808</v>
      </c>
      <c r="R446" s="149" t="s">
        <v>17</v>
      </c>
      <c r="S446" s="149" t="s">
        <v>101</v>
      </c>
      <c r="T446" s="149" t="s">
        <v>1651</v>
      </c>
      <c r="U446" s="154">
        <v>42058</v>
      </c>
      <c r="V446" s="149" t="s">
        <v>186</v>
      </c>
      <c r="W446" s="153">
        <f t="shared" si="667"/>
        <v>0</v>
      </c>
      <c r="X446" s="153" t="str">
        <f t="shared" si="668"/>
        <v>Correcto</v>
      </c>
    </row>
    <row r="447" spans="1:24" ht="18" customHeight="1" x14ac:dyDescent="0.25">
      <c r="A447" s="172">
        <v>438</v>
      </c>
      <c r="B447" s="145" t="s">
        <v>1809</v>
      </c>
      <c r="C447" s="146">
        <v>42054</v>
      </c>
      <c r="D447" s="147">
        <v>2</v>
      </c>
      <c r="E447" s="147" t="s">
        <v>93</v>
      </c>
      <c r="F447" s="145" t="s">
        <v>1122</v>
      </c>
      <c r="G447" s="147" t="s">
        <v>202</v>
      </c>
      <c r="H447" s="148">
        <v>42055</v>
      </c>
      <c r="I447" s="147" t="s">
        <v>187</v>
      </c>
      <c r="J447" s="147" t="s">
        <v>103</v>
      </c>
      <c r="K447" s="149" t="s">
        <v>1810</v>
      </c>
      <c r="L447" s="148">
        <v>42055</v>
      </c>
      <c r="M447" s="149" t="s">
        <v>1654</v>
      </c>
      <c r="N447" s="149" t="s">
        <v>185</v>
      </c>
      <c r="O447" s="148">
        <v>42056</v>
      </c>
      <c r="P447" s="150">
        <f t="shared" si="666"/>
        <v>2</v>
      </c>
      <c r="Q447" s="149" t="s">
        <v>1811</v>
      </c>
      <c r="R447" s="149" t="s">
        <v>17</v>
      </c>
      <c r="S447" s="149" t="s">
        <v>101</v>
      </c>
      <c r="T447" s="149" t="s">
        <v>1732</v>
      </c>
      <c r="U447" s="154">
        <v>42058</v>
      </c>
      <c r="V447" s="149" t="s">
        <v>186</v>
      </c>
      <c r="W447" s="153">
        <f t="shared" si="667"/>
        <v>0</v>
      </c>
      <c r="X447" s="153" t="str">
        <f t="shared" si="668"/>
        <v>Correcto</v>
      </c>
    </row>
    <row r="448" spans="1:24" ht="18" customHeight="1" x14ac:dyDescent="0.25">
      <c r="A448" s="172">
        <v>439</v>
      </c>
      <c r="B448" s="145" t="s">
        <v>1812</v>
      </c>
      <c r="C448" s="146">
        <v>42054</v>
      </c>
      <c r="D448" s="147">
        <v>2</v>
      </c>
      <c r="E448" s="147" t="s">
        <v>93</v>
      </c>
      <c r="F448" s="145" t="s">
        <v>1122</v>
      </c>
      <c r="G448" s="147" t="s">
        <v>202</v>
      </c>
      <c r="H448" s="148">
        <v>42055</v>
      </c>
      <c r="I448" s="147" t="s">
        <v>187</v>
      </c>
      <c r="J448" s="147" t="s">
        <v>103</v>
      </c>
      <c r="K448" s="149" t="s">
        <v>1813</v>
      </c>
      <c r="L448" s="148">
        <v>42055</v>
      </c>
      <c r="M448" s="149" t="s">
        <v>1654</v>
      </c>
      <c r="N448" s="149" t="s">
        <v>185</v>
      </c>
      <c r="O448" s="148">
        <v>42056</v>
      </c>
      <c r="P448" s="150">
        <f t="shared" si="666"/>
        <v>2</v>
      </c>
      <c r="Q448" s="149" t="s">
        <v>1814</v>
      </c>
      <c r="R448" s="149" t="s">
        <v>17</v>
      </c>
      <c r="S448" s="149" t="s">
        <v>101</v>
      </c>
      <c r="T448" s="149" t="s">
        <v>1815</v>
      </c>
      <c r="U448" s="154">
        <v>42058</v>
      </c>
      <c r="V448" s="149" t="s">
        <v>186</v>
      </c>
      <c r="W448" s="153">
        <f t="shared" si="667"/>
        <v>0</v>
      </c>
      <c r="X448" s="153" t="str">
        <f t="shared" si="668"/>
        <v>Correcto</v>
      </c>
    </row>
    <row r="449" spans="1:24" ht="18" customHeight="1" x14ac:dyDescent="0.25">
      <c r="A449" s="172">
        <v>440</v>
      </c>
      <c r="B449" s="145" t="s">
        <v>1816</v>
      </c>
      <c r="C449" s="146">
        <v>42054</v>
      </c>
      <c r="D449" s="147">
        <v>2</v>
      </c>
      <c r="E449" s="147" t="s">
        <v>93</v>
      </c>
      <c r="F449" s="145" t="s">
        <v>1122</v>
      </c>
      <c r="G449" s="147" t="s">
        <v>202</v>
      </c>
      <c r="H449" s="148">
        <v>42055</v>
      </c>
      <c r="I449" s="147" t="s">
        <v>187</v>
      </c>
      <c r="J449" s="147" t="s">
        <v>103</v>
      </c>
      <c r="K449" s="149" t="s">
        <v>1817</v>
      </c>
      <c r="L449" s="148">
        <v>42055</v>
      </c>
      <c r="M449" s="149" t="s">
        <v>1654</v>
      </c>
      <c r="N449" s="149" t="s">
        <v>185</v>
      </c>
      <c r="O449" s="148">
        <v>42056</v>
      </c>
      <c r="P449" s="150">
        <f t="shared" si="666"/>
        <v>2</v>
      </c>
      <c r="Q449" s="149" t="s">
        <v>1818</v>
      </c>
      <c r="R449" s="149" t="s">
        <v>17</v>
      </c>
      <c r="S449" s="149" t="s">
        <v>101</v>
      </c>
      <c r="T449" s="149" t="s">
        <v>1736</v>
      </c>
      <c r="U449" s="154">
        <v>42058</v>
      </c>
      <c r="V449" s="149" t="s">
        <v>186</v>
      </c>
      <c r="W449" s="153">
        <f t="shared" si="667"/>
        <v>0</v>
      </c>
      <c r="X449" s="153" t="str">
        <f t="shared" si="668"/>
        <v>Correcto</v>
      </c>
    </row>
    <row r="450" spans="1:24" ht="18" customHeight="1" x14ac:dyDescent="0.25">
      <c r="A450" s="172">
        <v>441</v>
      </c>
      <c r="B450" s="145" t="s">
        <v>1819</v>
      </c>
      <c r="C450" s="146">
        <v>42054</v>
      </c>
      <c r="D450" s="147">
        <v>2</v>
      </c>
      <c r="E450" s="147" t="s">
        <v>93</v>
      </c>
      <c r="F450" s="145" t="s">
        <v>1122</v>
      </c>
      <c r="G450" s="147" t="s">
        <v>202</v>
      </c>
      <c r="H450" s="148">
        <v>42055</v>
      </c>
      <c r="I450" s="147" t="s">
        <v>187</v>
      </c>
      <c r="J450" s="147" t="s">
        <v>103</v>
      </c>
      <c r="K450" s="149" t="s">
        <v>1820</v>
      </c>
      <c r="L450" s="148">
        <v>42055</v>
      </c>
      <c r="M450" s="149" t="s">
        <v>1654</v>
      </c>
      <c r="N450" s="149" t="s">
        <v>185</v>
      </c>
      <c r="O450" s="148">
        <v>42056</v>
      </c>
      <c r="P450" s="150">
        <f t="shared" si="666"/>
        <v>2</v>
      </c>
      <c r="Q450" s="149" t="s">
        <v>1821</v>
      </c>
      <c r="R450" s="149" t="s">
        <v>17</v>
      </c>
      <c r="S450" s="149" t="s">
        <v>101</v>
      </c>
      <c r="T450" s="149" t="s">
        <v>1693</v>
      </c>
      <c r="U450" s="154">
        <v>42058</v>
      </c>
      <c r="V450" s="149" t="s">
        <v>186</v>
      </c>
      <c r="W450" s="153">
        <f t="shared" si="667"/>
        <v>0</v>
      </c>
      <c r="X450" s="153" t="str">
        <f t="shared" si="668"/>
        <v>Correcto</v>
      </c>
    </row>
    <row r="451" spans="1:24" ht="18" customHeight="1" x14ac:dyDescent="0.25">
      <c r="A451" s="172">
        <v>442</v>
      </c>
      <c r="B451" s="145" t="s">
        <v>1822</v>
      </c>
      <c r="C451" s="146">
        <v>42054</v>
      </c>
      <c r="D451" s="147">
        <v>2</v>
      </c>
      <c r="E451" s="147" t="s">
        <v>93</v>
      </c>
      <c r="F451" s="145" t="s">
        <v>1122</v>
      </c>
      <c r="G451" s="147" t="s">
        <v>202</v>
      </c>
      <c r="H451" s="148">
        <v>42058</v>
      </c>
      <c r="I451" s="147" t="s">
        <v>187</v>
      </c>
      <c r="J451" s="147" t="s">
        <v>103</v>
      </c>
      <c r="K451" s="149" t="s">
        <v>1823</v>
      </c>
      <c r="L451" s="148">
        <v>42058</v>
      </c>
      <c r="M451" s="149" t="s">
        <v>1654</v>
      </c>
      <c r="N451" s="149" t="s">
        <v>185</v>
      </c>
      <c r="O451" s="148">
        <v>42058</v>
      </c>
      <c r="P451" s="150">
        <f t="shared" si="666"/>
        <v>4</v>
      </c>
      <c r="Q451" s="149" t="s">
        <v>1824</v>
      </c>
      <c r="R451" s="149" t="s">
        <v>17</v>
      </c>
      <c r="S451" s="149" t="s">
        <v>101</v>
      </c>
      <c r="T451" s="149" t="s">
        <v>1825</v>
      </c>
      <c r="U451" s="154">
        <v>42060</v>
      </c>
      <c r="V451" s="149" t="s">
        <v>186</v>
      </c>
      <c r="W451" s="153">
        <f t="shared" si="667"/>
        <v>0</v>
      </c>
      <c r="X451" s="153" t="str">
        <f t="shared" si="668"/>
        <v>Correcto</v>
      </c>
    </row>
    <row r="452" spans="1:24" ht="18" customHeight="1" x14ac:dyDescent="0.25">
      <c r="A452" s="172">
        <v>443</v>
      </c>
      <c r="B452" s="145" t="s">
        <v>1826</v>
      </c>
      <c r="C452" s="146">
        <v>42055</v>
      </c>
      <c r="D452" s="147">
        <v>2</v>
      </c>
      <c r="E452" s="147" t="s">
        <v>93</v>
      </c>
      <c r="F452" s="145" t="s">
        <v>1122</v>
      </c>
      <c r="G452" s="147" t="s">
        <v>202</v>
      </c>
      <c r="H452" s="148">
        <v>42056</v>
      </c>
      <c r="I452" s="147" t="s">
        <v>187</v>
      </c>
      <c r="J452" s="147" t="s">
        <v>103</v>
      </c>
      <c r="K452" s="149" t="s">
        <v>1827</v>
      </c>
      <c r="L452" s="148">
        <v>42056</v>
      </c>
      <c r="M452" s="149" t="s">
        <v>1654</v>
      </c>
      <c r="N452" s="149" t="s">
        <v>185</v>
      </c>
      <c r="O452" s="148">
        <v>42056</v>
      </c>
      <c r="P452" s="150">
        <f t="shared" si="666"/>
        <v>1</v>
      </c>
      <c r="Q452" s="149" t="s">
        <v>1828</v>
      </c>
      <c r="R452" s="149" t="s">
        <v>17</v>
      </c>
      <c r="S452" s="149" t="s">
        <v>101</v>
      </c>
      <c r="T452" s="149" t="s">
        <v>1815</v>
      </c>
      <c r="U452" s="154">
        <v>42058</v>
      </c>
      <c r="V452" s="149" t="s">
        <v>186</v>
      </c>
      <c r="W452" s="153">
        <f t="shared" si="667"/>
        <v>0</v>
      </c>
      <c r="X452" s="153" t="str">
        <f t="shared" si="668"/>
        <v>Correcto</v>
      </c>
    </row>
    <row r="453" spans="1:24" ht="18" customHeight="1" x14ac:dyDescent="0.25">
      <c r="A453" s="172">
        <v>444</v>
      </c>
      <c r="B453" s="145" t="s">
        <v>1829</v>
      </c>
      <c r="C453" s="146">
        <v>42055</v>
      </c>
      <c r="D453" s="147">
        <v>2</v>
      </c>
      <c r="E453" s="147" t="s">
        <v>93</v>
      </c>
      <c r="F453" s="145" t="s">
        <v>1122</v>
      </c>
      <c r="G453" s="147" t="s">
        <v>202</v>
      </c>
      <c r="H453" s="148">
        <v>42056</v>
      </c>
      <c r="I453" s="147" t="s">
        <v>187</v>
      </c>
      <c r="J453" s="147" t="s">
        <v>103</v>
      </c>
      <c r="K453" s="149" t="s">
        <v>1830</v>
      </c>
      <c r="L453" s="148">
        <v>42056</v>
      </c>
      <c r="M453" s="149" t="s">
        <v>1654</v>
      </c>
      <c r="N453" s="149" t="s">
        <v>185</v>
      </c>
      <c r="O453" s="148">
        <v>42056</v>
      </c>
      <c r="P453" s="150">
        <f t="shared" si="666"/>
        <v>1</v>
      </c>
      <c r="Q453" s="149" t="s">
        <v>1831</v>
      </c>
      <c r="R453" s="149" t="s">
        <v>17</v>
      </c>
      <c r="S453" s="149" t="s">
        <v>1832</v>
      </c>
      <c r="T453" s="151" t="s">
        <v>1833</v>
      </c>
      <c r="U453" s="154">
        <v>42058</v>
      </c>
      <c r="V453" s="149" t="s">
        <v>186</v>
      </c>
      <c r="W453" s="153">
        <f t="shared" si="667"/>
        <v>0</v>
      </c>
      <c r="X453" s="153" t="str">
        <f t="shared" si="668"/>
        <v>Correcto</v>
      </c>
    </row>
    <row r="454" spans="1:24" ht="18" customHeight="1" x14ac:dyDescent="0.25">
      <c r="A454" s="172">
        <v>445</v>
      </c>
      <c r="B454" s="145" t="s">
        <v>1834</v>
      </c>
      <c r="C454" s="146">
        <v>42055</v>
      </c>
      <c r="D454" s="147">
        <v>2</v>
      </c>
      <c r="E454" s="147" t="s">
        <v>93</v>
      </c>
      <c r="F454" s="145" t="s">
        <v>1122</v>
      </c>
      <c r="G454" s="147" t="s">
        <v>202</v>
      </c>
      <c r="H454" s="148">
        <v>42056</v>
      </c>
      <c r="I454" s="147" t="s">
        <v>187</v>
      </c>
      <c r="J454" s="147" t="s">
        <v>103</v>
      </c>
      <c r="K454" s="149" t="s">
        <v>1835</v>
      </c>
      <c r="L454" s="148">
        <v>42056</v>
      </c>
      <c r="M454" s="149" t="s">
        <v>1654</v>
      </c>
      <c r="N454" s="149" t="s">
        <v>185</v>
      </c>
      <c r="O454" s="148">
        <v>42056</v>
      </c>
      <c r="P454" s="150">
        <f t="shared" si="666"/>
        <v>1</v>
      </c>
      <c r="Q454" s="149" t="s">
        <v>1836</v>
      </c>
      <c r="R454" s="149" t="s">
        <v>17</v>
      </c>
      <c r="S454" s="149" t="s">
        <v>1837</v>
      </c>
      <c r="T454" s="151" t="s">
        <v>1838</v>
      </c>
      <c r="U454" s="154">
        <v>42058</v>
      </c>
      <c r="V454" s="149" t="s">
        <v>186</v>
      </c>
      <c r="W454" s="153">
        <f t="shared" si="667"/>
        <v>0</v>
      </c>
      <c r="X454" s="153" t="str">
        <f t="shared" si="668"/>
        <v>Correcto</v>
      </c>
    </row>
    <row r="455" spans="1:24" ht="18" customHeight="1" x14ac:dyDescent="0.25">
      <c r="A455" s="172">
        <v>446</v>
      </c>
      <c r="B455" s="145" t="s">
        <v>1839</v>
      </c>
      <c r="C455" s="146">
        <v>42055</v>
      </c>
      <c r="D455" s="147">
        <v>2</v>
      </c>
      <c r="E455" s="147" t="s">
        <v>93</v>
      </c>
      <c r="F455" s="145" t="s">
        <v>1122</v>
      </c>
      <c r="G455" s="147" t="s">
        <v>202</v>
      </c>
      <c r="H455" s="148">
        <v>42055</v>
      </c>
      <c r="I455" s="147" t="s">
        <v>187</v>
      </c>
      <c r="J455" s="147" t="s">
        <v>103</v>
      </c>
      <c r="K455" s="149" t="s">
        <v>1840</v>
      </c>
      <c r="L455" s="148">
        <v>42055</v>
      </c>
      <c r="M455" s="149" t="s">
        <v>1654</v>
      </c>
      <c r="N455" s="149" t="s">
        <v>185</v>
      </c>
      <c r="O455" s="148">
        <v>42055</v>
      </c>
      <c r="P455" s="150">
        <f t="shared" si="666"/>
        <v>0</v>
      </c>
      <c r="Q455" s="149" t="s">
        <v>1841</v>
      </c>
      <c r="R455" s="149" t="s">
        <v>1842</v>
      </c>
      <c r="S455" s="149" t="s">
        <v>101</v>
      </c>
      <c r="T455" s="151" t="s">
        <v>1843</v>
      </c>
      <c r="U455" s="154">
        <v>42056</v>
      </c>
      <c r="V455" s="149" t="s">
        <v>186</v>
      </c>
      <c r="W455" s="153">
        <f t="shared" si="667"/>
        <v>0</v>
      </c>
      <c r="X455" s="153" t="str">
        <f t="shared" si="668"/>
        <v>Correcto</v>
      </c>
    </row>
    <row r="456" spans="1:24" ht="18" customHeight="1" x14ac:dyDescent="0.25">
      <c r="A456" s="172">
        <v>447</v>
      </c>
      <c r="B456" s="145" t="s">
        <v>1844</v>
      </c>
      <c r="C456" s="146">
        <v>42055</v>
      </c>
      <c r="D456" s="147">
        <v>2</v>
      </c>
      <c r="E456" s="147" t="s">
        <v>93</v>
      </c>
      <c r="F456" s="145" t="s">
        <v>1122</v>
      </c>
      <c r="G456" s="147" t="s">
        <v>202</v>
      </c>
      <c r="H456" s="148">
        <v>42056</v>
      </c>
      <c r="I456" s="147" t="s">
        <v>187</v>
      </c>
      <c r="J456" s="147" t="s">
        <v>103</v>
      </c>
      <c r="K456" s="149" t="s">
        <v>1845</v>
      </c>
      <c r="L456" s="148">
        <v>42056</v>
      </c>
      <c r="M456" s="149" t="s">
        <v>1654</v>
      </c>
      <c r="N456" s="149" t="s">
        <v>185</v>
      </c>
      <c r="O456" s="148">
        <v>42056</v>
      </c>
      <c r="P456" s="150">
        <f t="shared" si="666"/>
        <v>1</v>
      </c>
      <c r="Q456" s="149" t="s">
        <v>1846</v>
      </c>
      <c r="R456" s="149" t="s">
        <v>17</v>
      </c>
      <c r="S456" s="149" t="s">
        <v>101</v>
      </c>
      <c r="T456" s="149" t="s">
        <v>1651</v>
      </c>
      <c r="U456" s="154">
        <v>42058</v>
      </c>
      <c r="V456" s="149" t="s">
        <v>186</v>
      </c>
      <c r="W456" s="153">
        <f t="shared" si="667"/>
        <v>0</v>
      </c>
      <c r="X456" s="153" t="str">
        <f t="shared" si="668"/>
        <v>Correcto</v>
      </c>
    </row>
    <row r="457" spans="1:24" ht="18" customHeight="1" x14ac:dyDescent="0.25">
      <c r="A457" s="172">
        <v>448</v>
      </c>
      <c r="B457" s="145" t="s">
        <v>1847</v>
      </c>
      <c r="C457" s="146">
        <v>42055</v>
      </c>
      <c r="D457" s="147">
        <v>2</v>
      </c>
      <c r="E457" s="147" t="s">
        <v>93</v>
      </c>
      <c r="F457" s="145" t="s">
        <v>1122</v>
      </c>
      <c r="G457" s="147" t="s">
        <v>202</v>
      </c>
      <c r="H457" s="148">
        <v>42056</v>
      </c>
      <c r="I457" s="147" t="s">
        <v>187</v>
      </c>
      <c r="J457" s="147" t="s">
        <v>103</v>
      </c>
      <c r="K457" s="149" t="s">
        <v>1848</v>
      </c>
      <c r="L457" s="148">
        <v>42056</v>
      </c>
      <c r="M457" s="149" t="s">
        <v>1654</v>
      </c>
      <c r="N457" s="149" t="s">
        <v>185</v>
      </c>
      <c r="O457" s="148">
        <v>42056</v>
      </c>
      <c r="P457" s="150">
        <f t="shared" ref="P457:P520" si="669">O457-C457</f>
        <v>1</v>
      </c>
      <c r="Q457" s="149" t="s">
        <v>1849</v>
      </c>
      <c r="R457" s="149" t="s">
        <v>17</v>
      </c>
      <c r="S457" s="149" t="s">
        <v>1850</v>
      </c>
      <c r="T457" s="151" t="s">
        <v>1851</v>
      </c>
      <c r="U457" s="154">
        <v>42058</v>
      </c>
      <c r="V457" s="149" t="s">
        <v>186</v>
      </c>
      <c r="W457" s="153">
        <f t="shared" ref="W457:W520" si="670">COUNTBLANK(C457:V457)</f>
        <v>0</v>
      </c>
      <c r="X457" s="153" t="str">
        <f t="shared" ref="X457:X520" si="671">IF(W457=0,"Correcto","Incorrecto")</f>
        <v>Correcto</v>
      </c>
    </row>
    <row r="458" spans="1:24" ht="18" customHeight="1" x14ac:dyDescent="0.25">
      <c r="A458" s="172">
        <v>449</v>
      </c>
      <c r="B458" s="145" t="s">
        <v>1852</v>
      </c>
      <c r="C458" s="146">
        <v>42055</v>
      </c>
      <c r="D458" s="147">
        <v>2</v>
      </c>
      <c r="E458" s="147" t="s">
        <v>93</v>
      </c>
      <c r="F458" s="145" t="s">
        <v>1122</v>
      </c>
      <c r="G458" s="147" t="s">
        <v>202</v>
      </c>
      <c r="H458" s="148">
        <v>42056</v>
      </c>
      <c r="I458" s="147" t="s">
        <v>187</v>
      </c>
      <c r="J458" s="147" t="s">
        <v>103</v>
      </c>
      <c r="K458" s="149" t="s">
        <v>1853</v>
      </c>
      <c r="L458" s="148">
        <v>42056</v>
      </c>
      <c r="M458" s="149" t="s">
        <v>1654</v>
      </c>
      <c r="N458" s="149" t="s">
        <v>185</v>
      </c>
      <c r="O458" s="148">
        <v>42056</v>
      </c>
      <c r="P458" s="150">
        <f t="shared" si="669"/>
        <v>1</v>
      </c>
      <c r="Q458" s="149" t="s">
        <v>1853</v>
      </c>
      <c r="R458" s="149" t="s">
        <v>17</v>
      </c>
      <c r="S458" s="149" t="s">
        <v>104</v>
      </c>
      <c r="T458" s="151"/>
      <c r="U458" s="155"/>
      <c r="V458" s="149"/>
      <c r="W458" s="153">
        <f t="shared" si="670"/>
        <v>3</v>
      </c>
      <c r="X458" s="153" t="str">
        <f t="shared" si="671"/>
        <v>Incorrecto</v>
      </c>
    </row>
    <row r="459" spans="1:24" ht="18" customHeight="1" x14ac:dyDescent="0.25">
      <c r="A459" s="172">
        <v>450</v>
      </c>
      <c r="B459" s="145" t="s">
        <v>1854</v>
      </c>
      <c r="C459" s="146">
        <v>42055</v>
      </c>
      <c r="D459" s="147">
        <v>14</v>
      </c>
      <c r="E459" s="147" t="s">
        <v>93</v>
      </c>
      <c r="F459" s="145" t="s">
        <v>1122</v>
      </c>
      <c r="G459" s="147" t="s">
        <v>202</v>
      </c>
      <c r="H459" s="148">
        <v>42058</v>
      </c>
      <c r="I459" s="147" t="s">
        <v>187</v>
      </c>
      <c r="J459" s="147" t="s">
        <v>103</v>
      </c>
      <c r="K459" s="149" t="s">
        <v>1855</v>
      </c>
      <c r="L459" s="148">
        <v>42058</v>
      </c>
      <c r="M459" s="149" t="s">
        <v>1654</v>
      </c>
      <c r="N459" s="149" t="s">
        <v>185</v>
      </c>
      <c r="O459" s="148">
        <v>42058</v>
      </c>
      <c r="P459" s="150">
        <f t="shared" si="669"/>
        <v>3</v>
      </c>
      <c r="Q459" s="149" t="s">
        <v>1856</v>
      </c>
      <c r="R459" s="149" t="s">
        <v>17</v>
      </c>
      <c r="S459" s="149" t="s">
        <v>1857</v>
      </c>
      <c r="T459" s="151" t="s">
        <v>1858</v>
      </c>
      <c r="U459" s="155" t="s">
        <v>1859</v>
      </c>
      <c r="V459" s="149" t="s">
        <v>186</v>
      </c>
      <c r="W459" s="153">
        <f t="shared" si="670"/>
        <v>0</v>
      </c>
      <c r="X459" s="153" t="str">
        <f t="shared" si="671"/>
        <v>Correcto</v>
      </c>
    </row>
    <row r="460" spans="1:24" ht="18" customHeight="1" x14ac:dyDescent="0.25">
      <c r="A460" s="172">
        <v>451</v>
      </c>
      <c r="B460" s="145" t="s">
        <v>1860</v>
      </c>
      <c r="C460" s="146">
        <v>42055</v>
      </c>
      <c r="D460" s="147">
        <v>2</v>
      </c>
      <c r="E460" s="147" t="s">
        <v>93</v>
      </c>
      <c r="F460" s="145" t="s">
        <v>1122</v>
      </c>
      <c r="G460" s="147" t="s">
        <v>202</v>
      </c>
      <c r="H460" s="148">
        <v>42058</v>
      </c>
      <c r="I460" s="147" t="s">
        <v>187</v>
      </c>
      <c r="J460" s="147" t="s">
        <v>103</v>
      </c>
      <c r="K460" s="149" t="s">
        <v>1861</v>
      </c>
      <c r="L460" s="148">
        <v>42058</v>
      </c>
      <c r="M460" s="149" t="s">
        <v>1654</v>
      </c>
      <c r="N460" s="149" t="s">
        <v>185</v>
      </c>
      <c r="O460" s="148">
        <v>42059</v>
      </c>
      <c r="P460" s="150">
        <f t="shared" si="669"/>
        <v>4</v>
      </c>
      <c r="Q460" s="149" t="s">
        <v>1862</v>
      </c>
      <c r="R460" s="149" t="s">
        <v>17</v>
      </c>
      <c r="S460" s="149" t="s">
        <v>1863</v>
      </c>
      <c r="T460" s="151" t="s">
        <v>1864</v>
      </c>
      <c r="U460" s="154">
        <v>42060</v>
      </c>
      <c r="V460" s="149" t="s">
        <v>186</v>
      </c>
      <c r="W460" s="153">
        <f t="shared" si="670"/>
        <v>0</v>
      </c>
      <c r="X460" s="153" t="str">
        <f t="shared" si="671"/>
        <v>Correcto</v>
      </c>
    </row>
    <row r="461" spans="1:24" ht="18" customHeight="1" x14ac:dyDescent="0.25">
      <c r="A461" s="172">
        <v>452</v>
      </c>
      <c r="B461" s="145" t="s">
        <v>1865</v>
      </c>
      <c r="C461" s="146">
        <v>42055</v>
      </c>
      <c r="D461" s="147">
        <v>2</v>
      </c>
      <c r="E461" s="147" t="s">
        <v>93</v>
      </c>
      <c r="F461" s="145" t="s">
        <v>1122</v>
      </c>
      <c r="G461" s="147" t="s">
        <v>202</v>
      </c>
      <c r="H461" s="148">
        <v>42056</v>
      </c>
      <c r="I461" s="147" t="s">
        <v>187</v>
      </c>
      <c r="J461" s="147" t="s">
        <v>103</v>
      </c>
      <c r="K461" s="149" t="s">
        <v>1866</v>
      </c>
      <c r="L461" s="148">
        <v>42056</v>
      </c>
      <c r="M461" s="149" t="s">
        <v>1654</v>
      </c>
      <c r="N461" s="149" t="s">
        <v>185</v>
      </c>
      <c r="O461" s="148">
        <v>42056</v>
      </c>
      <c r="P461" s="150">
        <f t="shared" si="669"/>
        <v>1</v>
      </c>
      <c r="Q461" s="149" t="s">
        <v>1867</v>
      </c>
      <c r="R461" s="149" t="s">
        <v>17</v>
      </c>
      <c r="S461" s="149" t="s">
        <v>101</v>
      </c>
      <c r="T461" s="149" t="s">
        <v>1693</v>
      </c>
      <c r="U461" s="154">
        <v>42058</v>
      </c>
      <c r="V461" s="149" t="s">
        <v>186</v>
      </c>
      <c r="W461" s="153">
        <f t="shared" si="670"/>
        <v>0</v>
      </c>
      <c r="X461" s="153" t="str">
        <f t="shared" si="671"/>
        <v>Correcto</v>
      </c>
    </row>
    <row r="462" spans="1:24" ht="18" customHeight="1" x14ac:dyDescent="0.25">
      <c r="A462" s="172">
        <v>453</v>
      </c>
      <c r="B462" s="145" t="s">
        <v>1868</v>
      </c>
      <c r="C462" s="146">
        <v>42056</v>
      </c>
      <c r="D462" s="147">
        <v>2</v>
      </c>
      <c r="E462" s="147" t="s">
        <v>93</v>
      </c>
      <c r="F462" s="145" t="s">
        <v>1122</v>
      </c>
      <c r="G462" s="147" t="s">
        <v>202</v>
      </c>
      <c r="H462" s="148">
        <v>42056</v>
      </c>
      <c r="I462" s="147" t="s">
        <v>187</v>
      </c>
      <c r="J462" s="147" t="s">
        <v>103</v>
      </c>
      <c r="K462" s="149" t="s">
        <v>1869</v>
      </c>
      <c r="L462" s="148">
        <v>42056</v>
      </c>
      <c r="M462" s="149" t="s">
        <v>1654</v>
      </c>
      <c r="N462" s="149" t="s">
        <v>185</v>
      </c>
      <c r="O462" s="148">
        <v>42058</v>
      </c>
      <c r="P462" s="150">
        <f t="shared" si="669"/>
        <v>2</v>
      </c>
      <c r="Q462" s="149" t="s">
        <v>1870</v>
      </c>
      <c r="R462" s="149" t="s">
        <v>17</v>
      </c>
      <c r="S462" s="149" t="s">
        <v>101</v>
      </c>
      <c r="T462" s="149" t="s">
        <v>1871</v>
      </c>
      <c r="U462" s="154">
        <v>42060</v>
      </c>
      <c r="V462" s="149" t="s">
        <v>186</v>
      </c>
      <c r="W462" s="153">
        <f t="shared" si="670"/>
        <v>0</v>
      </c>
      <c r="X462" s="153" t="str">
        <f t="shared" si="671"/>
        <v>Correcto</v>
      </c>
    </row>
    <row r="463" spans="1:24" ht="18" customHeight="1" x14ac:dyDescent="0.25">
      <c r="A463" s="172">
        <v>454</v>
      </c>
      <c r="B463" s="145" t="s">
        <v>1872</v>
      </c>
      <c r="C463" s="146">
        <v>42056</v>
      </c>
      <c r="D463" s="147">
        <v>2</v>
      </c>
      <c r="E463" s="147" t="s">
        <v>93</v>
      </c>
      <c r="F463" s="145" t="s">
        <v>1122</v>
      </c>
      <c r="G463" s="147" t="s">
        <v>202</v>
      </c>
      <c r="H463" s="148">
        <v>42056</v>
      </c>
      <c r="I463" s="147" t="s">
        <v>187</v>
      </c>
      <c r="J463" s="147" t="s">
        <v>103</v>
      </c>
      <c r="K463" s="149" t="s">
        <v>1873</v>
      </c>
      <c r="L463" s="148">
        <v>42056</v>
      </c>
      <c r="M463" s="149" t="s">
        <v>1654</v>
      </c>
      <c r="N463" s="149" t="s">
        <v>185</v>
      </c>
      <c r="O463" s="148">
        <v>42058</v>
      </c>
      <c r="P463" s="150">
        <f t="shared" si="669"/>
        <v>2</v>
      </c>
      <c r="Q463" s="149" t="s">
        <v>1874</v>
      </c>
      <c r="R463" s="149" t="s">
        <v>501</v>
      </c>
      <c r="S463" s="149" t="s">
        <v>1875</v>
      </c>
      <c r="T463" s="151" t="s">
        <v>1876</v>
      </c>
      <c r="U463" s="154">
        <v>42058</v>
      </c>
      <c r="V463" s="149" t="s">
        <v>186</v>
      </c>
      <c r="W463" s="153">
        <f t="shared" si="670"/>
        <v>0</v>
      </c>
      <c r="X463" s="153" t="str">
        <f t="shared" si="671"/>
        <v>Correcto</v>
      </c>
    </row>
    <row r="464" spans="1:24" ht="18" customHeight="1" x14ac:dyDescent="0.25">
      <c r="A464" s="172">
        <v>455</v>
      </c>
      <c r="B464" s="145" t="s">
        <v>1877</v>
      </c>
      <c r="C464" s="146">
        <v>42056</v>
      </c>
      <c r="D464" s="147">
        <v>2</v>
      </c>
      <c r="E464" s="147" t="s">
        <v>93</v>
      </c>
      <c r="F464" s="145" t="s">
        <v>1122</v>
      </c>
      <c r="G464" s="147" t="s">
        <v>202</v>
      </c>
      <c r="H464" s="148">
        <v>42056</v>
      </c>
      <c r="I464" s="147" t="s">
        <v>187</v>
      </c>
      <c r="J464" s="147" t="s">
        <v>103</v>
      </c>
      <c r="K464" s="149" t="s">
        <v>1878</v>
      </c>
      <c r="L464" s="148">
        <v>42056</v>
      </c>
      <c r="M464" s="149" t="s">
        <v>1654</v>
      </c>
      <c r="N464" s="149" t="s">
        <v>185</v>
      </c>
      <c r="O464" s="148">
        <v>42059</v>
      </c>
      <c r="P464" s="150">
        <f t="shared" si="669"/>
        <v>3</v>
      </c>
      <c r="Q464" s="149" t="s">
        <v>1879</v>
      </c>
      <c r="R464" s="149" t="s">
        <v>17</v>
      </c>
      <c r="S464" s="149" t="s">
        <v>101</v>
      </c>
      <c r="T464" s="149" t="s">
        <v>1651</v>
      </c>
      <c r="U464" s="154">
        <v>42060</v>
      </c>
      <c r="V464" s="149" t="s">
        <v>186</v>
      </c>
      <c r="W464" s="153">
        <f t="shared" si="670"/>
        <v>0</v>
      </c>
      <c r="X464" s="153" t="str">
        <f t="shared" si="671"/>
        <v>Correcto</v>
      </c>
    </row>
    <row r="465" spans="1:24" ht="18" customHeight="1" x14ac:dyDescent="0.25">
      <c r="A465" s="172">
        <v>456</v>
      </c>
      <c r="B465" s="145" t="s">
        <v>1880</v>
      </c>
      <c r="C465" s="146">
        <v>42056</v>
      </c>
      <c r="D465" s="147">
        <v>2</v>
      </c>
      <c r="E465" s="147" t="s">
        <v>93</v>
      </c>
      <c r="F465" s="145" t="s">
        <v>1122</v>
      </c>
      <c r="G465" s="147" t="s">
        <v>202</v>
      </c>
      <c r="H465" s="148">
        <v>42056</v>
      </c>
      <c r="I465" s="147" t="s">
        <v>187</v>
      </c>
      <c r="J465" s="147" t="s">
        <v>103</v>
      </c>
      <c r="K465" s="149" t="s">
        <v>1881</v>
      </c>
      <c r="L465" s="148">
        <v>42056</v>
      </c>
      <c r="M465" s="149" t="s">
        <v>1654</v>
      </c>
      <c r="N465" s="149" t="s">
        <v>185</v>
      </c>
      <c r="O465" s="148">
        <v>42058</v>
      </c>
      <c r="P465" s="150">
        <f t="shared" si="669"/>
        <v>2</v>
      </c>
      <c r="Q465" s="149" t="s">
        <v>1882</v>
      </c>
      <c r="R465" s="149" t="s">
        <v>17</v>
      </c>
      <c r="S465" s="149" t="s">
        <v>101</v>
      </c>
      <c r="T465" s="149" t="s">
        <v>1883</v>
      </c>
      <c r="U465" s="154">
        <v>42060</v>
      </c>
      <c r="V465" s="149" t="s">
        <v>186</v>
      </c>
      <c r="W465" s="153">
        <f t="shared" si="670"/>
        <v>0</v>
      </c>
      <c r="X465" s="153" t="str">
        <f t="shared" si="671"/>
        <v>Correcto</v>
      </c>
    </row>
    <row r="466" spans="1:24" ht="18" customHeight="1" x14ac:dyDescent="0.25">
      <c r="A466" s="172">
        <v>457</v>
      </c>
      <c r="B466" s="145" t="s">
        <v>1884</v>
      </c>
      <c r="C466" s="146">
        <v>42056</v>
      </c>
      <c r="D466" s="147">
        <v>2</v>
      </c>
      <c r="E466" s="147" t="s">
        <v>93</v>
      </c>
      <c r="F466" s="145" t="s">
        <v>1122</v>
      </c>
      <c r="G466" s="147" t="s">
        <v>202</v>
      </c>
      <c r="H466" s="148">
        <v>42056</v>
      </c>
      <c r="I466" s="147" t="s">
        <v>187</v>
      </c>
      <c r="J466" s="147" t="s">
        <v>103</v>
      </c>
      <c r="K466" s="149" t="s">
        <v>1885</v>
      </c>
      <c r="L466" s="148">
        <v>42056</v>
      </c>
      <c r="M466" s="149" t="s">
        <v>1654</v>
      </c>
      <c r="N466" s="149" t="s">
        <v>185</v>
      </c>
      <c r="O466" s="148">
        <v>42058</v>
      </c>
      <c r="P466" s="150">
        <f t="shared" si="669"/>
        <v>2</v>
      </c>
      <c r="Q466" s="149" t="s">
        <v>1886</v>
      </c>
      <c r="R466" s="149" t="s">
        <v>17</v>
      </c>
      <c r="S466" s="149" t="s">
        <v>101</v>
      </c>
      <c r="T466" s="149" t="s">
        <v>967</v>
      </c>
      <c r="U466" s="154">
        <v>42060</v>
      </c>
      <c r="V466" s="149" t="s">
        <v>186</v>
      </c>
      <c r="W466" s="153">
        <f t="shared" si="670"/>
        <v>0</v>
      </c>
      <c r="X466" s="153" t="str">
        <f t="shared" si="671"/>
        <v>Correcto</v>
      </c>
    </row>
    <row r="467" spans="1:24" ht="18" customHeight="1" x14ac:dyDescent="0.25">
      <c r="A467" s="172">
        <v>458</v>
      </c>
      <c r="B467" s="145" t="s">
        <v>1887</v>
      </c>
      <c r="C467" s="146">
        <v>42056</v>
      </c>
      <c r="D467" s="147">
        <v>2</v>
      </c>
      <c r="E467" s="147" t="s">
        <v>93</v>
      </c>
      <c r="F467" s="145" t="s">
        <v>1122</v>
      </c>
      <c r="G467" s="147" t="s">
        <v>202</v>
      </c>
      <c r="H467" s="148">
        <v>42058</v>
      </c>
      <c r="I467" s="147" t="s">
        <v>187</v>
      </c>
      <c r="J467" s="147" t="s">
        <v>103</v>
      </c>
      <c r="K467" s="149" t="s">
        <v>1888</v>
      </c>
      <c r="L467" s="148">
        <v>42058</v>
      </c>
      <c r="M467" s="149" t="s">
        <v>1654</v>
      </c>
      <c r="N467" s="149" t="s">
        <v>185</v>
      </c>
      <c r="O467" s="148">
        <v>42058</v>
      </c>
      <c r="P467" s="150">
        <f t="shared" si="669"/>
        <v>2</v>
      </c>
      <c r="Q467" s="149" t="s">
        <v>1889</v>
      </c>
      <c r="R467" s="149" t="s">
        <v>17</v>
      </c>
      <c r="S467" s="149" t="s">
        <v>1890</v>
      </c>
      <c r="T467" s="151" t="s">
        <v>1891</v>
      </c>
      <c r="U467" s="154">
        <v>42060</v>
      </c>
      <c r="V467" s="149" t="s">
        <v>186</v>
      </c>
      <c r="W467" s="153">
        <f t="shared" si="670"/>
        <v>0</v>
      </c>
      <c r="X467" s="153" t="str">
        <f t="shared" si="671"/>
        <v>Correcto</v>
      </c>
    </row>
    <row r="468" spans="1:24" ht="18" customHeight="1" x14ac:dyDescent="0.25">
      <c r="A468" s="172">
        <v>459</v>
      </c>
      <c r="B468" s="145" t="s">
        <v>1892</v>
      </c>
      <c r="C468" s="146">
        <v>42056</v>
      </c>
      <c r="D468" s="147">
        <v>4</v>
      </c>
      <c r="E468" s="147" t="s">
        <v>93</v>
      </c>
      <c r="F468" s="145" t="s">
        <v>1122</v>
      </c>
      <c r="G468" s="147" t="s">
        <v>202</v>
      </c>
      <c r="H468" s="148">
        <v>42058</v>
      </c>
      <c r="I468" s="147" t="s">
        <v>187</v>
      </c>
      <c r="J468" s="147" t="s">
        <v>103</v>
      </c>
      <c r="K468" s="149" t="s">
        <v>1893</v>
      </c>
      <c r="L468" s="148">
        <v>42058</v>
      </c>
      <c r="M468" s="149" t="s">
        <v>1654</v>
      </c>
      <c r="N468" s="149" t="s">
        <v>185</v>
      </c>
      <c r="O468" s="148">
        <v>42059</v>
      </c>
      <c r="P468" s="150">
        <f t="shared" si="669"/>
        <v>3</v>
      </c>
      <c r="Q468" s="149" t="s">
        <v>1894</v>
      </c>
      <c r="R468" s="149" t="s">
        <v>501</v>
      </c>
      <c r="S468" s="149" t="s">
        <v>101</v>
      </c>
      <c r="T468" s="151" t="s">
        <v>1895</v>
      </c>
      <c r="U468" s="154">
        <v>42059</v>
      </c>
      <c r="V468" s="149" t="s">
        <v>186</v>
      </c>
      <c r="W468" s="153">
        <f t="shared" si="670"/>
        <v>0</v>
      </c>
      <c r="X468" s="153" t="str">
        <f t="shared" si="671"/>
        <v>Correcto</v>
      </c>
    </row>
    <row r="469" spans="1:24" ht="18" customHeight="1" x14ac:dyDescent="0.25">
      <c r="A469" s="172">
        <v>460</v>
      </c>
      <c r="B469" s="145" t="s">
        <v>1896</v>
      </c>
      <c r="C469" s="146">
        <v>42056</v>
      </c>
      <c r="D469" s="147">
        <v>2</v>
      </c>
      <c r="E469" s="147" t="s">
        <v>93</v>
      </c>
      <c r="F469" s="145" t="s">
        <v>1122</v>
      </c>
      <c r="G469" s="147" t="s">
        <v>202</v>
      </c>
      <c r="H469" s="148">
        <v>42058</v>
      </c>
      <c r="I469" s="147" t="s">
        <v>187</v>
      </c>
      <c r="J469" s="147" t="s">
        <v>103</v>
      </c>
      <c r="K469" s="149" t="s">
        <v>1897</v>
      </c>
      <c r="L469" s="148">
        <v>42058</v>
      </c>
      <c r="M469" s="149" t="s">
        <v>1654</v>
      </c>
      <c r="N469" s="149" t="s">
        <v>185</v>
      </c>
      <c r="O469" s="148">
        <v>42059</v>
      </c>
      <c r="P469" s="150">
        <f t="shared" si="669"/>
        <v>3</v>
      </c>
      <c r="Q469" s="149" t="s">
        <v>1898</v>
      </c>
      <c r="R469" s="149" t="s">
        <v>501</v>
      </c>
      <c r="S469" s="149" t="s">
        <v>101</v>
      </c>
      <c r="T469" s="151" t="s">
        <v>1895</v>
      </c>
      <c r="U469" s="154">
        <v>42059</v>
      </c>
      <c r="V469" s="149" t="s">
        <v>186</v>
      </c>
      <c r="W469" s="153">
        <f t="shared" si="670"/>
        <v>0</v>
      </c>
      <c r="X469" s="153" t="str">
        <f t="shared" si="671"/>
        <v>Correcto</v>
      </c>
    </row>
    <row r="470" spans="1:24" ht="18" customHeight="1" x14ac:dyDescent="0.25">
      <c r="A470" s="172">
        <v>461</v>
      </c>
      <c r="B470" s="145" t="s">
        <v>1899</v>
      </c>
      <c r="C470" s="146">
        <v>42056</v>
      </c>
      <c r="D470" s="147">
        <v>2</v>
      </c>
      <c r="E470" s="147" t="s">
        <v>93</v>
      </c>
      <c r="F470" s="145" t="s">
        <v>1122</v>
      </c>
      <c r="G470" s="147" t="s">
        <v>202</v>
      </c>
      <c r="H470" s="148">
        <v>42058</v>
      </c>
      <c r="I470" s="147" t="s">
        <v>187</v>
      </c>
      <c r="J470" s="147" t="s">
        <v>103</v>
      </c>
      <c r="K470" s="149" t="s">
        <v>1900</v>
      </c>
      <c r="L470" s="148">
        <v>42058</v>
      </c>
      <c r="M470" s="149" t="s">
        <v>1654</v>
      </c>
      <c r="N470" s="149" t="s">
        <v>185</v>
      </c>
      <c r="O470" s="148">
        <v>42059</v>
      </c>
      <c r="P470" s="150">
        <f t="shared" si="669"/>
        <v>3</v>
      </c>
      <c r="Q470" s="149" t="s">
        <v>1901</v>
      </c>
      <c r="R470" s="149" t="s">
        <v>17</v>
      </c>
      <c r="S470" s="149" t="s">
        <v>101</v>
      </c>
      <c r="T470" s="151" t="s">
        <v>1895</v>
      </c>
      <c r="U470" s="154">
        <v>42059</v>
      </c>
      <c r="V470" s="149" t="s">
        <v>186</v>
      </c>
      <c r="W470" s="153">
        <f t="shared" si="670"/>
        <v>0</v>
      </c>
      <c r="X470" s="153" t="str">
        <f t="shared" si="671"/>
        <v>Correcto</v>
      </c>
    </row>
    <row r="471" spans="1:24" ht="18" customHeight="1" x14ac:dyDescent="0.25">
      <c r="A471" s="172">
        <v>462</v>
      </c>
      <c r="B471" s="145" t="s">
        <v>1902</v>
      </c>
      <c r="C471" s="146">
        <v>42058</v>
      </c>
      <c r="D471" s="147">
        <v>2</v>
      </c>
      <c r="E471" s="147" t="s">
        <v>93</v>
      </c>
      <c r="F471" s="145" t="s">
        <v>1122</v>
      </c>
      <c r="G471" s="147" t="s">
        <v>202</v>
      </c>
      <c r="H471" s="148">
        <v>42059</v>
      </c>
      <c r="I471" s="147" t="s">
        <v>187</v>
      </c>
      <c r="J471" s="147" t="s">
        <v>103</v>
      </c>
      <c r="K471" s="149" t="s">
        <v>1903</v>
      </c>
      <c r="L471" s="148">
        <v>42059</v>
      </c>
      <c r="M471" s="149" t="s">
        <v>1654</v>
      </c>
      <c r="N471" s="149" t="s">
        <v>185</v>
      </c>
      <c r="O471" s="148">
        <v>42060</v>
      </c>
      <c r="P471" s="150">
        <f t="shared" si="669"/>
        <v>2</v>
      </c>
      <c r="Q471" s="149" t="s">
        <v>1904</v>
      </c>
      <c r="R471" s="149" t="s">
        <v>17</v>
      </c>
      <c r="S471" s="149" t="s">
        <v>101</v>
      </c>
      <c r="T471" s="149" t="s">
        <v>1586</v>
      </c>
      <c r="U471" s="154">
        <v>42061</v>
      </c>
      <c r="V471" s="149" t="s">
        <v>186</v>
      </c>
      <c r="W471" s="153">
        <f t="shared" si="670"/>
        <v>0</v>
      </c>
      <c r="X471" s="153" t="str">
        <f t="shared" si="671"/>
        <v>Correcto</v>
      </c>
    </row>
    <row r="472" spans="1:24" ht="18" customHeight="1" x14ac:dyDescent="0.25">
      <c r="A472" s="172">
        <v>463</v>
      </c>
      <c r="B472" s="145" t="s">
        <v>1905</v>
      </c>
      <c r="C472" s="146">
        <v>42058</v>
      </c>
      <c r="D472" s="147">
        <v>3</v>
      </c>
      <c r="E472" s="147" t="s">
        <v>93</v>
      </c>
      <c r="F472" s="145" t="s">
        <v>1122</v>
      </c>
      <c r="G472" s="147" t="s">
        <v>202</v>
      </c>
      <c r="H472" s="148">
        <v>42058</v>
      </c>
      <c r="I472" s="147" t="s">
        <v>187</v>
      </c>
      <c r="J472" s="147" t="s">
        <v>103</v>
      </c>
      <c r="K472" s="149" t="s">
        <v>1906</v>
      </c>
      <c r="L472" s="148">
        <v>42058</v>
      </c>
      <c r="M472" s="149" t="s">
        <v>1654</v>
      </c>
      <c r="N472" s="149" t="s">
        <v>185</v>
      </c>
      <c r="O472" s="148">
        <v>42058</v>
      </c>
      <c r="P472" s="150">
        <f t="shared" si="669"/>
        <v>0</v>
      </c>
      <c r="Q472" s="149" t="s">
        <v>1907</v>
      </c>
      <c r="R472" s="149" t="s">
        <v>17</v>
      </c>
      <c r="S472" s="149" t="s">
        <v>1908</v>
      </c>
      <c r="T472" s="151" t="s">
        <v>1909</v>
      </c>
      <c r="U472" s="154">
        <v>42058</v>
      </c>
      <c r="V472" s="149" t="s">
        <v>186</v>
      </c>
      <c r="W472" s="153">
        <f t="shared" si="670"/>
        <v>0</v>
      </c>
      <c r="X472" s="153" t="str">
        <f t="shared" si="671"/>
        <v>Correcto</v>
      </c>
    </row>
    <row r="473" spans="1:24" ht="18" customHeight="1" x14ac:dyDescent="0.25">
      <c r="A473" s="172">
        <v>464</v>
      </c>
      <c r="B473" s="145" t="s">
        <v>1910</v>
      </c>
      <c r="C473" s="146">
        <v>42058</v>
      </c>
      <c r="D473" s="147">
        <v>2</v>
      </c>
      <c r="E473" s="147" t="s">
        <v>93</v>
      </c>
      <c r="F473" s="145" t="s">
        <v>1122</v>
      </c>
      <c r="G473" s="147" t="s">
        <v>202</v>
      </c>
      <c r="H473" s="148">
        <v>42059</v>
      </c>
      <c r="I473" s="147" t="s">
        <v>187</v>
      </c>
      <c r="J473" s="147" t="s">
        <v>103</v>
      </c>
      <c r="K473" s="149" t="s">
        <v>1911</v>
      </c>
      <c r="L473" s="148">
        <v>42059</v>
      </c>
      <c r="M473" s="149" t="s">
        <v>1654</v>
      </c>
      <c r="N473" s="149" t="s">
        <v>185</v>
      </c>
      <c r="O473" s="148">
        <v>42060</v>
      </c>
      <c r="P473" s="150">
        <f t="shared" si="669"/>
        <v>2</v>
      </c>
      <c r="Q473" s="149" t="s">
        <v>1912</v>
      </c>
      <c r="R473" s="149" t="s">
        <v>17</v>
      </c>
      <c r="S473" s="149" t="s">
        <v>101</v>
      </c>
      <c r="T473" s="151" t="s">
        <v>101</v>
      </c>
      <c r="U473" s="154">
        <v>42061</v>
      </c>
      <c r="V473" s="149" t="s">
        <v>186</v>
      </c>
      <c r="W473" s="153">
        <f t="shared" si="670"/>
        <v>0</v>
      </c>
      <c r="X473" s="153" t="str">
        <f t="shared" si="671"/>
        <v>Correcto</v>
      </c>
    </row>
    <row r="474" spans="1:24" ht="18" customHeight="1" x14ac:dyDescent="0.25">
      <c r="A474" s="172">
        <v>465</v>
      </c>
      <c r="B474" s="145" t="s">
        <v>1913</v>
      </c>
      <c r="C474" s="146">
        <v>42058</v>
      </c>
      <c r="D474" s="147">
        <v>26</v>
      </c>
      <c r="E474" s="147" t="s">
        <v>93</v>
      </c>
      <c r="F474" s="145" t="s">
        <v>1914</v>
      </c>
      <c r="G474" s="147" t="s">
        <v>202</v>
      </c>
      <c r="H474" s="148">
        <v>42061</v>
      </c>
      <c r="I474" s="147" t="s">
        <v>187</v>
      </c>
      <c r="J474" s="147" t="s">
        <v>103</v>
      </c>
      <c r="K474" s="149" t="s">
        <v>1915</v>
      </c>
      <c r="L474" s="148">
        <v>42061</v>
      </c>
      <c r="M474" s="149" t="s">
        <v>1654</v>
      </c>
      <c r="N474" s="149" t="s">
        <v>185</v>
      </c>
      <c r="O474" s="148">
        <v>42061</v>
      </c>
      <c r="P474" s="150">
        <f t="shared" si="669"/>
        <v>3</v>
      </c>
      <c r="Q474" s="149" t="s">
        <v>1915</v>
      </c>
      <c r="R474" s="149" t="s">
        <v>17</v>
      </c>
      <c r="S474" s="149" t="s">
        <v>104</v>
      </c>
      <c r="T474" s="151" t="s">
        <v>1916</v>
      </c>
      <c r="U474" s="154">
        <v>42061</v>
      </c>
      <c r="V474" s="149" t="s">
        <v>186</v>
      </c>
      <c r="W474" s="153">
        <f t="shared" si="670"/>
        <v>0</v>
      </c>
      <c r="X474" s="153" t="str">
        <f t="shared" si="671"/>
        <v>Correcto</v>
      </c>
    </row>
    <row r="475" spans="1:24" ht="18" customHeight="1" x14ac:dyDescent="0.25">
      <c r="A475" s="172">
        <v>466</v>
      </c>
      <c r="B475" s="145" t="s">
        <v>1917</v>
      </c>
      <c r="C475" s="146">
        <v>42058</v>
      </c>
      <c r="D475" s="147">
        <v>2</v>
      </c>
      <c r="E475" s="147" t="s">
        <v>93</v>
      </c>
      <c r="F475" s="145" t="s">
        <v>1122</v>
      </c>
      <c r="G475" s="147" t="s">
        <v>202</v>
      </c>
      <c r="H475" s="148">
        <v>42059</v>
      </c>
      <c r="I475" s="147" t="s">
        <v>187</v>
      </c>
      <c r="J475" s="147" t="s">
        <v>103</v>
      </c>
      <c r="K475" s="149" t="s">
        <v>1918</v>
      </c>
      <c r="L475" s="148">
        <v>42059</v>
      </c>
      <c r="M475" s="149" t="s">
        <v>1654</v>
      </c>
      <c r="N475" s="149" t="s">
        <v>185</v>
      </c>
      <c r="O475" s="148">
        <v>42060</v>
      </c>
      <c r="P475" s="150">
        <f t="shared" si="669"/>
        <v>2</v>
      </c>
      <c r="Q475" s="149" t="s">
        <v>1919</v>
      </c>
      <c r="R475" s="149" t="s">
        <v>17</v>
      </c>
      <c r="S475" s="149" t="s">
        <v>101</v>
      </c>
      <c r="T475" s="149" t="s">
        <v>1703</v>
      </c>
      <c r="U475" s="154">
        <v>42062</v>
      </c>
      <c r="V475" s="149" t="s">
        <v>186</v>
      </c>
      <c r="W475" s="153">
        <f t="shared" si="670"/>
        <v>0</v>
      </c>
      <c r="X475" s="153" t="str">
        <f t="shared" si="671"/>
        <v>Correcto</v>
      </c>
    </row>
    <row r="476" spans="1:24" ht="18" customHeight="1" x14ac:dyDescent="0.25">
      <c r="A476" s="172">
        <v>467</v>
      </c>
      <c r="B476" s="145" t="s">
        <v>1920</v>
      </c>
      <c r="C476" s="146">
        <v>42058</v>
      </c>
      <c r="D476" s="147">
        <v>2</v>
      </c>
      <c r="E476" s="147" t="s">
        <v>93</v>
      </c>
      <c r="F476" s="145" t="s">
        <v>1122</v>
      </c>
      <c r="G476" s="147" t="s">
        <v>202</v>
      </c>
      <c r="H476" s="148">
        <v>42059</v>
      </c>
      <c r="I476" s="147" t="s">
        <v>187</v>
      </c>
      <c r="J476" s="147" t="s">
        <v>103</v>
      </c>
      <c r="K476" s="149" t="s">
        <v>1921</v>
      </c>
      <c r="L476" s="148">
        <v>42059</v>
      </c>
      <c r="M476" s="149" t="s">
        <v>1654</v>
      </c>
      <c r="N476" s="149" t="s">
        <v>185</v>
      </c>
      <c r="O476" s="148">
        <v>42060</v>
      </c>
      <c r="P476" s="150">
        <f t="shared" si="669"/>
        <v>2</v>
      </c>
      <c r="Q476" s="149" t="s">
        <v>1922</v>
      </c>
      <c r="R476" s="149" t="s">
        <v>17</v>
      </c>
      <c r="S476" s="149" t="s">
        <v>101</v>
      </c>
      <c r="T476" s="149" t="s">
        <v>1703</v>
      </c>
      <c r="U476" s="154">
        <v>42061</v>
      </c>
      <c r="V476" s="149" t="s">
        <v>186</v>
      </c>
      <c r="W476" s="153">
        <f t="shared" si="670"/>
        <v>0</v>
      </c>
      <c r="X476" s="153" t="str">
        <f t="shared" si="671"/>
        <v>Correcto</v>
      </c>
    </row>
    <row r="477" spans="1:24" ht="18" customHeight="1" x14ac:dyDescent="0.25">
      <c r="A477" s="172">
        <v>468</v>
      </c>
      <c r="B477" s="156" t="s">
        <v>1923</v>
      </c>
      <c r="C477" s="157">
        <v>42058</v>
      </c>
      <c r="D477" s="150">
        <v>2</v>
      </c>
      <c r="E477" s="150" t="s">
        <v>93</v>
      </c>
      <c r="F477" s="156" t="s">
        <v>1122</v>
      </c>
      <c r="G477" s="150" t="s">
        <v>202</v>
      </c>
      <c r="H477" s="158">
        <v>42059</v>
      </c>
      <c r="I477" s="150" t="s">
        <v>187</v>
      </c>
      <c r="J477" s="150" t="s">
        <v>103</v>
      </c>
      <c r="K477" s="159" t="s">
        <v>1924</v>
      </c>
      <c r="L477" s="158">
        <v>42059</v>
      </c>
      <c r="M477" s="159" t="s">
        <v>1654</v>
      </c>
      <c r="N477" s="159" t="s">
        <v>185</v>
      </c>
      <c r="O477" s="158">
        <v>42060</v>
      </c>
      <c r="P477" s="150">
        <f t="shared" si="669"/>
        <v>2</v>
      </c>
      <c r="Q477" s="159" t="s">
        <v>1925</v>
      </c>
      <c r="R477" s="159" t="s">
        <v>17</v>
      </c>
      <c r="S477" s="159" t="s">
        <v>1926</v>
      </c>
      <c r="T477" s="160" t="s">
        <v>1927</v>
      </c>
      <c r="U477" s="154">
        <v>42061</v>
      </c>
      <c r="V477" s="159" t="s">
        <v>186</v>
      </c>
      <c r="W477" s="161">
        <f t="shared" si="670"/>
        <v>0</v>
      </c>
      <c r="X477" s="161" t="str">
        <f t="shared" si="671"/>
        <v>Correcto</v>
      </c>
    </row>
    <row r="478" spans="1:24" ht="18" customHeight="1" x14ac:dyDescent="0.25">
      <c r="A478" s="172">
        <v>469</v>
      </c>
      <c r="B478" s="145" t="s">
        <v>1928</v>
      </c>
      <c r="C478" s="146">
        <v>42058</v>
      </c>
      <c r="D478" s="147">
        <v>2</v>
      </c>
      <c r="E478" s="147" t="s">
        <v>93</v>
      </c>
      <c r="F478" s="145" t="s">
        <v>1122</v>
      </c>
      <c r="G478" s="147" t="s">
        <v>202</v>
      </c>
      <c r="H478" s="148">
        <v>42059</v>
      </c>
      <c r="I478" s="147" t="s">
        <v>187</v>
      </c>
      <c r="J478" s="147" t="s">
        <v>103</v>
      </c>
      <c r="K478" s="149" t="s">
        <v>1929</v>
      </c>
      <c r="L478" s="148">
        <v>42059</v>
      </c>
      <c r="M478" s="149" t="s">
        <v>1654</v>
      </c>
      <c r="N478" s="149" t="s">
        <v>185</v>
      </c>
      <c r="O478" s="148">
        <v>42060</v>
      </c>
      <c r="P478" s="150">
        <f t="shared" si="669"/>
        <v>2</v>
      </c>
      <c r="Q478" s="149" t="s">
        <v>1930</v>
      </c>
      <c r="R478" s="149" t="s">
        <v>17</v>
      </c>
      <c r="S478" s="149" t="s">
        <v>1931</v>
      </c>
      <c r="T478" s="151" t="s">
        <v>1932</v>
      </c>
      <c r="U478" s="154">
        <v>42061</v>
      </c>
      <c r="V478" s="149" t="s">
        <v>186</v>
      </c>
      <c r="W478" s="153">
        <f t="shared" si="670"/>
        <v>0</v>
      </c>
      <c r="X478" s="153" t="str">
        <f t="shared" si="671"/>
        <v>Correcto</v>
      </c>
    </row>
    <row r="479" spans="1:24" ht="18" customHeight="1" x14ac:dyDescent="0.25">
      <c r="A479" s="172">
        <v>470</v>
      </c>
      <c r="B479" s="145" t="s">
        <v>1933</v>
      </c>
      <c r="C479" s="146">
        <v>42058</v>
      </c>
      <c r="D479" s="147">
        <v>2</v>
      </c>
      <c r="E479" s="147" t="s">
        <v>93</v>
      </c>
      <c r="F479" s="145" t="s">
        <v>1122</v>
      </c>
      <c r="G479" s="147" t="s">
        <v>202</v>
      </c>
      <c r="H479" s="148">
        <v>42059</v>
      </c>
      <c r="I479" s="147" t="s">
        <v>187</v>
      </c>
      <c r="J479" s="147" t="s">
        <v>103</v>
      </c>
      <c r="K479" s="149" t="s">
        <v>1934</v>
      </c>
      <c r="L479" s="148">
        <v>42059</v>
      </c>
      <c r="M479" s="149" t="s">
        <v>1654</v>
      </c>
      <c r="N479" s="149" t="s">
        <v>185</v>
      </c>
      <c r="O479" s="148">
        <v>42060</v>
      </c>
      <c r="P479" s="150">
        <f t="shared" si="669"/>
        <v>2</v>
      </c>
      <c r="Q479" s="149" t="s">
        <v>1935</v>
      </c>
      <c r="R479" s="149" t="s">
        <v>17</v>
      </c>
      <c r="S479" s="149" t="s">
        <v>101</v>
      </c>
      <c r="T479" s="149" t="s">
        <v>967</v>
      </c>
      <c r="U479" s="154">
        <v>42062</v>
      </c>
      <c r="V479" s="149" t="s">
        <v>186</v>
      </c>
      <c r="W479" s="153">
        <f t="shared" si="670"/>
        <v>0</v>
      </c>
      <c r="X479" s="153" t="str">
        <f t="shared" si="671"/>
        <v>Correcto</v>
      </c>
    </row>
    <row r="480" spans="1:24" ht="18" customHeight="1" x14ac:dyDescent="0.25">
      <c r="A480" s="172">
        <v>471</v>
      </c>
      <c r="B480" s="145" t="s">
        <v>1936</v>
      </c>
      <c r="C480" s="146">
        <v>42058</v>
      </c>
      <c r="D480" s="147">
        <v>2</v>
      </c>
      <c r="E480" s="147" t="s">
        <v>93</v>
      </c>
      <c r="F480" s="145" t="s">
        <v>1122</v>
      </c>
      <c r="G480" s="147" t="s">
        <v>202</v>
      </c>
      <c r="H480" s="148">
        <v>42059</v>
      </c>
      <c r="I480" s="147" t="s">
        <v>187</v>
      </c>
      <c r="J480" s="147" t="s">
        <v>103</v>
      </c>
      <c r="K480" s="149" t="s">
        <v>1937</v>
      </c>
      <c r="L480" s="148">
        <v>42059</v>
      </c>
      <c r="M480" s="149" t="s">
        <v>1654</v>
      </c>
      <c r="N480" s="149" t="s">
        <v>185</v>
      </c>
      <c r="O480" s="148">
        <v>42060</v>
      </c>
      <c r="P480" s="150">
        <f t="shared" si="669"/>
        <v>2</v>
      </c>
      <c r="Q480" s="149" t="s">
        <v>1938</v>
      </c>
      <c r="R480" s="149" t="s">
        <v>17</v>
      </c>
      <c r="S480" s="149" t="s">
        <v>101</v>
      </c>
      <c r="T480" s="149" t="s">
        <v>1815</v>
      </c>
      <c r="U480" s="154">
        <v>42061</v>
      </c>
      <c r="V480" s="149" t="s">
        <v>186</v>
      </c>
      <c r="W480" s="153">
        <f t="shared" si="670"/>
        <v>0</v>
      </c>
      <c r="X480" s="153" t="str">
        <f t="shared" si="671"/>
        <v>Correcto</v>
      </c>
    </row>
    <row r="481" spans="1:24" ht="18" customHeight="1" x14ac:dyDescent="0.25">
      <c r="A481" s="172">
        <v>472</v>
      </c>
      <c r="B481" s="145" t="s">
        <v>1939</v>
      </c>
      <c r="C481" s="146">
        <v>42058</v>
      </c>
      <c r="D481" s="147">
        <v>2</v>
      </c>
      <c r="E481" s="147" t="s">
        <v>93</v>
      </c>
      <c r="F481" s="145" t="s">
        <v>1122</v>
      </c>
      <c r="G481" s="147" t="s">
        <v>202</v>
      </c>
      <c r="H481" s="148">
        <v>42059</v>
      </c>
      <c r="I481" s="147" t="s">
        <v>187</v>
      </c>
      <c r="J481" s="147" t="s">
        <v>103</v>
      </c>
      <c r="K481" s="149" t="s">
        <v>1940</v>
      </c>
      <c r="L481" s="148">
        <v>42059</v>
      </c>
      <c r="M481" s="149" t="s">
        <v>1654</v>
      </c>
      <c r="N481" s="149" t="s">
        <v>185</v>
      </c>
      <c r="O481" s="148">
        <v>42060</v>
      </c>
      <c r="P481" s="150">
        <f t="shared" si="669"/>
        <v>2</v>
      </c>
      <c r="Q481" s="149" t="s">
        <v>1941</v>
      </c>
      <c r="R481" s="149" t="s">
        <v>17</v>
      </c>
      <c r="S481" s="149" t="s">
        <v>101</v>
      </c>
      <c r="T481" s="149" t="s">
        <v>1586</v>
      </c>
      <c r="U481" s="154">
        <v>42061</v>
      </c>
      <c r="V481" s="149" t="s">
        <v>186</v>
      </c>
      <c r="W481" s="153">
        <f t="shared" si="670"/>
        <v>0</v>
      </c>
      <c r="X481" s="153" t="str">
        <f t="shared" si="671"/>
        <v>Correcto</v>
      </c>
    </row>
    <row r="482" spans="1:24" ht="18" customHeight="1" x14ac:dyDescent="0.25">
      <c r="A482" s="172">
        <v>473</v>
      </c>
      <c r="B482" s="145" t="s">
        <v>1942</v>
      </c>
      <c r="C482" s="146">
        <v>42058</v>
      </c>
      <c r="D482" s="147">
        <v>2</v>
      </c>
      <c r="E482" s="147" t="s">
        <v>93</v>
      </c>
      <c r="F482" s="145" t="s">
        <v>1122</v>
      </c>
      <c r="G482" s="147" t="s">
        <v>202</v>
      </c>
      <c r="H482" s="148">
        <v>42059</v>
      </c>
      <c r="I482" s="147" t="s">
        <v>187</v>
      </c>
      <c r="J482" s="147" t="s">
        <v>103</v>
      </c>
      <c r="K482" s="149" t="s">
        <v>1943</v>
      </c>
      <c r="L482" s="148">
        <v>42059</v>
      </c>
      <c r="M482" s="149" t="s">
        <v>1654</v>
      </c>
      <c r="N482" s="149" t="s">
        <v>185</v>
      </c>
      <c r="O482" s="148">
        <v>42060</v>
      </c>
      <c r="P482" s="150">
        <f t="shared" si="669"/>
        <v>2</v>
      </c>
      <c r="Q482" s="149" t="s">
        <v>1944</v>
      </c>
      <c r="R482" s="149" t="s">
        <v>17</v>
      </c>
      <c r="S482" s="149" t="s">
        <v>101</v>
      </c>
      <c r="T482" s="149" t="s">
        <v>1883</v>
      </c>
      <c r="U482" s="154">
        <v>42061</v>
      </c>
      <c r="V482" s="149" t="s">
        <v>186</v>
      </c>
      <c r="W482" s="153">
        <f t="shared" si="670"/>
        <v>0</v>
      </c>
      <c r="X482" s="153" t="str">
        <f t="shared" si="671"/>
        <v>Correcto</v>
      </c>
    </row>
    <row r="483" spans="1:24" ht="18" customHeight="1" x14ac:dyDescent="0.25">
      <c r="A483" s="172">
        <v>474</v>
      </c>
      <c r="B483" s="145" t="s">
        <v>1945</v>
      </c>
      <c r="C483" s="146">
        <v>42058</v>
      </c>
      <c r="D483" s="147">
        <v>2</v>
      </c>
      <c r="E483" s="147" t="s">
        <v>93</v>
      </c>
      <c r="F483" s="145" t="s">
        <v>1122</v>
      </c>
      <c r="G483" s="147" t="s">
        <v>202</v>
      </c>
      <c r="H483" s="148">
        <v>42059</v>
      </c>
      <c r="I483" s="147" t="s">
        <v>187</v>
      </c>
      <c r="J483" s="147" t="s">
        <v>103</v>
      </c>
      <c r="K483" s="149" t="s">
        <v>1946</v>
      </c>
      <c r="L483" s="148">
        <v>42059</v>
      </c>
      <c r="M483" s="149" t="s">
        <v>1654</v>
      </c>
      <c r="N483" s="149" t="s">
        <v>185</v>
      </c>
      <c r="O483" s="148">
        <v>42060</v>
      </c>
      <c r="P483" s="150">
        <f t="shared" si="669"/>
        <v>2</v>
      </c>
      <c r="Q483" s="149" t="s">
        <v>1947</v>
      </c>
      <c r="R483" s="149" t="s">
        <v>17</v>
      </c>
      <c r="S483" s="149" t="s">
        <v>101</v>
      </c>
      <c r="T483" s="149" t="s">
        <v>1736</v>
      </c>
      <c r="U483" s="154">
        <v>42061</v>
      </c>
      <c r="V483" s="149" t="s">
        <v>186</v>
      </c>
      <c r="W483" s="153">
        <f t="shared" si="670"/>
        <v>0</v>
      </c>
      <c r="X483" s="153" t="str">
        <f t="shared" si="671"/>
        <v>Correcto</v>
      </c>
    </row>
    <row r="484" spans="1:24" ht="18" customHeight="1" x14ac:dyDescent="0.25">
      <c r="A484" s="172">
        <v>475</v>
      </c>
      <c r="B484" s="145" t="s">
        <v>1948</v>
      </c>
      <c r="C484" s="146">
        <v>42058</v>
      </c>
      <c r="D484" s="147">
        <v>2</v>
      </c>
      <c r="E484" s="147" t="s">
        <v>93</v>
      </c>
      <c r="F484" s="145" t="s">
        <v>1122</v>
      </c>
      <c r="G484" s="147" t="s">
        <v>202</v>
      </c>
      <c r="H484" s="148">
        <v>42059</v>
      </c>
      <c r="I484" s="147" t="s">
        <v>187</v>
      </c>
      <c r="J484" s="147" t="s">
        <v>103</v>
      </c>
      <c r="K484" s="149" t="s">
        <v>1949</v>
      </c>
      <c r="L484" s="148">
        <v>42059</v>
      </c>
      <c r="M484" s="149" t="s">
        <v>1654</v>
      </c>
      <c r="N484" s="149" t="s">
        <v>185</v>
      </c>
      <c r="O484" s="148">
        <v>42060</v>
      </c>
      <c r="P484" s="150">
        <f t="shared" si="669"/>
        <v>2</v>
      </c>
      <c r="Q484" s="149" t="s">
        <v>1950</v>
      </c>
      <c r="R484" s="149" t="s">
        <v>17</v>
      </c>
      <c r="S484" s="149" t="s">
        <v>101</v>
      </c>
      <c r="T484" s="149" t="s">
        <v>1651</v>
      </c>
      <c r="U484" s="154">
        <v>42061</v>
      </c>
      <c r="V484" s="149" t="s">
        <v>186</v>
      </c>
      <c r="W484" s="153">
        <f t="shared" si="670"/>
        <v>0</v>
      </c>
      <c r="X484" s="153" t="str">
        <f t="shared" si="671"/>
        <v>Correcto</v>
      </c>
    </row>
    <row r="485" spans="1:24" ht="18" customHeight="1" x14ac:dyDescent="0.25">
      <c r="A485" s="172">
        <v>476</v>
      </c>
      <c r="B485" s="145" t="s">
        <v>1951</v>
      </c>
      <c r="C485" s="146">
        <v>42058</v>
      </c>
      <c r="D485" s="147">
        <v>2</v>
      </c>
      <c r="E485" s="147" t="s">
        <v>93</v>
      </c>
      <c r="F485" s="145" t="s">
        <v>1122</v>
      </c>
      <c r="G485" s="147" t="s">
        <v>202</v>
      </c>
      <c r="H485" s="148">
        <v>42059</v>
      </c>
      <c r="I485" s="147" t="s">
        <v>187</v>
      </c>
      <c r="J485" s="147" t="s">
        <v>103</v>
      </c>
      <c r="K485" s="149" t="s">
        <v>1952</v>
      </c>
      <c r="L485" s="148">
        <v>42059</v>
      </c>
      <c r="M485" s="149" t="s">
        <v>1654</v>
      </c>
      <c r="N485" s="149" t="s">
        <v>185</v>
      </c>
      <c r="O485" s="148">
        <v>42060</v>
      </c>
      <c r="P485" s="150">
        <f t="shared" si="669"/>
        <v>2</v>
      </c>
      <c r="Q485" s="149" t="s">
        <v>1953</v>
      </c>
      <c r="R485" s="149" t="s">
        <v>17</v>
      </c>
      <c r="S485" s="149" t="s">
        <v>1954</v>
      </c>
      <c r="T485" s="151" t="s">
        <v>1955</v>
      </c>
      <c r="U485" s="154">
        <v>42061</v>
      </c>
      <c r="V485" s="149" t="s">
        <v>186</v>
      </c>
      <c r="W485" s="153">
        <f t="shared" si="670"/>
        <v>0</v>
      </c>
      <c r="X485" s="153" t="str">
        <f t="shared" si="671"/>
        <v>Correcto</v>
      </c>
    </row>
    <row r="486" spans="1:24" ht="18" customHeight="1" x14ac:dyDescent="0.25">
      <c r="A486" s="172">
        <v>477</v>
      </c>
      <c r="B486" s="145" t="s">
        <v>1956</v>
      </c>
      <c r="C486" s="146">
        <v>42058</v>
      </c>
      <c r="D486" s="147">
        <v>2</v>
      </c>
      <c r="E486" s="147" t="s">
        <v>93</v>
      </c>
      <c r="F486" s="145" t="s">
        <v>1122</v>
      </c>
      <c r="G486" s="147" t="s">
        <v>202</v>
      </c>
      <c r="H486" s="148">
        <v>42059</v>
      </c>
      <c r="I486" s="147" t="s">
        <v>187</v>
      </c>
      <c r="J486" s="147" t="s">
        <v>103</v>
      </c>
      <c r="K486" s="149" t="s">
        <v>1957</v>
      </c>
      <c r="L486" s="148">
        <v>42059</v>
      </c>
      <c r="M486" s="149" t="s">
        <v>1654</v>
      </c>
      <c r="N486" s="149" t="s">
        <v>185</v>
      </c>
      <c r="O486" s="148">
        <v>42060</v>
      </c>
      <c r="P486" s="150">
        <f t="shared" si="669"/>
        <v>2</v>
      </c>
      <c r="Q486" s="149" t="s">
        <v>1958</v>
      </c>
      <c r="R486" s="149" t="s">
        <v>17</v>
      </c>
      <c r="S486" s="149" t="s">
        <v>1959</v>
      </c>
      <c r="T486" s="151" t="s">
        <v>1960</v>
      </c>
      <c r="U486" s="154">
        <v>42061</v>
      </c>
      <c r="V486" s="149" t="s">
        <v>186</v>
      </c>
      <c r="W486" s="153">
        <f t="shared" si="670"/>
        <v>0</v>
      </c>
      <c r="X486" s="153" t="str">
        <f t="shared" si="671"/>
        <v>Correcto</v>
      </c>
    </row>
    <row r="487" spans="1:24" ht="18" customHeight="1" x14ac:dyDescent="0.25">
      <c r="A487" s="172">
        <v>478</v>
      </c>
      <c r="B487" s="145" t="s">
        <v>1961</v>
      </c>
      <c r="C487" s="146">
        <v>42058</v>
      </c>
      <c r="D487" s="147">
        <v>2</v>
      </c>
      <c r="E487" s="147" t="s">
        <v>93</v>
      </c>
      <c r="F487" s="145" t="s">
        <v>1122</v>
      </c>
      <c r="G487" s="147" t="s">
        <v>202</v>
      </c>
      <c r="H487" s="148">
        <v>42059</v>
      </c>
      <c r="I487" s="147" t="s">
        <v>187</v>
      </c>
      <c r="J487" s="147" t="s">
        <v>103</v>
      </c>
      <c r="K487" s="149" t="s">
        <v>1962</v>
      </c>
      <c r="L487" s="148">
        <v>42059</v>
      </c>
      <c r="M487" s="149" t="s">
        <v>1654</v>
      </c>
      <c r="N487" s="149" t="s">
        <v>185</v>
      </c>
      <c r="O487" s="148">
        <v>42060</v>
      </c>
      <c r="P487" s="150">
        <f t="shared" si="669"/>
        <v>2</v>
      </c>
      <c r="Q487" s="149" t="s">
        <v>1963</v>
      </c>
      <c r="R487" s="149" t="s">
        <v>17</v>
      </c>
      <c r="S487" s="149" t="s">
        <v>101</v>
      </c>
      <c r="T487" s="149" t="s">
        <v>1586</v>
      </c>
      <c r="U487" s="154">
        <v>42061</v>
      </c>
      <c r="V487" s="149" t="s">
        <v>186</v>
      </c>
      <c r="W487" s="153">
        <f t="shared" si="670"/>
        <v>0</v>
      </c>
      <c r="X487" s="153" t="str">
        <f t="shared" si="671"/>
        <v>Correcto</v>
      </c>
    </row>
    <row r="488" spans="1:24" ht="18" customHeight="1" x14ac:dyDescent="0.25">
      <c r="A488" s="172">
        <v>479</v>
      </c>
      <c r="B488" s="145" t="s">
        <v>1964</v>
      </c>
      <c r="C488" s="146">
        <v>42058</v>
      </c>
      <c r="D488" s="147">
        <v>2</v>
      </c>
      <c r="E488" s="147" t="s">
        <v>93</v>
      </c>
      <c r="F488" s="145" t="s">
        <v>1122</v>
      </c>
      <c r="G488" s="147" t="s">
        <v>202</v>
      </c>
      <c r="H488" s="148">
        <v>42059</v>
      </c>
      <c r="I488" s="147" t="s">
        <v>187</v>
      </c>
      <c r="J488" s="147" t="s">
        <v>103</v>
      </c>
      <c r="K488" s="149" t="s">
        <v>1965</v>
      </c>
      <c r="L488" s="148">
        <v>42059</v>
      </c>
      <c r="M488" s="149" t="s">
        <v>1654</v>
      </c>
      <c r="N488" s="149" t="s">
        <v>185</v>
      </c>
      <c r="O488" s="148">
        <v>42060</v>
      </c>
      <c r="P488" s="150">
        <f t="shared" si="669"/>
        <v>2</v>
      </c>
      <c r="Q488" s="149" t="s">
        <v>1966</v>
      </c>
      <c r="R488" s="149" t="s">
        <v>17</v>
      </c>
      <c r="S488" s="149" t="s">
        <v>1967</v>
      </c>
      <c r="T488" s="151" t="s">
        <v>1968</v>
      </c>
      <c r="U488" s="154">
        <v>42061</v>
      </c>
      <c r="V488" s="149" t="s">
        <v>186</v>
      </c>
      <c r="W488" s="153">
        <f t="shared" si="670"/>
        <v>0</v>
      </c>
      <c r="X488" s="153" t="str">
        <f t="shared" si="671"/>
        <v>Correcto</v>
      </c>
    </row>
    <row r="489" spans="1:24" ht="18" customHeight="1" x14ac:dyDescent="0.25">
      <c r="A489" s="172">
        <v>480</v>
      </c>
      <c r="B489" s="145" t="s">
        <v>1969</v>
      </c>
      <c r="C489" s="146">
        <v>42058</v>
      </c>
      <c r="D489" s="147">
        <v>4</v>
      </c>
      <c r="E489" s="147" t="s">
        <v>93</v>
      </c>
      <c r="F489" s="145" t="s">
        <v>1122</v>
      </c>
      <c r="G489" s="147" t="s">
        <v>202</v>
      </c>
      <c r="H489" s="148">
        <v>42059</v>
      </c>
      <c r="I489" s="147" t="s">
        <v>187</v>
      </c>
      <c r="J489" s="147" t="s">
        <v>103</v>
      </c>
      <c r="K489" s="149" t="s">
        <v>1970</v>
      </c>
      <c r="L489" s="148">
        <v>42059</v>
      </c>
      <c r="M489" s="149" t="s">
        <v>1654</v>
      </c>
      <c r="N489" s="149" t="s">
        <v>185</v>
      </c>
      <c r="O489" s="148">
        <v>42060</v>
      </c>
      <c r="P489" s="150">
        <f t="shared" si="669"/>
        <v>2</v>
      </c>
      <c r="Q489" s="149" t="s">
        <v>1971</v>
      </c>
      <c r="R489" s="149" t="s">
        <v>17</v>
      </c>
      <c r="S489" s="149" t="s">
        <v>1972</v>
      </c>
      <c r="T489" s="151" t="s">
        <v>1973</v>
      </c>
      <c r="U489" s="154">
        <v>42061</v>
      </c>
      <c r="V489" s="149" t="s">
        <v>186</v>
      </c>
      <c r="W489" s="153">
        <f t="shared" si="670"/>
        <v>0</v>
      </c>
      <c r="X489" s="153" t="str">
        <f t="shared" si="671"/>
        <v>Correcto</v>
      </c>
    </row>
    <row r="490" spans="1:24" ht="18" customHeight="1" x14ac:dyDescent="0.25">
      <c r="A490" s="172">
        <v>481</v>
      </c>
      <c r="B490" s="145" t="s">
        <v>1974</v>
      </c>
      <c r="C490" s="146">
        <v>42059</v>
      </c>
      <c r="D490" s="147">
        <v>2</v>
      </c>
      <c r="E490" s="147" t="s">
        <v>93</v>
      </c>
      <c r="F490" s="145" t="s">
        <v>1122</v>
      </c>
      <c r="G490" s="147" t="s">
        <v>202</v>
      </c>
      <c r="H490" s="148">
        <v>42061</v>
      </c>
      <c r="I490" s="147" t="s">
        <v>187</v>
      </c>
      <c r="J490" s="147" t="s">
        <v>103</v>
      </c>
      <c r="K490" s="149" t="s">
        <v>1975</v>
      </c>
      <c r="L490" s="148">
        <v>42061</v>
      </c>
      <c r="M490" s="149" t="s">
        <v>1654</v>
      </c>
      <c r="N490" s="149" t="s">
        <v>185</v>
      </c>
      <c r="O490" s="148">
        <v>42063</v>
      </c>
      <c r="P490" s="150">
        <f t="shared" si="669"/>
        <v>4</v>
      </c>
      <c r="Q490" s="149" t="s">
        <v>1976</v>
      </c>
      <c r="R490" s="149" t="s">
        <v>17</v>
      </c>
      <c r="S490" s="149" t="s">
        <v>101</v>
      </c>
      <c r="T490" s="149" t="s">
        <v>1977</v>
      </c>
      <c r="U490" s="154">
        <v>42065</v>
      </c>
      <c r="V490" s="149" t="s">
        <v>186</v>
      </c>
      <c r="W490" s="153">
        <f t="shared" si="670"/>
        <v>0</v>
      </c>
      <c r="X490" s="153" t="str">
        <f t="shared" si="671"/>
        <v>Correcto</v>
      </c>
    </row>
    <row r="491" spans="1:24" ht="18" customHeight="1" x14ac:dyDescent="0.25">
      <c r="A491" s="172">
        <v>482</v>
      </c>
      <c r="B491" s="145" t="s">
        <v>1978</v>
      </c>
      <c r="C491" s="146">
        <v>42059</v>
      </c>
      <c r="D491" s="147">
        <v>2</v>
      </c>
      <c r="E491" s="147" t="s">
        <v>93</v>
      </c>
      <c r="F491" s="145" t="s">
        <v>1122</v>
      </c>
      <c r="G491" s="147" t="s">
        <v>202</v>
      </c>
      <c r="H491" s="148">
        <v>42060</v>
      </c>
      <c r="I491" s="147" t="s">
        <v>187</v>
      </c>
      <c r="J491" s="147" t="s">
        <v>103</v>
      </c>
      <c r="K491" s="149" t="s">
        <v>1979</v>
      </c>
      <c r="L491" s="148">
        <v>42060</v>
      </c>
      <c r="M491" s="149" t="s">
        <v>1654</v>
      </c>
      <c r="N491" s="149" t="s">
        <v>185</v>
      </c>
      <c r="O491" s="148">
        <v>42062</v>
      </c>
      <c r="P491" s="150">
        <f t="shared" si="669"/>
        <v>3</v>
      </c>
      <c r="Q491" s="149" t="s">
        <v>1980</v>
      </c>
      <c r="R491" s="149" t="s">
        <v>17</v>
      </c>
      <c r="S491" s="149" t="s">
        <v>101</v>
      </c>
      <c r="T491" s="149" t="s">
        <v>1977</v>
      </c>
      <c r="U491" s="154">
        <v>42062</v>
      </c>
      <c r="V491" s="149" t="s">
        <v>186</v>
      </c>
      <c r="W491" s="153">
        <f t="shared" si="670"/>
        <v>0</v>
      </c>
      <c r="X491" s="153" t="str">
        <f t="shared" si="671"/>
        <v>Correcto</v>
      </c>
    </row>
    <row r="492" spans="1:24" ht="18" customHeight="1" x14ac:dyDescent="0.25">
      <c r="A492" s="172">
        <v>483</v>
      </c>
      <c r="B492" s="145" t="s">
        <v>1981</v>
      </c>
      <c r="C492" s="146">
        <v>42059</v>
      </c>
      <c r="D492" s="147">
        <v>2</v>
      </c>
      <c r="E492" s="147" t="s">
        <v>93</v>
      </c>
      <c r="F492" s="145" t="s">
        <v>1122</v>
      </c>
      <c r="G492" s="147" t="s">
        <v>202</v>
      </c>
      <c r="H492" s="148">
        <v>42060</v>
      </c>
      <c r="I492" s="147" t="s">
        <v>187</v>
      </c>
      <c r="J492" s="147" t="s">
        <v>103</v>
      </c>
      <c r="K492" s="149" t="s">
        <v>1982</v>
      </c>
      <c r="L492" s="148">
        <v>42060</v>
      </c>
      <c r="M492" s="149" t="s">
        <v>1654</v>
      </c>
      <c r="N492" s="149" t="s">
        <v>185</v>
      </c>
      <c r="O492" s="148">
        <v>42062</v>
      </c>
      <c r="P492" s="150">
        <f t="shared" si="669"/>
        <v>3</v>
      </c>
      <c r="Q492" s="149" t="s">
        <v>1983</v>
      </c>
      <c r="R492" s="149" t="s">
        <v>17</v>
      </c>
      <c r="S492" s="149" t="s">
        <v>101</v>
      </c>
      <c r="T492" s="149" t="s">
        <v>1984</v>
      </c>
      <c r="U492" s="154">
        <v>42062</v>
      </c>
      <c r="V492" s="149" t="s">
        <v>186</v>
      </c>
      <c r="W492" s="153">
        <f t="shared" si="670"/>
        <v>0</v>
      </c>
      <c r="X492" s="153" t="str">
        <f t="shared" si="671"/>
        <v>Correcto</v>
      </c>
    </row>
    <row r="493" spans="1:24" ht="18" customHeight="1" x14ac:dyDescent="0.25">
      <c r="A493" s="172">
        <v>484</v>
      </c>
      <c r="B493" s="145" t="s">
        <v>1985</v>
      </c>
      <c r="C493" s="146">
        <v>42059</v>
      </c>
      <c r="D493" s="147">
        <v>2</v>
      </c>
      <c r="E493" s="147" t="s">
        <v>93</v>
      </c>
      <c r="F493" s="145" t="s">
        <v>1122</v>
      </c>
      <c r="G493" s="147" t="s">
        <v>202</v>
      </c>
      <c r="H493" s="148">
        <v>42060</v>
      </c>
      <c r="I493" s="147" t="s">
        <v>187</v>
      </c>
      <c r="J493" s="147" t="s">
        <v>103</v>
      </c>
      <c r="K493" s="149" t="s">
        <v>1986</v>
      </c>
      <c r="L493" s="148">
        <v>42060</v>
      </c>
      <c r="M493" s="149" t="s">
        <v>1654</v>
      </c>
      <c r="N493" s="149" t="s">
        <v>185</v>
      </c>
      <c r="O493" s="148">
        <v>42062</v>
      </c>
      <c r="P493" s="150">
        <f t="shared" si="669"/>
        <v>3</v>
      </c>
      <c r="Q493" s="149" t="s">
        <v>1987</v>
      </c>
      <c r="R493" s="149" t="s">
        <v>17</v>
      </c>
      <c r="S493" s="149" t="s">
        <v>101</v>
      </c>
      <c r="T493" s="149" t="s">
        <v>1693</v>
      </c>
      <c r="U493" s="154">
        <v>42062</v>
      </c>
      <c r="V493" s="149" t="s">
        <v>186</v>
      </c>
      <c r="W493" s="153">
        <f t="shared" si="670"/>
        <v>0</v>
      </c>
      <c r="X493" s="153" t="str">
        <f t="shared" si="671"/>
        <v>Correcto</v>
      </c>
    </row>
    <row r="494" spans="1:24" ht="18" customHeight="1" x14ac:dyDescent="0.25">
      <c r="A494" s="172">
        <v>485</v>
      </c>
      <c r="B494" s="145" t="s">
        <v>1988</v>
      </c>
      <c r="C494" s="146">
        <v>42059</v>
      </c>
      <c r="D494" s="147">
        <v>2</v>
      </c>
      <c r="E494" s="147" t="s">
        <v>93</v>
      </c>
      <c r="F494" s="145" t="s">
        <v>1122</v>
      </c>
      <c r="G494" s="147" t="s">
        <v>202</v>
      </c>
      <c r="H494" s="148">
        <v>42060</v>
      </c>
      <c r="I494" s="147" t="s">
        <v>187</v>
      </c>
      <c r="J494" s="147" t="s">
        <v>103</v>
      </c>
      <c r="K494" s="149" t="s">
        <v>1989</v>
      </c>
      <c r="L494" s="148">
        <v>42060</v>
      </c>
      <c r="M494" s="149" t="s">
        <v>1654</v>
      </c>
      <c r="N494" s="149" t="s">
        <v>185</v>
      </c>
      <c r="O494" s="148">
        <v>42062</v>
      </c>
      <c r="P494" s="150">
        <f t="shared" si="669"/>
        <v>3</v>
      </c>
      <c r="Q494" s="149" t="s">
        <v>1990</v>
      </c>
      <c r="R494" s="149" t="s">
        <v>17</v>
      </c>
      <c r="S494" s="149" t="s">
        <v>101</v>
      </c>
      <c r="T494" s="149" t="s">
        <v>1883</v>
      </c>
      <c r="U494" s="154">
        <v>42062</v>
      </c>
      <c r="V494" s="149" t="s">
        <v>186</v>
      </c>
      <c r="W494" s="153">
        <f t="shared" si="670"/>
        <v>0</v>
      </c>
      <c r="X494" s="153" t="str">
        <f t="shared" si="671"/>
        <v>Correcto</v>
      </c>
    </row>
    <row r="495" spans="1:24" ht="18" customHeight="1" x14ac:dyDescent="0.25">
      <c r="A495" s="172">
        <v>486</v>
      </c>
      <c r="B495" s="145" t="s">
        <v>1991</v>
      </c>
      <c r="C495" s="146">
        <v>42059</v>
      </c>
      <c r="D495" s="147">
        <v>2</v>
      </c>
      <c r="E495" s="147" t="s">
        <v>93</v>
      </c>
      <c r="F495" s="145" t="s">
        <v>1122</v>
      </c>
      <c r="G495" s="147" t="s">
        <v>202</v>
      </c>
      <c r="H495" s="148">
        <v>42060</v>
      </c>
      <c r="I495" s="147" t="s">
        <v>187</v>
      </c>
      <c r="J495" s="147" t="s">
        <v>103</v>
      </c>
      <c r="K495" s="149" t="s">
        <v>1992</v>
      </c>
      <c r="L495" s="148">
        <v>42060</v>
      </c>
      <c r="M495" s="149" t="s">
        <v>1654</v>
      </c>
      <c r="N495" s="149" t="s">
        <v>185</v>
      </c>
      <c r="O495" s="148">
        <v>42062</v>
      </c>
      <c r="P495" s="150">
        <f t="shared" si="669"/>
        <v>3</v>
      </c>
      <c r="Q495" s="149" t="s">
        <v>1993</v>
      </c>
      <c r="R495" s="149" t="s">
        <v>17</v>
      </c>
      <c r="S495" s="149" t="s">
        <v>101</v>
      </c>
      <c r="T495" s="149" t="s">
        <v>1586</v>
      </c>
      <c r="U495" s="154">
        <v>42062</v>
      </c>
      <c r="V495" s="149" t="s">
        <v>186</v>
      </c>
      <c r="W495" s="153">
        <f t="shared" si="670"/>
        <v>0</v>
      </c>
      <c r="X495" s="153" t="str">
        <f t="shared" si="671"/>
        <v>Correcto</v>
      </c>
    </row>
    <row r="496" spans="1:24" ht="18" customHeight="1" x14ac:dyDescent="0.25">
      <c r="A496" s="172">
        <v>487</v>
      </c>
      <c r="B496" s="145" t="s">
        <v>1994</v>
      </c>
      <c r="C496" s="146">
        <v>42059</v>
      </c>
      <c r="D496" s="147">
        <v>2</v>
      </c>
      <c r="E496" s="147" t="s">
        <v>93</v>
      </c>
      <c r="F496" s="145" t="s">
        <v>1122</v>
      </c>
      <c r="G496" s="147" t="s">
        <v>202</v>
      </c>
      <c r="H496" s="148">
        <v>42060</v>
      </c>
      <c r="I496" s="147" t="s">
        <v>187</v>
      </c>
      <c r="J496" s="147" t="s">
        <v>103</v>
      </c>
      <c r="K496" s="149" t="s">
        <v>1995</v>
      </c>
      <c r="L496" s="148">
        <v>42060</v>
      </c>
      <c r="M496" s="149" t="s">
        <v>1654</v>
      </c>
      <c r="N496" s="149" t="s">
        <v>185</v>
      </c>
      <c r="O496" s="148">
        <v>42062</v>
      </c>
      <c r="P496" s="150">
        <f t="shared" si="669"/>
        <v>3</v>
      </c>
      <c r="Q496" s="149" t="s">
        <v>1996</v>
      </c>
      <c r="R496" s="149" t="s">
        <v>17</v>
      </c>
      <c r="S496" s="149" t="s">
        <v>1997</v>
      </c>
      <c r="T496" s="151" t="s">
        <v>1998</v>
      </c>
      <c r="U496" s="154">
        <v>42062</v>
      </c>
      <c r="V496" s="149" t="s">
        <v>186</v>
      </c>
      <c r="W496" s="153">
        <f t="shared" si="670"/>
        <v>0</v>
      </c>
      <c r="X496" s="153" t="str">
        <f t="shared" si="671"/>
        <v>Correcto</v>
      </c>
    </row>
    <row r="497" spans="1:24" ht="18" customHeight="1" x14ac:dyDescent="0.25">
      <c r="A497" s="172">
        <v>488</v>
      </c>
      <c r="B497" s="145" t="s">
        <v>1999</v>
      </c>
      <c r="C497" s="146">
        <v>42059</v>
      </c>
      <c r="D497" s="147">
        <v>2</v>
      </c>
      <c r="E497" s="147" t="s">
        <v>93</v>
      </c>
      <c r="F497" s="145" t="s">
        <v>1122</v>
      </c>
      <c r="G497" s="147" t="s">
        <v>202</v>
      </c>
      <c r="H497" s="148">
        <v>42060</v>
      </c>
      <c r="I497" s="147" t="s">
        <v>187</v>
      </c>
      <c r="J497" s="147" t="s">
        <v>103</v>
      </c>
      <c r="K497" s="149" t="s">
        <v>2000</v>
      </c>
      <c r="L497" s="148">
        <v>42060</v>
      </c>
      <c r="M497" s="149" t="s">
        <v>1654</v>
      </c>
      <c r="N497" s="149" t="s">
        <v>185</v>
      </c>
      <c r="O497" s="148">
        <v>42061</v>
      </c>
      <c r="P497" s="150">
        <f t="shared" si="669"/>
        <v>2</v>
      </c>
      <c r="Q497" s="149" t="s">
        <v>2001</v>
      </c>
      <c r="R497" s="149" t="s">
        <v>17</v>
      </c>
      <c r="S497" s="149" t="s">
        <v>2002</v>
      </c>
      <c r="T497" s="151" t="s">
        <v>2003</v>
      </c>
      <c r="U497" s="154">
        <v>42062</v>
      </c>
      <c r="V497" s="149" t="s">
        <v>186</v>
      </c>
      <c r="W497" s="153">
        <f t="shared" si="670"/>
        <v>0</v>
      </c>
      <c r="X497" s="153" t="str">
        <f t="shared" si="671"/>
        <v>Correcto</v>
      </c>
    </row>
    <row r="498" spans="1:24" ht="18" customHeight="1" x14ac:dyDescent="0.25">
      <c r="A498" s="172">
        <v>489</v>
      </c>
      <c r="B498" s="145" t="s">
        <v>2004</v>
      </c>
      <c r="C498" s="146">
        <v>42059</v>
      </c>
      <c r="D498" s="147">
        <v>2</v>
      </c>
      <c r="E498" s="147" t="s">
        <v>93</v>
      </c>
      <c r="F498" s="145" t="s">
        <v>1122</v>
      </c>
      <c r="G498" s="147" t="s">
        <v>202</v>
      </c>
      <c r="H498" s="148">
        <v>42060</v>
      </c>
      <c r="I498" s="147" t="s">
        <v>187</v>
      </c>
      <c r="J498" s="147" t="s">
        <v>103</v>
      </c>
      <c r="K498" s="149" t="s">
        <v>2005</v>
      </c>
      <c r="L498" s="148">
        <v>42060</v>
      </c>
      <c r="M498" s="149" t="s">
        <v>1654</v>
      </c>
      <c r="N498" s="149" t="s">
        <v>185</v>
      </c>
      <c r="O498" s="148">
        <v>42062</v>
      </c>
      <c r="P498" s="150">
        <f t="shared" si="669"/>
        <v>3</v>
      </c>
      <c r="Q498" s="149" t="s">
        <v>2006</v>
      </c>
      <c r="R498" s="149" t="s">
        <v>17</v>
      </c>
      <c r="S498" s="149" t="s">
        <v>101</v>
      </c>
      <c r="T498" s="149" t="s">
        <v>1815</v>
      </c>
      <c r="U498" s="154">
        <v>42062</v>
      </c>
      <c r="V498" s="149" t="s">
        <v>186</v>
      </c>
      <c r="W498" s="153">
        <f t="shared" si="670"/>
        <v>0</v>
      </c>
      <c r="X498" s="153" t="str">
        <f t="shared" si="671"/>
        <v>Correcto</v>
      </c>
    </row>
    <row r="499" spans="1:24" ht="18" customHeight="1" x14ac:dyDescent="0.25">
      <c r="A499" s="172">
        <v>490</v>
      </c>
      <c r="B499" s="145" t="s">
        <v>2007</v>
      </c>
      <c r="C499" s="146">
        <v>42059</v>
      </c>
      <c r="D499" s="147">
        <v>2</v>
      </c>
      <c r="E499" s="147" t="s">
        <v>93</v>
      </c>
      <c r="F499" s="145" t="s">
        <v>1122</v>
      </c>
      <c r="G499" s="147" t="s">
        <v>202</v>
      </c>
      <c r="H499" s="148">
        <v>42060</v>
      </c>
      <c r="I499" s="147" t="s">
        <v>187</v>
      </c>
      <c r="J499" s="147" t="s">
        <v>103</v>
      </c>
      <c r="K499" s="149" t="s">
        <v>2008</v>
      </c>
      <c r="L499" s="148">
        <v>42060</v>
      </c>
      <c r="M499" s="149" t="s">
        <v>1654</v>
      </c>
      <c r="N499" s="149" t="s">
        <v>185</v>
      </c>
      <c r="O499" s="148">
        <v>42062</v>
      </c>
      <c r="P499" s="150">
        <f t="shared" si="669"/>
        <v>3</v>
      </c>
      <c r="Q499" s="149" t="s">
        <v>2009</v>
      </c>
      <c r="R499" s="149" t="s">
        <v>17</v>
      </c>
      <c r="S499" s="149" t="s">
        <v>101</v>
      </c>
      <c r="T499" s="149" t="s">
        <v>1651</v>
      </c>
      <c r="U499" s="154">
        <v>42062</v>
      </c>
      <c r="V499" s="149" t="s">
        <v>186</v>
      </c>
      <c r="W499" s="153">
        <f t="shared" si="670"/>
        <v>0</v>
      </c>
      <c r="X499" s="153" t="str">
        <f t="shared" si="671"/>
        <v>Correcto</v>
      </c>
    </row>
    <row r="500" spans="1:24" ht="18" customHeight="1" x14ac:dyDescent="0.25">
      <c r="A500" s="172">
        <v>491</v>
      </c>
      <c r="B500" s="145" t="s">
        <v>2010</v>
      </c>
      <c r="C500" s="146">
        <v>42059</v>
      </c>
      <c r="D500" s="147">
        <v>7</v>
      </c>
      <c r="E500" s="147" t="s">
        <v>93</v>
      </c>
      <c r="F500" s="145" t="s">
        <v>1122</v>
      </c>
      <c r="G500" s="147" t="s">
        <v>202</v>
      </c>
      <c r="H500" s="148">
        <v>42065</v>
      </c>
      <c r="I500" s="147" t="s">
        <v>187</v>
      </c>
      <c r="J500" s="147" t="s">
        <v>103</v>
      </c>
      <c r="K500" s="149" t="s">
        <v>2011</v>
      </c>
      <c r="L500" s="148">
        <v>42065</v>
      </c>
      <c r="M500" s="149" t="s">
        <v>1654</v>
      </c>
      <c r="N500" s="149" t="s">
        <v>185</v>
      </c>
      <c r="O500" s="148">
        <v>42067</v>
      </c>
      <c r="P500" s="150">
        <f t="shared" si="669"/>
        <v>8</v>
      </c>
      <c r="Q500" s="149" t="s">
        <v>2012</v>
      </c>
      <c r="R500" s="149" t="s">
        <v>17</v>
      </c>
      <c r="S500" s="149" t="s">
        <v>101</v>
      </c>
      <c r="T500" s="149" t="s">
        <v>1825</v>
      </c>
      <c r="U500" s="154">
        <v>42045</v>
      </c>
      <c r="V500" s="149" t="s">
        <v>186</v>
      </c>
      <c r="W500" s="153">
        <f t="shared" si="670"/>
        <v>0</v>
      </c>
      <c r="X500" s="153" t="str">
        <f t="shared" si="671"/>
        <v>Correcto</v>
      </c>
    </row>
    <row r="501" spans="1:24" ht="18" customHeight="1" x14ac:dyDescent="0.25">
      <c r="A501" s="172">
        <v>492</v>
      </c>
      <c r="B501" s="145" t="s">
        <v>2013</v>
      </c>
      <c r="C501" s="146">
        <v>42059</v>
      </c>
      <c r="D501" s="147">
        <v>14</v>
      </c>
      <c r="E501" s="147" t="s">
        <v>93</v>
      </c>
      <c r="F501" s="145" t="s">
        <v>1122</v>
      </c>
      <c r="G501" s="147" t="s">
        <v>202</v>
      </c>
      <c r="H501" s="148">
        <v>42061</v>
      </c>
      <c r="I501" s="147" t="s">
        <v>187</v>
      </c>
      <c r="J501" s="147" t="s">
        <v>103</v>
      </c>
      <c r="K501" s="149" t="s">
        <v>2014</v>
      </c>
      <c r="L501" s="148">
        <v>42061</v>
      </c>
      <c r="M501" s="149" t="s">
        <v>1654</v>
      </c>
      <c r="N501" s="149" t="s">
        <v>185</v>
      </c>
      <c r="O501" s="148">
        <v>42062</v>
      </c>
      <c r="P501" s="150">
        <f t="shared" si="669"/>
        <v>3</v>
      </c>
      <c r="Q501" s="149" t="s">
        <v>2015</v>
      </c>
      <c r="R501" s="149" t="s">
        <v>17</v>
      </c>
      <c r="S501" s="149" t="s">
        <v>101</v>
      </c>
      <c r="T501" s="149" t="s">
        <v>1825</v>
      </c>
      <c r="U501" s="154">
        <v>42062</v>
      </c>
      <c r="V501" s="149" t="s">
        <v>186</v>
      </c>
      <c r="W501" s="153">
        <f t="shared" si="670"/>
        <v>0</v>
      </c>
      <c r="X501" s="153" t="str">
        <f t="shared" si="671"/>
        <v>Correcto</v>
      </c>
    </row>
    <row r="502" spans="1:24" ht="18" customHeight="1" x14ac:dyDescent="0.25">
      <c r="A502" s="172">
        <v>493</v>
      </c>
      <c r="B502" s="145" t="s">
        <v>2016</v>
      </c>
      <c r="C502" s="146">
        <v>42059</v>
      </c>
      <c r="D502" s="147">
        <v>10</v>
      </c>
      <c r="E502" s="147" t="s">
        <v>93</v>
      </c>
      <c r="F502" s="145" t="s">
        <v>1914</v>
      </c>
      <c r="G502" s="147" t="s">
        <v>202</v>
      </c>
      <c r="H502" s="148">
        <v>42061</v>
      </c>
      <c r="I502" s="147" t="s">
        <v>187</v>
      </c>
      <c r="J502" s="147" t="s">
        <v>103</v>
      </c>
      <c r="K502" s="149" t="s">
        <v>2017</v>
      </c>
      <c r="L502" s="148">
        <v>42061</v>
      </c>
      <c r="M502" s="149" t="s">
        <v>1654</v>
      </c>
      <c r="N502" s="149" t="s">
        <v>185</v>
      </c>
      <c r="O502" s="148">
        <v>42061</v>
      </c>
      <c r="P502" s="150">
        <f t="shared" si="669"/>
        <v>2</v>
      </c>
      <c r="Q502" s="149" t="s">
        <v>2017</v>
      </c>
      <c r="R502" s="149" t="s">
        <v>17</v>
      </c>
      <c r="S502" s="149" t="s">
        <v>104</v>
      </c>
      <c r="T502" s="151" t="s">
        <v>2018</v>
      </c>
      <c r="U502" s="154">
        <v>42062</v>
      </c>
      <c r="V502" s="149" t="s">
        <v>186</v>
      </c>
      <c r="W502" s="153">
        <f t="shared" si="670"/>
        <v>0</v>
      </c>
      <c r="X502" s="153" t="str">
        <f t="shared" si="671"/>
        <v>Correcto</v>
      </c>
    </row>
    <row r="503" spans="1:24" ht="18" customHeight="1" x14ac:dyDescent="0.25">
      <c r="A503" s="172">
        <v>494</v>
      </c>
      <c r="B503" s="145" t="s">
        <v>2019</v>
      </c>
      <c r="C503" s="146">
        <v>42059</v>
      </c>
      <c r="D503" s="147">
        <v>2</v>
      </c>
      <c r="E503" s="147" t="s">
        <v>93</v>
      </c>
      <c r="F503" s="145" t="s">
        <v>1122</v>
      </c>
      <c r="G503" s="147" t="s">
        <v>202</v>
      </c>
      <c r="H503" s="148">
        <v>42060</v>
      </c>
      <c r="I503" s="147" t="s">
        <v>187</v>
      </c>
      <c r="J503" s="147" t="s">
        <v>103</v>
      </c>
      <c r="K503" s="149" t="s">
        <v>2020</v>
      </c>
      <c r="L503" s="148">
        <v>42060</v>
      </c>
      <c r="M503" s="149" t="s">
        <v>1654</v>
      </c>
      <c r="N503" s="149" t="s">
        <v>185</v>
      </c>
      <c r="O503" s="148">
        <v>42062</v>
      </c>
      <c r="P503" s="150">
        <f t="shared" si="669"/>
        <v>3</v>
      </c>
      <c r="Q503" s="149" t="s">
        <v>2021</v>
      </c>
      <c r="R503" s="149" t="s">
        <v>17</v>
      </c>
      <c r="S503" s="149" t="s">
        <v>2022</v>
      </c>
      <c r="T503" s="151" t="s">
        <v>2023</v>
      </c>
      <c r="U503" s="154">
        <v>42062</v>
      </c>
      <c r="V503" s="149" t="s">
        <v>186</v>
      </c>
      <c r="W503" s="153">
        <f t="shared" si="670"/>
        <v>0</v>
      </c>
      <c r="X503" s="153" t="str">
        <f t="shared" si="671"/>
        <v>Correcto</v>
      </c>
    </row>
    <row r="504" spans="1:24" ht="18" customHeight="1" x14ac:dyDescent="0.25">
      <c r="A504" s="172">
        <v>495</v>
      </c>
      <c r="B504" s="145" t="s">
        <v>2024</v>
      </c>
      <c r="C504" s="146">
        <v>42059</v>
      </c>
      <c r="D504" s="147">
        <v>2</v>
      </c>
      <c r="E504" s="147" t="s">
        <v>93</v>
      </c>
      <c r="F504" s="145" t="s">
        <v>1122</v>
      </c>
      <c r="G504" s="147" t="s">
        <v>202</v>
      </c>
      <c r="H504" s="148">
        <v>42060</v>
      </c>
      <c r="I504" s="147" t="s">
        <v>187</v>
      </c>
      <c r="J504" s="147" t="s">
        <v>103</v>
      </c>
      <c r="K504" s="149" t="s">
        <v>2025</v>
      </c>
      <c r="L504" s="148">
        <v>42060</v>
      </c>
      <c r="M504" s="149" t="s">
        <v>1654</v>
      </c>
      <c r="N504" s="149" t="s">
        <v>185</v>
      </c>
      <c r="O504" s="148">
        <v>42061</v>
      </c>
      <c r="P504" s="150">
        <f t="shared" si="669"/>
        <v>2</v>
      </c>
      <c r="Q504" s="149" t="s">
        <v>2026</v>
      </c>
      <c r="R504" s="149" t="s">
        <v>729</v>
      </c>
      <c r="S504" s="149" t="s">
        <v>2027</v>
      </c>
      <c r="T504" s="151" t="s">
        <v>2028</v>
      </c>
      <c r="U504" s="154">
        <v>42061</v>
      </c>
      <c r="V504" s="149" t="s">
        <v>186</v>
      </c>
      <c r="W504" s="153">
        <f t="shared" si="670"/>
        <v>0</v>
      </c>
      <c r="X504" s="153" t="str">
        <f t="shared" si="671"/>
        <v>Correcto</v>
      </c>
    </row>
    <row r="505" spans="1:24" ht="18" customHeight="1" x14ac:dyDescent="0.25">
      <c r="A505" s="172">
        <v>496</v>
      </c>
      <c r="B505" s="145" t="s">
        <v>2029</v>
      </c>
      <c r="C505" s="146">
        <v>42059</v>
      </c>
      <c r="D505" s="147">
        <v>2</v>
      </c>
      <c r="E505" s="147" t="s">
        <v>93</v>
      </c>
      <c r="F505" s="145" t="s">
        <v>1122</v>
      </c>
      <c r="G505" s="147" t="s">
        <v>202</v>
      </c>
      <c r="H505" s="148">
        <v>42060</v>
      </c>
      <c r="I505" s="147" t="s">
        <v>187</v>
      </c>
      <c r="J505" s="147" t="s">
        <v>103</v>
      </c>
      <c r="K505" s="149" t="s">
        <v>2030</v>
      </c>
      <c r="L505" s="148">
        <v>42060</v>
      </c>
      <c r="M505" s="149" t="s">
        <v>1654</v>
      </c>
      <c r="N505" s="149" t="s">
        <v>185</v>
      </c>
      <c r="O505" s="148">
        <v>42061</v>
      </c>
      <c r="P505" s="150">
        <f t="shared" si="669"/>
        <v>2</v>
      </c>
      <c r="Q505" s="149" t="s">
        <v>2031</v>
      </c>
      <c r="R505" s="149" t="s">
        <v>17</v>
      </c>
      <c r="S505" s="149" t="s">
        <v>2027</v>
      </c>
      <c r="T505" s="151" t="s">
        <v>2028</v>
      </c>
      <c r="U505" s="154">
        <v>42061</v>
      </c>
      <c r="V505" s="149" t="s">
        <v>186</v>
      </c>
      <c r="W505" s="153">
        <f t="shared" si="670"/>
        <v>0</v>
      </c>
      <c r="X505" s="153" t="str">
        <f t="shared" si="671"/>
        <v>Correcto</v>
      </c>
    </row>
    <row r="506" spans="1:24" ht="18" customHeight="1" x14ac:dyDescent="0.25">
      <c r="A506" s="172">
        <v>497</v>
      </c>
      <c r="B506" s="145" t="s">
        <v>2032</v>
      </c>
      <c r="C506" s="146">
        <v>42059</v>
      </c>
      <c r="D506" s="147">
        <v>2</v>
      </c>
      <c r="E506" s="147" t="s">
        <v>93</v>
      </c>
      <c r="F506" s="145" t="s">
        <v>1122</v>
      </c>
      <c r="G506" s="147" t="s">
        <v>202</v>
      </c>
      <c r="H506" s="148">
        <v>42060</v>
      </c>
      <c r="I506" s="147" t="s">
        <v>187</v>
      </c>
      <c r="J506" s="147" t="s">
        <v>103</v>
      </c>
      <c r="K506" s="149" t="s">
        <v>2033</v>
      </c>
      <c r="L506" s="148">
        <v>42060</v>
      </c>
      <c r="M506" s="149" t="s">
        <v>1654</v>
      </c>
      <c r="N506" s="149" t="s">
        <v>185</v>
      </c>
      <c r="O506" s="148">
        <v>42061</v>
      </c>
      <c r="P506" s="150">
        <f t="shared" si="669"/>
        <v>2</v>
      </c>
      <c r="Q506" s="149" t="s">
        <v>2034</v>
      </c>
      <c r="R506" s="149" t="s">
        <v>17</v>
      </c>
      <c r="S506" s="149" t="s">
        <v>2027</v>
      </c>
      <c r="T506" s="151" t="s">
        <v>2028</v>
      </c>
      <c r="U506" s="154">
        <v>42061</v>
      </c>
      <c r="V506" s="149" t="s">
        <v>186</v>
      </c>
      <c r="W506" s="153">
        <f t="shared" si="670"/>
        <v>0</v>
      </c>
      <c r="X506" s="153" t="str">
        <f t="shared" si="671"/>
        <v>Correcto</v>
      </c>
    </row>
    <row r="507" spans="1:24" ht="18" customHeight="1" x14ac:dyDescent="0.25">
      <c r="A507" s="172">
        <v>498</v>
      </c>
      <c r="B507" s="145" t="s">
        <v>2035</v>
      </c>
      <c r="C507" s="146">
        <v>42059</v>
      </c>
      <c r="D507" s="147">
        <v>2</v>
      </c>
      <c r="E507" s="147" t="s">
        <v>93</v>
      </c>
      <c r="F507" s="145" t="s">
        <v>1122</v>
      </c>
      <c r="G507" s="147" t="s">
        <v>202</v>
      </c>
      <c r="H507" s="148">
        <v>42060</v>
      </c>
      <c r="I507" s="147" t="s">
        <v>187</v>
      </c>
      <c r="J507" s="147" t="s">
        <v>103</v>
      </c>
      <c r="K507" s="149" t="s">
        <v>2036</v>
      </c>
      <c r="L507" s="148">
        <v>42060</v>
      </c>
      <c r="M507" s="149" t="s">
        <v>1654</v>
      </c>
      <c r="N507" s="149" t="s">
        <v>185</v>
      </c>
      <c r="O507" s="148">
        <v>42061</v>
      </c>
      <c r="P507" s="150">
        <f t="shared" si="669"/>
        <v>2</v>
      </c>
      <c r="Q507" s="149" t="s">
        <v>2037</v>
      </c>
      <c r="R507" s="149" t="s">
        <v>17</v>
      </c>
      <c r="S507" s="149" t="s">
        <v>2027</v>
      </c>
      <c r="T507" s="151" t="s">
        <v>2028</v>
      </c>
      <c r="U507" s="154">
        <v>42061</v>
      </c>
      <c r="V507" s="149" t="s">
        <v>186</v>
      </c>
      <c r="W507" s="153">
        <f t="shared" si="670"/>
        <v>0</v>
      </c>
      <c r="X507" s="153" t="str">
        <f t="shared" si="671"/>
        <v>Correcto</v>
      </c>
    </row>
    <row r="508" spans="1:24" ht="18" customHeight="1" x14ac:dyDescent="0.25">
      <c r="A508" s="172">
        <v>499</v>
      </c>
      <c r="B508" s="145" t="s">
        <v>2038</v>
      </c>
      <c r="C508" s="146">
        <v>42059</v>
      </c>
      <c r="D508" s="147">
        <v>62</v>
      </c>
      <c r="E508" s="147" t="s">
        <v>93</v>
      </c>
      <c r="F508" s="145" t="s">
        <v>1122</v>
      </c>
      <c r="G508" s="147" t="s">
        <v>202</v>
      </c>
      <c r="H508" s="148">
        <v>42061</v>
      </c>
      <c r="I508" s="147" t="s">
        <v>187</v>
      </c>
      <c r="J508" s="147" t="s">
        <v>103</v>
      </c>
      <c r="K508" s="149" t="s">
        <v>2039</v>
      </c>
      <c r="L508" s="148">
        <v>42061</v>
      </c>
      <c r="M508" s="149" t="s">
        <v>1654</v>
      </c>
      <c r="N508" s="149" t="s">
        <v>185</v>
      </c>
      <c r="O508" s="148">
        <v>42062</v>
      </c>
      <c r="P508" s="150">
        <f t="shared" si="669"/>
        <v>3</v>
      </c>
      <c r="Q508" s="149" t="s">
        <v>2040</v>
      </c>
      <c r="R508" s="149" t="s">
        <v>605</v>
      </c>
      <c r="S508" s="149" t="s">
        <v>2041</v>
      </c>
      <c r="T508" s="151" t="s">
        <v>2042</v>
      </c>
      <c r="U508" s="154">
        <v>42062</v>
      </c>
      <c r="V508" s="149" t="s">
        <v>186</v>
      </c>
      <c r="W508" s="153">
        <f t="shared" si="670"/>
        <v>0</v>
      </c>
      <c r="X508" s="153" t="str">
        <f t="shared" si="671"/>
        <v>Correcto</v>
      </c>
    </row>
    <row r="509" spans="1:24" ht="18" customHeight="1" x14ac:dyDescent="0.25">
      <c r="A509" s="172">
        <v>500</v>
      </c>
      <c r="B509" s="145" t="s">
        <v>2043</v>
      </c>
      <c r="C509" s="146">
        <v>42059</v>
      </c>
      <c r="D509" s="147">
        <v>2</v>
      </c>
      <c r="E509" s="147" t="s">
        <v>93</v>
      </c>
      <c r="F509" s="145" t="s">
        <v>1122</v>
      </c>
      <c r="G509" s="147" t="s">
        <v>202</v>
      </c>
      <c r="H509" s="148">
        <v>42061</v>
      </c>
      <c r="I509" s="147" t="s">
        <v>187</v>
      </c>
      <c r="J509" s="147" t="s">
        <v>103</v>
      </c>
      <c r="K509" s="149" t="s">
        <v>2044</v>
      </c>
      <c r="L509" s="148">
        <v>42072</v>
      </c>
      <c r="M509" s="149" t="s">
        <v>100</v>
      </c>
      <c r="N509" s="149" t="s">
        <v>1295</v>
      </c>
      <c r="O509" s="148">
        <v>42073</v>
      </c>
      <c r="P509" s="150">
        <f t="shared" si="669"/>
        <v>14</v>
      </c>
      <c r="Q509" s="149" t="s">
        <v>2045</v>
      </c>
      <c r="R509" s="149" t="s">
        <v>605</v>
      </c>
      <c r="S509" s="149" t="s">
        <v>195</v>
      </c>
      <c r="T509" s="151" t="s">
        <v>2046</v>
      </c>
      <c r="U509" s="154">
        <v>42073</v>
      </c>
      <c r="V509" s="149" t="s">
        <v>186</v>
      </c>
      <c r="W509" s="153">
        <f t="shared" si="670"/>
        <v>0</v>
      </c>
      <c r="X509" s="153" t="str">
        <f t="shared" si="671"/>
        <v>Correcto</v>
      </c>
    </row>
    <row r="510" spans="1:24" ht="18" customHeight="1" x14ac:dyDescent="0.25">
      <c r="A510" s="172">
        <v>501</v>
      </c>
      <c r="B510" s="162" t="s">
        <v>2047</v>
      </c>
      <c r="C510" s="163">
        <v>42059</v>
      </c>
      <c r="D510" s="164">
        <v>1</v>
      </c>
      <c r="E510" s="164" t="s">
        <v>93</v>
      </c>
      <c r="F510" s="162" t="s">
        <v>1292</v>
      </c>
      <c r="G510" s="164" t="s">
        <v>1295</v>
      </c>
      <c r="H510" s="165">
        <v>42060</v>
      </c>
      <c r="I510" s="164" t="s">
        <v>187</v>
      </c>
      <c r="J510" s="164" t="s">
        <v>103</v>
      </c>
      <c r="K510" s="166" t="s">
        <v>2048</v>
      </c>
      <c r="L510" s="165">
        <v>42062</v>
      </c>
      <c r="M510" s="166" t="s">
        <v>2049</v>
      </c>
      <c r="N510" s="166" t="s">
        <v>2050</v>
      </c>
      <c r="O510" s="165">
        <v>42067</v>
      </c>
      <c r="P510" s="164">
        <f t="shared" si="669"/>
        <v>8</v>
      </c>
      <c r="Q510" s="166" t="s">
        <v>2051</v>
      </c>
      <c r="R510" s="166" t="s">
        <v>17</v>
      </c>
      <c r="S510" s="166" t="s">
        <v>198</v>
      </c>
      <c r="T510" s="167" t="s">
        <v>2052</v>
      </c>
      <c r="U510" s="168"/>
      <c r="V510" s="166"/>
      <c r="W510" s="169">
        <f t="shared" si="670"/>
        <v>2</v>
      </c>
      <c r="X510" s="169" t="str">
        <f t="shared" si="671"/>
        <v>Incorrecto</v>
      </c>
    </row>
    <row r="511" spans="1:24" ht="18" customHeight="1" x14ac:dyDescent="0.25">
      <c r="A511" s="172">
        <v>502</v>
      </c>
      <c r="B511" s="145" t="s">
        <v>2053</v>
      </c>
      <c r="C511" s="146">
        <v>42059</v>
      </c>
      <c r="D511" s="147">
        <v>1</v>
      </c>
      <c r="E511" s="147" t="s">
        <v>93</v>
      </c>
      <c r="F511" s="145" t="s">
        <v>1122</v>
      </c>
      <c r="G511" s="147" t="s">
        <v>202</v>
      </c>
      <c r="H511" s="148">
        <v>42061</v>
      </c>
      <c r="I511" s="147" t="s">
        <v>187</v>
      </c>
      <c r="J511" s="147" t="s">
        <v>103</v>
      </c>
      <c r="K511" s="149" t="s">
        <v>2054</v>
      </c>
      <c r="L511" s="148">
        <v>42061</v>
      </c>
      <c r="M511" s="149" t="s">
        <v>100</v>
      </c>
      <c r="N511" s="149" t="s">
        <v>1295</v>
      </c>
      <c r="O511" s="148">
        <v>42073</v>
      </c>
      <c r="P511" s="150">
        <f t="shared" si="669"/>
        <v>14</v>
      </c>
      <c r="Q511" s="149" t="s">
        <v>2055</v>
      </c>
      <c r="R511" s="149" t="s">
        <v>605</v>
      </c>
      <c r="S511" s="149" t="s">
        <v>195</v>
      </c>
      <c r="T511" s="151" t="s">
        <v>2046</v>
      </c>
      <c r="U511" s="154">
        <v>42073</v>
      </c>
      <c r="V511" s="149" t="s">
        <v>186</v>
      </c>
      <c r="W511" s="153">
        <f t="shared" si="670"/>
        <v>0</v>
      </c>
      <c r="X511" s="153" t="str">
        <f t="shared" si="671"/>
        <v>Correcto</v>
      </c>
    </row>
    <row r="512" spans="1:24" ht="18" customHeight="1" x14ac:dyDescent="0.25">
      <c r="A512" s="172">
        <v>503</v>
      </c>
      <c r="B512" s="145" t="s">
        <v>2056</v>
      </c>
      <c r="C512" s="146">
        <v>42059</v>
      </c>
      <c r="D512" s="147">
        <v>2</v>
      </c>
      <c r="E512" s="147" t="s">
        <v>93</v>
      </c>
      <c r="F512" s="145" t="s">
        <v>1122</v>
      </c>
      <c r="G512" s="147" t="s">
        <v>202</v>
      </c>
      <c r="H512" s="148">
        <v>42072</v>
      </c>
      <c r="I512" s="147" t="s">
        <v>187</v>
      </c>
      <c r="J512" s="147" t="s">
        <v>103</v>
      </c>
      <c r="K512" s="149" t="s">
        <v>2057</v>
      </c>
      <c r="L512" s="148">
        <v>42072</v>
      </c>
      <c r="M512" s="149" t="s">
        <v>2058</v>
      </c>
      <c r="N512" s="149" t="s">
        <v>1295</v>
      </c>
      <c r="O512" s="148">
        <v>42073</v>
      </c>
      <c r="P512" s="150">
        <f t="shared" si="669"/>
        <v>14</v>
      </c>
      <c r="Q512" s="149" t="s">
        <v>2059</v>
      </c>
      <c r="R512" s="149" t="s">
        <v>605</v>
      </c>
      <c r="S512" s="149" t="s">
        <v>195</v>
      </c>
      <c r="T512" s="151" t="s">
        <v>2046</v>
      </c>
      <c r="U512" s="154">
        <v>42073</v>
      </c>
      <c r="V512" s="149" t="s">
        <v>186</v>
      </c>
      <c r="W512" s="153">
        <f t="shared" si="670"/>
        <v>0</v>
      </c>
      <c r="X512" s="153" t="str">
        <f t="shared" si="671"/>
        <v>Correcto</v>
      </c>
    </row>
    <row r="513" spans="1:24" ht="18" customHeight="1" x14ac:dyDescent="0.25">
      <c r="A513" s="172">
        <v>504</v>
      </c>
      <c r="B513" s="145" t="s">
        <v>2060</v>
      </c>
      <c r="C513" s="146">
        <v>42059</v>
      </c>
      <c r="D513" s="147">
        <v>2</v>
      </c>
      <c r="E513" s="147" t="s">
        <v>93</v>
      </c>
      <c r="F513" s="145" t="s">
        <v>1122</v>
      </c>
      <c r="G513" s="147" t="s">
        <v>202</v>
      </c>
      <c r="H513" s="148">
        <v>42060</v>
      </c>
      <c r="I513" s="147" t="s">
        <v>187</v>
      </c>
      <c r="J513" s="147" t="s">
        <v>103</v>
      </c>
      <c r="K513" s="149" t="s">
        <v>2061</v>
      </c>
      <c r="L513" s="148">
        <v>42060</v>
      </c>
      <c r="M513" s="149" t="s">
        <v>1654</v>
      </c>
      <c r="N513" s="149" t="s">
        <v>185</v>
      </c>
      <c r="O513" s="148">
        <v>42061</v>
      </c>
      <c r="P513" s="150">
        <f t="shared" si="669"/>
        <v>2</v>
      </c>
      <c r="Q513" s="149" t="s">
        <v>2062</v>
      </c>
      <c r="R513" s="149" t="s">
        <v>17</v>
      </c>
      <c r="S513" s="149" t="s">
        <v>101</v>
      </c>
      <c r="T513" s="151" t="s">
        <v>1732</v>
      </c>
      <c r="U513" s="154">
        <v>42062</v>
      </c>
      <c r="V513" s="149" t="s">
        <v>186</v>
      </c>
      <c r="W513" s="153">
        <f t="shared" si="670"/>
        <v>0</v>
      </c>
      <c r="X513" s="153" t="str">
        <f t="shared" si="671"/>
        <v>Correcto</v>
      </c>
    </row>
    <row r="514" spans="1:24" ht="18" customHeight="1" x14ac:dyDescent="0.25">
      <c r="A514" s="172">
        <v>505</v>
      </c>
      <c r="B514" s="145" t="s">
        <v>2063</v>
      </c>
      <c r="C514" s="146">
        <v>42059</v>
      </c>
      <c r="D514" s="147">
        <v>62</v>
      </c>
      <c r="E514" s="147" t="s">
        <v>93</v>
      </c>
      <c r="F514" s="145" t="s">
        <v>1122</v>
      </c>
      <c r="G514" s="147" t="s">
        <v>202</v>
      </c>
      <c r="H514" s="148">
        <v>42061</v>
      </c>
      <c r="I514" s="147" t="s">
        <v>187</v>
      </c>
      <c r="J514" s="147" t="s">
        <v>103</v>
      </c>
      <c r="K514" s="149" t="s">
        <v>2064</v>
      </c>
      <c r="L514" s="148">
        <v>42061</v>
      </c>
      <c r="M514" s="149" t="s">
        <v>1654</v>
      </c>
      <c r="N514" s="149" t="s">
        <v>185</v>
      </c>
      <c r="O514" s="148">
        <v>42062</v>
      </c>
      <c r="P514" s="150">
        <f t="shared" si="669"/>
        <v>3</v>
      </c>
      <c r="Q514" s="149" t="s">
        <v>2065</v>
      </c>
      <c r="R514" s="149" t="s">
        <v>605</v>
      </c>
      <c r="S514" s="149" t="s">
        <v>101</v>
      </c>
      <c r="T514" s="151" t="s">
        <v>2042</v>
      </c>
      <c r="U514" s="154">
        <v>42062</v>
      </c>
      <c r="V514" s="149" t="s">
        <v>186</v>
      </c>
      <c r="W514" s="153">
        <f t="shared" si="670"/>
        <v>0</v>
      </c>
      <c r="X514" s="153" t="str">
        <f t="shared" si="671"/>
        <v>Correcto</v>
      </c>
    </row>
    <row r="515" spans="1:24" ht="18" customHeight="1" x14ac:dyDescent="0.25">
      <c r="A515" s="172">
        <v>506</v>
      </c>
      <c r="B515" s="145" t="s">
        <v>2066</v>
      </c>
      <c r="C515" s="146">
        <v>42059</v>
      </c>
      <c r="D515" s="147">
        <v>2</v>
      </c>
      <c r="E515" s="147" t="s">
        <v>93</v>
      </c>
      <c r="F515" s="145" t="s">
        <v>1122</v>
      </c>
      <c r="G515" s="147" t="s">
        <v>202</v>
      </c>
      <c r="H515" s="148">
        <v>42060</v>
      </c>
      <c r="I515" s="147" t="s">
        <v>187</v>
      </c>
      <c r="J515" s="147" t="s">
        <v>103</v>
      </c>
      <c r="K515" s="149" t="s">
        <v>2067</v>
      </c>
      <c r="L515" s="148">
        <v>42060</v>
      </c>
      <c r="M515" s="149" t="s">
        <v>1654</v>
      </c>
      <c r="N515" s="149" t="s">
        <v>185</v>
      </c>
      <c r="O515" s="148">
        <v>42061</v>
      </c>
      <c r="P515" s="150">
        <f t="shared" si="669"/>
        <v>2</v>
      </c>
      <c r="Q515" s="149" t="s">
        <v>2068</v>
      </c>
      <c r="R515" s="149" t="s">
        <v>17</v>
      </c>
      <c r="S515" s="149" t="s">
        <v>101</v>
      </c>
      <c r="T515" s="149" t="s">
        <v>1703</v>
      </c>
      <c r="U515" s="154">
        <v>42062</v>
      </c>
      <c r="V515" s="149" t="s">
        <v>186</v>
      </c>
      <c r="W515" s="153">
        <f t="shared" si="670"/>
        <v>0</v>
      </c>
      <c r="X515" s="153" t="str">
        <f t="shared" si="671"/>
        <v>Correcto</v>
      </c>
    </row>
    <row r="516" spans="1:24" ht="18" customHeight="1" x14ac:dyDescent="0.25">
      <c r="A516" s="172">
        <v>507</v>
      </c>
      <c r="B516" s="145" t="s">
        <v>2069</v>
      </c>
      <c r="C516" s="146">
        <v>42059</v>
      </c>
      <c r="D516" s="147">
        <v>2</v>
      </c>
      <c r="E516" s="147" t="s">
        <v>93</v>
      </c>
      <c r="F516" s="145" t="s">
        <v>1122</v>
      </c>
      <c r="G516" s="147" t="s">
        <v>202</v>
      </c>
      <c r="H516" s="148">
        <v>42060</v>
      </c>
      <c r="I516" s="147" t="s">
        <v>187</v>
      </c>
      <c r="J516" s="147" t="s">
        <v>103</v>
      </c>
      <c r="K516" s="149" t="s">
        <v>2070</v>
      </c>
      <c r="L516" s="148">
        <v>42060</v>
      </c>
      <c r="M516" s="149" t="s">
        <v>1654</v>
      </c>
      <c r="N516" s="149" t="s">
        <v>185</v>
      </c>
      <c r="O516" s="148">
        <v>42061</v>
      </c>
      <c r="P516" s="150">
        <f t="shared" si="669"/>
        <v>2</v>
      </c>
      <c r="Q516" s="149" t="s">
        <v>2071</v>
      </c>
      <c r="R516" s="149" t="s">
        <v>17</v>
      </c>
      <c r="S516" s="149" t="s">
        <v>101</v>
      </c>
      <c r="T516" s="149" t="s">
        <v>1732</v>
      </c>
      <c r="U516" s="154">
        <v>42062</v>
      </c>
      <c r="V516" s="149" t="s">
        <v>186</v>
      </c>
      <c r="W516" s="153">
        <f t="shared" si="670"/>
        <v>0</v>
      </c>
      <c r="X516" s="153" t="str">
        <f t="shared" si="671"/>
        <v>Correcto</v>
      </c>
    </row>
    <row r="517" spans="1:24" ht="18" customHeight="1" x14ac:dyDescent="0.25">
      <c r="A517" s="172">
        <v>508</v>
      </c>
      <c r="B517" s="145" t="s">
        <v>2072</v>
      </c>
      <c r="C517" s="146">
        <v>42059</v>
      </c>
      <c r="D517" s="147">
        <v>2</v>
      </c>
      <c r="E517" s="147" t="s">
        <v>93</v>
      </c>
      <c r="F517" s="145" t="s">
        <v>1122</v>
      </c>
      <c r="G517" s="147" t="s">
        <v>202</v>
      </c>
      <c r="H517" s="148">
        <v>42060</v>
      </c>
      <c r="I517" s="147" t="s">
        <v>187</v>
      </c>
      <c r="J517" s="147" t="s">
        <v>103</v>
      </c>
      <c r="K517" s="149" t="s">
        <v>2073</v>
      </c>
      <c r="L517" s="148">
        <v>42060</v>
      </c>
      <c r="M517" s="149" t="s">
        <v>1654</v>
      </c>
      <c r="N517" s="149" t="s">
        <v>185</v>
      </c>
      <c r="O517" s="148">
        <v>42061</v>
      </c>
      <c r="P517" s="150">
        <f t="shared" si="669"/>
        <v>2</v>
      </c>
      <c r="Q517" s="149" t="s">
        <v>2074</v>
      </c>
      <c r="R517" s="149" t="s">
        <v>17</v>
      </c>
      <c r="S517" s="149" t="s">
        <v>101</v>
      </c>
      <c r="T517" s="149" t="s">
        <v>2075</v>
      </c>
      <c r="U517" s="154">
        <v>42062</v>
      </c>
      <c r="V517" s="149" t="s">
        <v>186</v>
      </c>
      <c r="W517" s="153">
        <f t="shared" si="670"/>
        <v>0</v>
      </c>
      <c r="X517" s="153" t="str">
        <f t="shared" si="671"/>
        <v>Correcto</v>
      </c>
    </row>
    <row r="518" spans="1:24" ht="18" customHeight="1" x14ac:dyDescent="0.25">
      <c r="A518" s="172">
        <v>509</v>
      </c>
      <c r="B518" s="156" t="s">
        <v>2076</v>
      </c>
      <c r="C518" s="157">
        <v>42060</v>
      </c>
      <c r="D518" s="150">
        <v>2</v>
      </c>
      <c r="E518" s="150" t="s">
        <v>93</v>
      </c>
      <c r="F518" s="156" t="s">
        <v>1122</v>
      </c>
      <c r="G518" s="150" t="s">
        <v>202</v>
      </c>
      <c r="H518" s="158">
        <v>42060</v>
      </c>
      <c r="I518" s="150" t="s">
        <v>187</v>
      </c>
      <c r="J518" s="150" t="s">
        <v>103</v>
      </c>
      <c r="K518" s="159" t="s">
        <v>2077</v>
      </c>
      <c r="L518" s="158">
        <v>42060</v>
      </c>
      <c r="M518" s="159" t="s">
        <v>1654</v>
      </c>
      <c r="N518" s="159" t="s">
        <v>185</v>
      </c>
      <c r="O518" s="158">
        <v>42061</v>
      </c>
      <c r="P518" s="150">
        <f t="shared" si="669"/>
        <v>1</v>
      </c>
      <c r="Q518" s="159" t="s">
        <v>2078</v>
      </c>
      <c r="R518" s="159" t="s">
        <v>17</v>
      </c>
      <c r="S518" s="159" t="s">
        <v>2079</v>
      </c>
      <c r="T518" s="160"/>
      <c r="U518" s="170"/>
      <c r="V518" s="159"/>
      <c r="W518" s="161">
        <f t="shared" si="670"/>
        <v>3</v>
      </c>
      <c r="X518" s="161" t="str">
        <f t="shared" si="671"/>
        <v>Incorrecto</v>
      </c>
    </row>
    <row r="519" spans="1:24" ht="18" customHeight="1" x14ac:dyDescent="0.25">
      <c r="A519" s="172">
        <v>510</v>
      </c>
      <c r="B519" s="145" t="s">
        <v>2080</v>
      </c>
      <c r="C519" s="146">
        <v>42060</v>
      </c>
      <c r="D519" s="147">
        <v>2</v>
      </c>
      <c r="E519" s="147" t="s">
        <v>93</v>
      </c>
      <c r="F519" s="145" t="s">
        <v>1122</v>
      </c>
      <c r="G519" s="147" t="s">
        <v>202</v>
      </c>
      <c r="H519" s="148">
        <v>42060</v>
      </c>
      <c r="I519" s="147" t="s">
        <v>187</v>
      </c>
      <c r="J519" s="147" t="s">
        <v>103</v>
      </c>
      <c r="K519" s="149" t="s">
        <v>2081</v>
      </c>
      <c r="L519" s="148">
        <v>42060</v>
      </c>
      <c r="M519" s="149" t="s">
        <v>1654</v>
      </c>
      <c r="N519" s="149" t="s">
        <v>185</v>
      </c>
      <c r="O519" s="148">
        <v>42061</v>
      </c>
      <c r="P519" s="150">
        <f t="shared" si="669"/>
        <v>1</v>
      </c>
      <c r="Q519" s="149" t="s">
        <v>2082</v>
      </c>
      <c r="R519" s="149" t="s">
        <v>17</v>
      </c>
      <c r="S519" s="149" t="s">
        <v>2083</v>
      </c>
      <c r="T519" s="151" t="s">
        <v>2084</v>
      </c>
      <c r="U519" s="154">
        <v>42062</v>
      </c>
      <c r="V519" s="149" t="s">
        <v>186</v>
      </c>
      <c r="W519" s="153">
        <f t="shared" si="670"/>
        <v>0</v>
      </c>
      <c r="X519" s="153" t="str">
        <f t="shared" si="671"/>
        <v>Correcto</v>
      </c>
    </row>
    <row r="520" spans="1:24" ht="18" customHeight="1" x14ac:dyDescent="0.25">
      <c r="A520" s="172">
        <v>511</v>
      </c>
      <c r="B520" s="156" t="s">
        <v>2085</v>
      </c>
      <c r="C520" s="157">
        <v>42060</v>
      </c>
      <c r="D520" s="150">
        <v>2</v>
      </c>
      <c r="E520" s="150" t="s">
        <v>93</v>
      </c>
      <c r="F520" s="145" t="s">
        <v>1122</v>
      </c>
      <c r="G520" s="150" t="s">
        <v>202</v>
      </c>
      <c r="H520" s="158">
        <v>42061</v>
      </c>
      <c r="I520" s="150" t="s">
        <v>187</v>
      </c>
      <c r="J520" s="150" t="s">
        <v>103</v>
      </c>
      <c r="K520" s="159" t="s">
        <v>2086</v>
      </c>
      <c r="L520" s="158">
        <v>42061</v>
      </c>
      <c r="M520" s="159" t="s">
        <v>1654</v>
      </c>
      <c r="N520" s="159" t="s">
        <v>185</v>
      </c>
      <c r="O520" s="158">
        <v>42062</v>
      </c>
      <c r="P520" s="150">
        <f t="shared" si="669"/>
        <v>2</v>
      </c>
      <c r="Q520" s="159" t="s">
        <v>2087</v>
      </c>
      <c r="R520" s="159" t="s">
        <v>17</v>
      </c>
      <c r="S520" s="159" t="s">
        <v>104</v>
      </c>
      <c r="T520" s="160" t="s">
        <v>2088</v>
      </c>
      <c r="U520" s="171">
        <v>42062</v>
      </c>
      <c r="V520" s="159" t="s">
        <v>186</v>
      </c>
      <c r="W520" s="161">
        <f t="shared" si="670"/>
        <v>0</v>
      </c>
      <c r="X520" s="161" t="str">
        <f t="shared" si="671"/>
        <v>Correcto</v>
      </c>
    </row>
    <row r="521" spans="1:24" ht="18" customHeight="1" x14ac:dyDescent="0.25">
      <c r="A521" s="172">
        <v>512</v>
      </c>
      <c r="B521" s="145" t="s">
        <v>2089</v>
      </c>
      <c r="C521" s="146">
        <v>42060</v>
      </c>
      <c r="D521" s="147">
        <v>2</v>
      </c>
      <c r="E521" s="147" t="s">
        <v>93</v>
      </c>
      <c r="F521" s="145" t="s">
        <v>1122</v>
      </c>
      <c r="G521" s="147" t="s">
        <v>202</v>
      </c>
      <c r="H521" s="148">
        <v>42061</v>
      </c>
      <c r="I521" s="147" t="s">
        <v>187</v>
      </c>
      <c r="J521" s="147" t="s">
        <v>103</v>
      </c>
      <c r="K521" s="149" t="s">
        <v>2090</v>
      </c>
      <c r="L521" s="148">
        <v>42061</v>
      </c>
      <c r="M521" s="149" t="s">
        <v>1654</v>
      </c>
      <c r="N521" s="149" t="s">
        <v>185</v>
      </c>
      <c r="O521" s="148">
        <v>42062</v>
      </c>
      <c r="P521" s="150">
        <f t="shared" ref="P521:P584" si="672">O521-C521</f>
        <v>2</v>
      </c>
      <c r="Q521" s="149" t="s">
        <v>2091</v>
      </c>
      <c r="R521" s="149" t="s">
        <v>17</v>
      </c>
      <c r="S521" s="149" t="s">
        <v>2092</v>
      </c>
      <c r="T521" s="151" t="s">
        <v>2088</v>
      </c>
      <c r="U521" s="171">
        <v>42062</v>
      </c>
      <c r="V521" s="149" t="s">
        <v>186</v>
      </c>
      <c r="W521" s="153">
        <f t="shared" ref="W521:W584" si="673">COUNTBLANK(C521:V521)</f>
        <v>0</v>
      </c>
      <c r="X521" s="153" t="str">
        <f t="shared" ref="X521:X584" si="674">IF(W521=0,"Correcto","Incorrecto")</f>
        <v>Correcto</v>
      </c>
    </row>
    <row r="522" spans="1:24" ht="18" customHeight="1" x14ac:dyDescent="0.25">
      <c r="A522" s="172">
        <v>513</v>
      </c>
      <c r="B522" s="145" t="s">
        <v>2093</v>
      </c>
      <c r="C522" s="146">
        <v>42060</v>
      </c>
      <c r="D522" s="147">
        <v>2</v>
      </c>
      <c r="E522" s="147" t="s">
        <v>93</v>
      </c>
      <c r="F522" s="145" t="s">
        <v>1122</v>
      </c>
      <c r="G522" s="147" t="s">
        <v>202</v>
      </c>
      <c r="H522" s="148">
        <v>42061</v>
      </c>
      <c r="I522" s="147" t="s">
        <v>187</v>
      </c>
      <c r="J522" s="147" t="s">
        <v>103</v>
      </c>
      <c r="K522" s="149" t="s">
        <v>2094</v>
      </c>
      <c r="L522" s="148">
        <v>42061</v>
      </c>
      <c r="M522" s="149" t="s">
        <v>1654</v>
      </c>
      <c r="N522" s="149" t="s">
        <v>185</v>
      </c>
      <c r="O522" s="148">
        <v>42062</v>
      </c>
      <c r="P522" s="150">
        <f t="shared" si="672"/>
        <v>2</v>
      </c>
      <c r="Q522" s="149" t="s">
        <v>2095</v>
      </c>
      <c r="R522" s="149" t="s">
        <v>17</v>
      </c>
      <c r="S522" s="149" t="s">
        <v>2096</v>
      </c>
      <c r="T522" s="151" t="s">
        <v>2097</v>
      </c>
      <c r="U522" s="154">
        <v>42065</v>
      </c>
      <c r="V522" s="149" t="s">
        <v>186</v>
      </c>
      <c r="W522" s="153">
        <f t="shared" si="673"/>
        <v>0</v>
      </c>
      <c r="X522" s="153" t="str">
        <f t="shared" si="674"/>
        <v>Correcto</v>
      </c>
    </row>
    <row r="523" spans="1:24" ht="18" customHeight="1" x14ac:dyDescent="0.25">
      <c r="A523" s="172">
        <v>514</v>
      </c>
      <c r="B523" s="156" t="s">
        <v>2098</v>
      </c>
      <c r="C523" s="157">
        <v>42060</v>
      </c>
      <c r="D523" s="150">
        <v>2</v>
      </c>
      <c r="E523" s="150" t="s">
        <v>93</v>
      </c>
      <c r="F523" s="156" t="s">
        <v>1122</v>
      </c>
      <c r="G523" s="150" t="s">
        <v>202</v>
      </c>
      <c r="H523" s="158">
        <v>42061</v>
      </c>
      <c r="I523" s="150" t="s">
        <v>187</v>
      </c>
      <c r="J523" s="150" t="s">
        <v>103</v>
      </c>
      <c r="K523" s="159" t="s">
        <v>2099</v>
      </c>
      <c r="L523" s="158">
        <v>42061</v>
      </c>
      <c r="M523" s="159" t="s">
        <v>1654</v>
      </c>
      <c r="N523" s="159" t="s">
        <v>185</v>
      </c>
      <c r="O523" s="158">
        <v>42062</v>
      </c>
      <c r="P523" s="150">
        <f t="shared" si="672"/>
        <v>2</v>
      </c>
      <c r="Q523" s="159" t="s">
        <v>2100</v>
      </c>
      <c r="R523" s="159" t="s">
        <v>17</v>
      </c>
      <c r="S523" s="159" t="s">
        <v>2101</v>
      </c>
      <c r="T523" s="160" t="s">
        <v>104</v>
      </c>
      <c r="U523" s="171">
        <v>42065</v>
      </c>
      <c r="V523" s="159" t="s">
        <v>186</v>
      </c>
      <c r="W523" s="161">
        <f t="shared" si="673"/>
        <v>0</v>
      </c>
      <c r="X523" s="161" t="str">
        <f t="shared" si="674"/>
        <v>Correcto</v>
      </c>
    </row>
    <row r="524" spans="1:24" ht="18" customHeight="1" x14ac:dyDescent="0.25">
      <c r="A524" s="172">
        <v>515</v>
      </c>
      <c r="B524" s="145" t="s">
        <v>2102</v>
      </c>
      <c r="C524" s="146">
        <v>42060</v>
      </c>
      <c r="D524" s="147">
        <v>2</v>
      </c>
      <c r="E524" s="147" t="s">
        <v>93</v>
      </c>
      <c r="F524" s="145" t="s">
        <v>1122</v>
      </c>
      <c r="G524" s="147" t="s">
        <v>202</v>
      </c>
      <c r="H524" s="148">
        <v>42061</v>
      </c>
      <c r="I524" s="147" t="s">
        <v>187</v>
      </c>
      <c r="J524" s="147" t="s">
        <v>103</v>
      </c>
      <c r="K524" s="149" t="s">
        <v>2103</v>
      </c>
      <c r="L524" s="148">
        <v>42061</v>
      </c>
      <c r="M524" s="149" t="s">
        <v>1654</v>
      </c>
      <c r="N524" s="149" t="s">
        <v>185</v>
      </c>
      <c r="O524" s="148">
        <v>42062</v>
      </c>
      <c r="P524" s="150">
        <f t="shared" si="672"/>
        <v>2</v>
      </c>
      <c r="Q524" s="149" t="s">
        <v>2104</v>
      </c>
      <c r="R524" s="149" t="s">
        <v>17</v>
      </c>
      <c r="S524" s="149" t="s">
        <v>2105</v>
      </c>
      <c r="T524" s="151" t="s">
        <v>2106</v>
      </c>
      <c r="U524" s="154">
        <v>42065</v>
      </c>
      <c r="V524" s="149" t="s">
        <v>186</v>
      </c>
      <c r="W524" s="153">
        <f t="shared" si="673"/>
        <v>0</v>
      </c>
      <c r="X524" s="153" t="str">
        <f t="shared" si="674"/>
        <v>Correcto</v>
      </c>
    </row>
    <row r="525" spans="1:24" ht="18" customHeight="1" x14ac:dyDescent="0.25">
      <c r="A525" s="172">
        <v>516</v>
      </c>
      <c r="B525" s="145" t="s">
        <v>2107</v>
      </c>
      <c r="C525" s="146">
        <v>42060</v>
      </c>
      <c r="D525" s="147">
        <v>2</v>
      </c>
      <c r="E525" s="147" t="s">
        <v>93</v>
      </c>
      <c r="F525" s="145" t="s">
        <v>1122</v>
      </c>
      <c r="G525" s="147" t="s">
        <v>202</v>
      </c>
      <c r="H525" s="148">
        <v>42061</v>
      </c>
      <c r="I525" s="147" t="s">
        <v>187</v>
      </c>
      <c r="J525" s="147" t="s">
        <v>103</v>
      </c>
      <c r="K525" s="149" t="s">
        <v>2108</v>
      </c>
      <c r="L525" s="148">
        <v>42061</v>
      </c>
      <c r="M525" s="149" t="s">
        <v>1654</v>
      </c>
      <c r="N525" s="149" t="s">
        <v>185</v>
      </c>
      <c r="O525" s="148">
        <v>42062</v>
      </c>
      <c r="P525" s="150">
        <f t="shared" si="672"/>
        <v>2</v>
      </c>
      <c r="Q525" s="149" t="s">
        <v>2109</v>
      </c>
      <c r="R525" s="149" t="s">
        <v>17</v>
      </c>
      <c r="S525" s="149" t="s">
        <v>101</v>
      </c>
      <c r="T525" s="149" t="s">
        <v>1815</v>
      </c>
      <c r="U525" s="154">
        <v>42065</v>
      </c>
      <c r="V525" s="149" t="s">
        <v>186</v>
      </c>
      <c r="W525" s="153">
        <f t="shared" si="673"/>
        <v>0</v>
      </c>
      <c r="X525" s="153" t="str">
        <f t="shared" si="674"/>
        <v>Correcto</v>
      </c>
    </row>
    <row r="526" spans="1:24" ht="18" customHeight="1" x14ac:dyDescent="0.25">
      <c r="A526" s="172">
        <v>517</v>
      </c>
      <c r="B526" s="145" t="s">
        <v>2110</v>
      </c>
      <c r="C526" s="146">
        <v>42060</v>
      </c>
      <c r="D526" s="147">
        <v>2</v>
      </c>
      <c r="E526" s="147" t="s">
        <v>93</v>
      </c>
      <c r="F526" s="145" t="s">
        <v>1122</v>
      </c>
      <c r="G526" s="147" t="s">
        <v>202</v>
      </c>
      <c r="H526" s="148">
        <v>42061</v>
      </c>
      <c r="I526" s="147" t="s">
        <v>187</v>
      </c>
      <c r="J526" s="147" t="s">
        <v>103</v>
      </c>
      <c r="K526" s="149" t="s">
        <v>2111</v>
      </c>
      <c r="L526" s="148">
        <v>42061</v>
      </c>
      <c r="M526" s="149" t="s">
        <v>1654</v>
      </c>
      <c r="N526" s="149" t="s">
        <v>185</v>
      </c>
      <c r="O526" s="148">
        <v>42062</v>
      </c>
      <c r="P526" s="150">
        <f t="shared" si="672"/>
        <v>2</v>
      </c>
      <c r="Q526" s="149" t="s">
        <v>2112</v>
      </c>
      <c r="R526" s="149" t="s">
        <v>17</v>
      </c>
      <c r="S526" s="149" t="s">
        <v>101</v>
      </c>
      <c r="T526" s="149" t="s">
        <v>1883</v>
      </c>
      <c r="U526" s="154">
        <v>42065</v>
      </c>
      <c r="V526" s="149" t="s">
        <v>186</v>
      </c>
      <c r="W526" s="153">
        <f t="shared" si="673"/>
        <v>0</v>
      </c>
      <c r="X526" s="153" t="str">
        <f t="shared" si="674"/>
        <v>Correcto</v>
      </c>
    </row>
    <row r="527" spans="1:24" ht="18" customHeight="1" x14ac:dyDescent="0.25">
      <c r="A527" s="172">
        <v>518</v>
      </c>
      <c r="B527" s="145" t="s">
        <v>2113</v>
      </c>
      <c r="C527" s="146">
        <v>42060</v>
      </c>
      <c r="D527" s="147">
        <v>2</v>
      </c>
      <c r="E527" s="147" t="s">
        <v>93</v>
      </c>
      <c r="F527" s="145" t="s">
        <v>1122</v>
      </c>
      <c r="G527" s="147" t="s">
        <v>202</v>
      </c>
      <c r="H527" s="148">
        <v>42061</v>
      </c>
      <c r="I527" s="147" t="s">
        <v>187</v>
      </c>
      <c r="J527" s="147" t="s">
        <v>103</v>
      </c>
      <c r="K527" s="149" t="s">
        <v>2114</v>
      </c>
      <c r="L527" s="148">
        <v>42061</v>
      </c>
      <c r="M527" s="149" t="s">
        <v>1654</v>
      </c>
      <c r="N527" s="149" t="s">
        <v>185</v>
      </c>
      <c r="O527" s="148">
        <v>42062</v>
      </c>
      <c r="P527" s="150">
        <f t="shared" si="672"/>
        <v>2</v>
      </c>
      <c r="Q527" s="149" t="s">
        <v>2115</v>
      </c>
      <c r="R527" s="149" t="s">
        <v>17</v>
      </c>
      <c r="S527" s="149" t="s">
        <v>2116</v>
      </c>
      <c r="T527" s="151" t="s">
        <v>2117</v>
      </c>
      <c r="U527" s="154">
        <v>42038</v>
      </c>
      <c r="V527" s="149" t="s">
        <v>186</v>
      </c>
      <c r="W527" s="153">
        <f t="shared" si="673"/>
        <v>0</v>
      </c>
      <c r="X527" s="153" t="str">
        <f t="shared" si="674"/>
        <v>Correcto</v>
      </c>
    </row>
    <row r="528" spans="1:24" ht="18" customHeight="1" x14ac:dyDescent="0.25">
      <c r="A528" s="172">
        <v>519</v>
      </c>
      <c r="B528" s="145" t="s">
        <v>2118</v>
      </c>
      <c r="C528" s="146">
        <v>42060</v>
      </c>
      <c r="D528" s="147">
        <v>2</v>
      </c>
      <c r="E528" s="147" t="s">
        <v>93</v>
      </c>
      <c r="F528" s="145" t="s">
        <v>1122</v>
      </c>
      <c r="G528" s="147" t="s">
        <v>202</v>
      </c>
      <c r="H528" s="148">
        <v>42061</v>
      </c>
      <c r="I528" s="147" t="s">
        <v>187</v>
      </c>
      <c r="J528" s="147" t="s">
        <v>103</v>
      </c>
      <c r="K528" s="149" t="s">
        <v>2119</v>
      </c>
      <c r="L528" s="148">
        <v>42061</v>
      </c>
      <c r="M528" s="149" t="s">
        <v>1654</v>
      </c>
      <c r="N528" s="149" t="s">
        <v>185</v>
      </c>
      <c r="O528" s="148">
        <v>42062</v>
      </c>
      <c r="P528" s="150">
        <f t="shared" si="672"/>
        <v>2</v>
      </c>
      <c r="Q528" s="149" t="s">
        <v>2120</v>
      </c>
      <c r="R528" s="149" t="s">
        <v>17</v>
      </c>
      <c r="S528" s="149" t="s">
        <v>101</v>
      </c>
      <c r="T528" s="149" t="s">
        <v>1984</v>
      </c>
      <c r="U528" s="154">
        <v>42065</v>
      </c>
      <c r="V528" s="149" t="s">
        <v>186</v>
      </c>
      <c r="W528" s="153">
        <f t="shared" si="673"/>
        <v>0</v>
      </c>
      <c r="X528" s="153" t="str">
        <f t="shared" si="674"/>
        <v>Correcto</v>
      </c>
    </row>
    <row r="529" spans="1:24" ht="18" customHeight="1" x14ac:dyDescent="0.25">
      <c r="A529" s="172">
        <v>520</v>
      </c>
      <c r="B529" s="145" t="s">
        <v>2121</v>
      </c>
      <c r="C529" s="146">
        <v>42061</v>
      </c>
      <c r="D529" s="147">
        <v>2</v>
      </c>
      <c r="E529" s="147" t="s">
        <v>93</v>
      </c>
      <c r="F529" s="145" t="s">
        <v>1122</v>
      </c>
      <c r="G529" s="147" t="s">
        <v>202</v>
      </c>
      <c r="H529" s="148">
        <v>42062</v>
      </c>
      <c r="I529" s="147" t="s">
        <v>187</v>
      </c>
      <c r="J529" s="147" t="s">
        <v>103</v>
      </c>
      <c r="K529" s="149" t="s">
        <v>2122</v>
      </c>
      <c r="L529" s="148">
        <v>42062</v>
      </c>
      <c r="M529" s="149" t="s">
        <v>1654</v>
      </c>
      <c r="N529" s="149" t="s">
        <v>185</v>
      </c>
      <c r="O529" s="148">
        <v>42063</v>
      </c>
      <c r="P529" s="150">
        <f t="shared" si="672"/>
        <v>2</v>
      </c>
      <c r="Q529" s="149" t="s">
        <v>2123</v>
      </c>
      <c r="R529" s="149" t="s">
        <v>17</v>
      </c>
      <c r="S529" s="149" t="s">
        <v>2124</v>
      </c>
      <c r="T529" s="151" t="s">
        <v>2125</v>
      </c>
      <c r="U529" s="154">
        <v>42065</v>
      </c>
      <c r="V529" s="149" t="s">
        <v>186</v>
      </c>
      <c r="W529" s="153">
        <f t="shared" si="673"/>
        <v>0</v>
      </c>
      <c r="X529" s="153" t="str">
        <f t="shared" si="674"/>
        <v>Correcto</v>
      </c>
    </row>
    <row r="530" spans="1:24" ht="18" customHeight="1" x14ac:dyDescent="0.25">
      <c r="A530" s="172">
        <v>521</v>
      </c>
      <c r="B530" s="156" t="s">
        <v>2126</v>
      </c>
      <c r="C530" s="157">
        <v>42061</v>
      </c>
      <c r="D530" s="150">
        <v>2</v>
      </c>
      <c r="E530" s="150" t="s">
        <v>93</v>
      </c>
      <c r="F530" s="156" t="s">
        <v>1122</v>
      </c>
      <c r="G530" s="150" t="s">
        <v>202</v>
      </c>
      <c r="H530" s="158">
        <v>42062</v>
      </c>
      <c r="I530" s="150" t="s">
        <v>187</v>
      </c>
      <c r="J530" s="150" t="s">
        <v>103</v>
      </c>
      <c r="K530" s="159" t="s">
        <v>2127</v>
      </c>
      <c r="L530" s="158">
        <v>42062</v>
      </c>
      <c r="M530" s="159" t="s">
        <v>1654</v>
      </c>
      <c r="N530" s="159" t="s">
        <v>185</v>
      </c>
      <c r="O530" s="158">
        <v>42063</v>
      </c>
      <c r="P530" s="150">
        <f t="shared" si="672"/>
        <v>2</v>
      </c>
      <c r="Q530" s="159" t="s">
        <v>2128</v>
      </c>
      <c r="R530" s="159" t="s">
        <v>17</v>
      </c>
      <c r="S530" s="159" t="s">
        <v>2129</v>
      </c>
      <c r="T530" s="160" t="s">
        <v>104</v>
      </c>
      <c r="U530" s="154">
        <v>42065</v>
      </c>
      <c r="V530" s="159" t="s">
        <v>186</v>
      </c>
      <c r="W530" s="169">
        <f t="shared" si="673"/>
        <v>0</v>
      </c>
      <c r="X530" s="169" t="str">
        <f t="shared" si="674"/>
        <v>Correcto</v>
      </c>
    </row>
    <row r="531" spans="1:24" ht="18" customHeight="1" x14ac:dyDescent="0.25">
      <c r="A531" s="172">
        <v>522</v>
      </c>
      <c r="B531" s="145" t="s">
        <v>2130</v>
      </c>
      <c r="C531" s="146">
        <v>42061</v>
      </c>
      <c r="D531" s="147">
        <v>2</v>
      </c>
      <c r="E531" s="147" t="s">
        <v>93</v>
      </c>
      <c r="F531" s="145" t="s">
        <v>1122</v>
      </c>
      <c r="G531" s="147" t="s">
        <v>202</v>
      </c>
      <c r="H531" s="148">
        <v>42062</v>
      </c>
      <c r="I531" s="147" t="s">
        <v>187</v>
      </c>
      <c r="J531" s="147" t="s">
        <v>103</v>
      </c>
      <c r="K531" s="149" t="s">
        <v>2131</v>
      </c>
      <c r="L531" s="148">
        <v>42062</v>
      </c>
      <c r="M531" s="149" t="s">
        <v>1654</v>
      </c>
      <c r="N531" s="149" t="s">
        <v>185</v>
      </c>
      <c r="O531" s="148">
        <v>42063</v>
      </c>
      <c r="P531" s="150">
        <f t="shared" si="672"/>
        <v>2</v>
      </c>
      <c r="Q531" s="149" t="s">
        <v>2132</v>
      </c>
      <c r="R531" s="149" t="s">
        <v>17</v>
      </c>
      <c r="S531" s="149" t="s">
        <v>101</v>
      </c>
      <c r="T531" s="149" t="s">
        <v>1883</v>
      </c>
      <c r="U531" s="154">
        <v>42065</v>
      </c>
      <c r="V531" s="149" t="s">
        <v>186</v>
      </c>
      <c r="W531" s="153">
        <f t="shared" si="673"/>
        <v>0</v>
      </c>
      <c r="X531" s="153" t="str">
        <f t="shared" si="674"/>
        <v>Correcto</v>
      </c>
    </row>
    <row r="532" spans="1:24" ht="18" customHeight="1" x14ac:dyDescent="0.25">
      <c r="A532" s="172">
        <v>523</v>
      </c>
      <c r="B532" s="145" t="s">
        <v>2133</v>
      </c>
      <c r="C532" s="146">
        <v>42061</v>
      </c>
      <c r="D532" s="147">
        <v>2</v>
      </c>
      <c r="E532" s="147" t="s">
        <v>93</v>
      </c>
      <c r="F532" s="145" t="s">
        <v>1122</v>
      </c>
      <c r="G532" s="147" t="s">
        <v>202</v>
      </c>
      <c r="H532" s="148">
        <v>42062</v>
      </c>
      <c r="I532" s="147" t="s">
        <v>187</v>
      </c>
      <c r="J532" s="147" t="s">
        <v>103</v>
      </c>
      <c r="K532" s="149" t="s">
        <v>2134</v>
      </c>
      <c r="L532" s="148">
        <v>42062</v>
      </c>
      <c r="M532" s="149" t="s">
        <v>1654</v>
      </c>
      <c r="N532" s="149" t="s">
        <v>185</v>
      </c>
      <c r="O532" s="148">
        <v>42063</v>
      </c>
      <c r="P532" s="150">
        <f t="shared" si="672"/>
        <v>2</v>
      </c>
      <c r="Q532" s="149" t="s">
        <v>2135</v>
      </c>
      <c r="R532" s="149" t="s">
        <v>17</v>
      </c>
      <c r="S532" s="149" t="s">
        <v>2136</v>
      </c>
      <c r="T532" s="151" t="s">
        <v>2137</v>
      </c>
      <c r="U532" s="154">
        <v>42063</v>
      </c>
      <c r="V532" s="149" t="s">
        <v>186</v>
      </c>
      <c r="W532" s="153">
        <f t="shared" si="673"/>
        <v>0</v>
      </c>
      <c r="X532" s="153" t="str">
        <f t="shared" si="674"/>
        <v>Correcto</v>
      </c>
    </row>
    <row r="533" spans="1:24" ht="18" customHeight="1" x14ac:dyDescent="0.25">
      <c r="A533" s="172">
        <v>524</v>
      </c>
      <c r="B533" s="145" t="s">
        <v>2138</v>
      </c>
      <c r="C533" s="146">
        <v>42061</v>
      </c>
      <c r="D533" s="147">
        <v>2</v>
      </c>
      <c r="E533" s="147" t="s">
        <v>93</v>
      </c>
      <c r="F533" s="145" t="s">
        <v>1122</v>
      </c>
      <c r="G533" s="147" t="s">
        <v>202</v>
      </c>
      <c r="H533" s="148">
        <v>42062</v>
      </c>
      <c r="I533" s="147" t="s">
        <v>187</v>
      </c>
      <c r="J533" s="147" t="s">
        <v>103</v>
      </c>
      <c r="K533" s="149" t="s">
        <v>2139</v>
      </c>
      <c r="L533" s="148">
        <v>42062</v>
      </c>
      <c r="M533" s="149" t="s">
        <v>1654</v>
      </c>
      <c r="N533" s="149" t="s">
        <v>185</v>
      </c>
      <c r="O533" s="148">
        <v>42063</v>
      </c>
      <c r="P533" s="150">
        <f t="shared" si="672"/>
        <v>2</v>
      </c>
      <c r="Q533" s="149" t="s">
        <v>2140</v>
      </c>
      <c r="R533" s="149" t="s">
        <v>17</v>
      </c>
      <c r="S533" s="149" t="s">
        <v>2141</v>
      </c>
      <c r="T533" s="151" t="s">
        <v>2142</v>
      </c>
      <c r="U533" s="154">
        <v>42065</v>
      </c>
      <c r="V533" s="149" t="s">
        <v>186</v>
      </c>
      <c r="W533" s="153">
        <f t="shared" si="673"/>
        <v>0</v>
      </c>
      <c r="X533" s="153" t="str">
        <f t="shared" si="674"/>
        <v>Correcto</v>
      </c>
    </row>
    <row r="534" spans="1:24" ht="18" customHeight="1" x14ac:dyDescent="0.25">
      <c r="A534" s="172">
        <v>525</v>
      </c>
      <c r="B534" s="145" t="s">
        <v>2143</v>
      </c>
      <c r="C534" s="146">
        <v>42061</v>
      </c>
      <c r="D534" s="147">
        <v>2</v>
      </c>
      <c r="E534" s="147" t="s">
        <v>93</v>
      </c>
      <c r="F534" s="145" t="s">
        <v>1122</v>
      </c>
      <c r="G534" s="147" t="s">
        <v>202</v>
      </c>
      <c r="H534" s="148">
        <v>42062</v>
      </c>
      <c r="I534" s="147" t="s">
        <v>187</v>
      </c>
      <c r="J534" s="147" t="s">
        <v>103</v>
      </c>
      <c r="K534" s="149" t="s">
        <v>2144</v>
      </c>
      <c r="L534" s="148">
        <v>42062</v>
      </c>
      <c r="M534" s="149" t="s">
        <v>1654</v>
      </c>
      <c r="N534" s="149" t="s">
        <v>185</v>
      </c>
      <c r="O534" s="148">
        <v>42063</v>
      </c>
      <c r="P534" s="150">
        <f t="shared" si="672"/>
        <v>2</v>
      </c>
      <c r="Q534" s="149" t="s">
        <v>2145</v>
      </c>
      <c r="R534" s="149" t="s">
        <v>17</v>
      </c>
      <c r="S534" s="149" t="s">
        <v>101</v>
      </c>
      <c r="T534" s="149" t="s">
        <v>1703</v>
      </c>
      <c r="U534" s="154">
        <v>42065</v>
      </c>
      <c r="V534" s="149" t="s">
        <v>186</v>
      </c>
      <c r="W534" s="153">
        <f t="shared" si="673"/>
        <v>0</v>
      </c>
      <c r="X534" s="153" t="str">
        <f t="shared" si="674"/>
        <v>Correcto</v>
      </c>
    </row>
    <row r="535" spans="1:24" ht="18" customHeight="1" x14ac:dyDescent="0.25">
      <c r="A535" s="172">
        <v>526</v>
      </c>
      <c r="B535" s="156" t="s">
        <v>2146</v>
      </c>
      <c r="C535" s="157">
        <v>42061</v>
      </c>
      <c r="D535" s="150">
        <v>2</v>
      </c>
      <c r="E535" s="150" t="s">
        <v>93</v>
      </c>
      <c r="F535" s="156" t="s">
        <v>1122</v>
      </c>
      <c r="G535" s="150" t="s">
        <v>202</v>
      </c>
      <c r="H535" s="158">
        <v>42062</v>
      </c>
      <c r="I535" s="150" t="s">
        <v>187</v>
      </c>
      <c r="J535" s="150" t="s">
        <v>103</v>
      </c>
      <c r="K535" s="159" t="s">
        <v>2147</v>
      </c>
      <c r="L535" s="158">
        <v>42062</v>
      </c>
      <c r="M535" s="159" t="s">
        <v>1654</v>
      </c>
      <c r="N535" s="159" t="s">
        <v>185</v>
      </c>
      <c r="O535" s="158">
        <v>42063</v>
      </c>
      <c r="P535" s="150">
        <f t="shared" si="672"/>
        <v>2</v>
      </c>
      <c r="Q535" s="159" t="s">
        <v>2148</v>
      </c>
      <c r="R535" s="159" t="s">
        <v>17</v>
      </c>
      <c r="S535" s="159" t="s">
        <v>2149</v>
      </c>
      <c r="T535" s="160" t="s">
        <v>104</v>
      </c>
      <c r="U535" s="171">
        <v>42065</v>
      </c>
      <c r="V535" s="159" t="s">
        <v>186</v>
      </c>
      <c r="W535" s="161">
        <f t="shared" si="673"/>
        <v>0</v>
      </c>
      <c r="X535" s="161" t="str">
        <f t="shared" si="674"/>
        <v>Correcto</v>
      </c>
    </row>
    <row r="536" spans="1:24" ht="18" customHeight="1" x14ac:dyDescent="0.25">
      <c r="A536" s="172">
        <v>527</v>
      </c>
      <c r="B536" s="156" t="s">
        <v>2150</v>
      </c>
      <c r="C536" s="157">
        <v>42061</v>
      </c>
      <c r="D536" s="150">
        <v>2</v>
      </c>
      <c r="E536" s="150" t="s">
        <v>93</v>
      </c>
      <c r="F536" s="156" t="s">
        <v>1122</v>
      </c>
      <c r="G536" s="150" t="s">
        <v>202</v>
      </c>
      <c r="H536" s="158">
        <v>42069</v>
      </c>
      <c r="I536" s="150" t="s">
        <v>187</v>
      </c>
      <c r="J536" s="150" t="s">
        <v>103</v>
      </c>
      <c r="K536" s="159" t="s">
        <v>2151</v>
      </c>
      <c r="L536" s="158">
        <v>42069</v>
      </c>
      <c r="M536" s="159" t="s">
        <v>1654</v>
      </c>
      <c r="N536" s="159" t="s">
        <v>185</v>
      </c>
      <c r="O536" s="158">
        <v>42072</v>
      </c>
      <c r="P536" s="150">
        <f t="shared" si="672"/>
        <v>11</v>
      </c>
      <c r="Q536" s="159" t="s">
        <v>2152</v>
      </c>
      <c r="R536" s="159" t="s">
        <v>17</v>
      </c>
      <c r="S536" s="159" t="s">
        <v>2153</v>
      </c>
      <c r="T536" s="160" t="s">
        <v>104</v>
      </c>
      <c r="U536" s="171">
        <v>42073</v>
      </c>
      <c r="V536" s="159" t="s">
        <v>186</v>
      </c>
      <c r="W536" s="161">
        <f t="shared" si="673"/>
        <v>0</v>
      </c>
      <c r="X536" s="161" t="str">
        <f t="shared" si="674"/>
        <v>Correcto</v>
      </c>
    </row>
    <row r="537" spans="1:24" ht="18" customHeight="1" x14ac:dyDescent="0.25">
      <c r="A537" s="172">
        <v>528</v>
      </c>
      <c r="B537" s="156" t="s">
        <v>2154</v>
      </c>
      <c r="C537" s="157">
        <v>42062</v>
      </c>
      <c r="D537" s="150">
        <v>2</v>
      </c>
      <c r="E537" s="150" t="s">
        <v>93</v>
      </c>
      <c r="F537" s="156" t="s">
        <v>1122</v>
      </c>
      <c r="G537" s="150" t="s">
        <v>202</v>
      </c>
      <c r="H537" s="158">
        <v>42065</v>
      </c>
      <c r="I537" s="150" t="s">
        <v>187</v>
      </c>
      <c r="J537" s="150" t="s">
        <v>103</v>
      </c>
      <c r="K537" s="159" t="s">
        <v>2155</v>
      </c>
      <c r="L537" s="158">
        <v>42065</v>
      </c>
      <c r="M537" s="159" t="s">
        <v>1654</v>
      </c>
      <c r="N537" s="159" t="s">
        <v>185</v>
      </c>
      <c r="O537" s="158">
        <v>42067</v>
      </c>
      <c r="P537" s="150">
        <f t="shared" si="672"/>
        <v>5</v>
      </c>
      <c r="Q537" s="159" t="s">
        <v>2156</v>
      </c>
      <c r="R537" s="159" t="s">
        <v>17</v>
      </c>
      <c r="S537" s="159" t="s">
        <v>2157</v>
      </c>
      <c r="T537" s="160" t="s">
        <v>104</v>
      </c>
      <c r="U537" s="171">
        <v>42068</v>
      </c>
      <c r="V537" s="159" t="s">
        <v>186</v>
      </c>
      <c r="W537" s="161">
        <f t="shared" si="673"/>
        <v>0</v>
      </c>
      <c r="X537" s="161" t="str">
        <f t="shared" si="674"/>
        <v>Correcto</v>
      </c>
    </row>
    <row r="538" spans="1:24" ht="18" customHeight="1" x14ac:dyDescent="0.25">
      <c r="A538" s="172">
        <v>529</v>
      </c>
      <c r="B538" s="156" t="s">
        <v>2158</v>
      </c>
      <c r="C538" s="157">
        <v>42062</v>
      </c>
      <c r="D538" s="150">
        <v>2</v>
      </c>
      <c r="E538" s="150" t="s">
        <v>93</v>
      </c>
      <c r="F538" s="156" t="s">
        <v>1122</v>
      </c>
      <c r="G538" s="150" t="s">
        <v>202</v>
      </c>
      <c r="H538" s="158">
        <v>42062</v>
      </c>
      <c r="I538" s="150" t="s">
        <v>187</v>
      </c>
      <c r="J538" s="150" t="s">
        <v>103</v>
      </c>
      <c r="K538" s="159" t="s">
        <v>2159</v>
      </c>
      <c r="L538" s="158">
        <v>42062</v>
      </c>
      <c r="M538" s="159" t="s">
        <v>1654</v>
      </c>
      <c r="N538" s="159" t="s">
        <v>185</v>
      </c>
      <c r="O538" s="158">
        <v>42063</v>
      </c>
      <c r="P538" s="150">
        <f t="shared" si="672"/>
        <v>1</v>
      </c>
      <c r="Q538" s="159" t="s">
        <v>2160</v>
      </c>
      <c r="R538" s="159" t="s">
        <v>2161</v>
      </c>
      <c r="S538" s="159" t="s">
        <v>2162</v>
      </c>
      <c r="T538" s="160" t="s">
        <v>2163</v>
      </c>
      <c r="U538" s="171">
        <v>42065</v>
      </c>
      <c r="V538" s="159" t="s">
        <v>186</v>
      </c>
      <c r="W538" s="161">
        <f t="shared" si="673"/>
        <v>0</v>
      </c>
      <c r="X538" s="161" t="str">
        <f t="shared" si="674"/>
        <v>Correcto</v>
      </c>
    </row>
    <row r="539" spans="1:24" ht="18" customHeight="1" x14ac:dyDescent="0.25">
      <c r="A539" s="172">
        <v>530</v>
      </c>
      <c r="B539" s="145" t="s">
        <v>2164</v>
      </c>
      <c r="C539" s="146">
        <v>42062</v>
      </c>
      <c r="D539" s="147">
        <v>2</v>
      </c>
      <c r="E539" s="147" t="s">
        <v>93</v>
      </c>
      <c r="F539" s="145" t="s">
        <v>1122</v>
      </c>
      <c r="G539" s="147" t="s">
        <v>202</v>
      </c>
      <c r="H539" s="148">
        <v>42062</v>
      </c>
      <c r="I539" s="147" t="s">
        <v>187</v>
      </c>
      <c r="J539" s="147" t="s">
        <v>103</v>
      </c>
      <c r="K539" s="149" t="s">
        <v>2165</v>
      </c>
      <c r="L539" s="148">
        <v>42062</v>
      </c>
      <c r="M539" s="149" t="s">
        <v>1654</v>
      </c>
      <c r="N539" s="149" t="s">
        <v>185</v>
      </c>
      <c r="O539" s="148">
        <v>42063</v>
      </c>
      <c r="P539" s="150">
        <f t="shared" si="672"/>
        <v>1</v>
      </c>
      <c r="Q539" s="149" t="s">
        <v>2166</v>
      </c>
      <c r="R539" s="149" t="s">
        <v>17</v>
      </c>
      <c r="S539" s="149" t="s">
        <v>101</v>
      </c>
      <c r="T539" s="149" t="s">
        <v>2052</v>
      </c>
      <c r="U539" s="171">
        <v>42065</v>
      </c>
      <c r="V539" s="149" t="s">
        <v>186</v>
      </c>
      <c r="W539" s="153">
        <f t="shared" si="673"/>
        <v>0</v>
      </c>
      <c r="X539" s="153" t="str">
        <f t="shared" si="674"/>
        <v>Correcto</v>
      </c>
    </row>
    <row r="540" spans="1:24" ht="18" customHeight="1" x14ac:dyDescent="0.25">
      <c r="A540" s="172">
        <v>531</v>
      </c>
      <c r="B540" s="145" t="s">
        <v>2167</v>
      </c>
      <c r="C540" s="146">
        <v>42062</v>
      </c>
      <c r="D540" s="147">
        <v>2</v>
      </c>
      <c r="E540" s="147" t="s">
        <v>93</v>
      </c>
      <c r="F540" s="145" t="s">
        <v>1122</v>
      </c>
      <c r="G540" s="147" t="s">
        <v>202</v>
      </c>
      <c r="H540" s="148">
        <v>42062</v>
      </c>
      <c r="I540" s="147" t="s">
        <v>187</v>
      </c>
      <c r="J540" s="147" t="s">
        <v>103</v>
      </c>
      <c r="K540" s="149" t="s">
        <v>2168</v>
      </c>
      <c r="L540" s="148">
        <v>42062</v>
      </c>
      <c r="M540" s="149" t="s">
        <v>1654</v>
      </c>
      <c r="N540" s="149" t="s">
        <v>185</v>
      </c>
      <c r="O540" s="148">
        <v>42063</v>
      </c>
      <c r="P540" s="150">
        <f t="shared" si="672"/>
        <v>1</v>
      </c>
      <c r="Q540" s="149" t="s">
        <v>2169</v>
      </c>
      <c r="R540" s="149" t="s">
        <v>17</v>
      </c>
      <c r="S540" s="149" t="s">
        <v>101</v>
      </c>
      <c r="T540" s="149" t="s">
        <v>1686</v>
      </c>
      <c r="U540" s="171">
        <v>42065</v>
      </c>
      <c r="V540" s="149" t="s">
        <v>186</v>
      </c>
      <c r="W540" s="153">
        <f t="shared" si="673"/>
        <v>0</v>
      </c>
      <c r="X540" s="153" t="str">
        <f t="shared" si="674"/>
        <v>Correcto</v>
      </c>
    </row>
    <row r="541" spans="1:24" ht="18" customHeight="1" x14ac:dyDescent="0.25">
      <c r="A541" s="172">
        <v>532</v>
      </c>
      <c r="B541" s="145" t="s">
        <v>2170</v>
      </c>
      <c r="C541" s="146">
        <v>42062</v>
      </c>
      <c r="D541" s="147">
        <v>2</v>
      </c>
      <c r="E541" s="147" t="s">
        <v>93</v>
      </c>
      <c r="F541" s="145" t="s">
        <v>1122</v>
      </c>
      <c r="G541" s="147" t="s">
        <v>202</v>
      </c>
      <c r="H541" s="148">
        <v>42062</v>
      </c>
      <c r="I541" s="147" t="s">
        <v>187</v>
      </c>
      <c r="J541" s="147" t="s">
        <v>103</v>
      </c>
      <c r="K541" s="149" t="s">
        <v>2171</v>
      </c>
      <c r="L541" s="148">
        <v>42062</v>
      </c>
      <c r="M541" s="149" t="s">
        <v>1654</v>
      </c>
      <c r="N541" s="149" t="s">
        <v>185</v>
      </c>
      <c r="O541" s="148">
        <v>42063</v>
      </c>
      <c r="P541" s="150">
        <f t="shared" si="672"/>
        <v>1</v>
      </c>
      <c r="Q541" s="149" t="s">
        <v>2172</v>
      </c>
      <c r="R541" s="149" t="s">
        <v>17</v>
      </c>
      <c r="S541" s="149" t="s">
        <v>101</v>
      </c>
      <c r="T541" s="149" t="s">
        <v>1651</v>
      </c>
      <c r="U541" s="171">
        <v>42065</v>
      </c>
      <c r="V541" s="149" t="s">
        <v>186</v>
      </c>
      <c r="W541" s="153">
        <f t="shared" si="673"/>
        <v>0</v>
      </c>
      <c r="X541" s="153" t="str">
        <f t="shared" si="674"/>
        <v>Correcto</v>
      </c>
    </row>
    <row r="542" spans="1:24" ht="18" customHeight="1" x14ac:dyDescent="0.25">
      <c r="A542" s="172">
        <v>533</v>
      </c>
      <c r="B542" s="145" t="s">
        <v>2173</v>
      </c>
      <c r="C542" s="146">
        <v>42062</v>
      </c>
      <c r="D542" s="147">
        <v>2</v>
      </c>
      <c r="E542" s="147" t="s">
        <v>93</v>
      </c>
      <c r="F542" s="145" t="s">
        <v>1122</v>
      </c>
      <c r="G542" s="147" t="s">
        <v>202</v>
      </c>
      <c r="H542" s="148">
        <v>42062</v>
      </c>
      <c r="I542" s="147" t="s">
        <v>187</v>
      </c>
      <c r="J542" s="147" t="s">
        <v>103</v>
      </c>
      <c r="K542" s="149" t="s">
        <v>2174</v>
      </c>
      <c r="L542" s="148">
        <v>42062</v>
      </c>
      <c r="M542" s="149" t="s">
        <v>1654</v>
      </c>
      <c r="N542" s="149" t="s">
        <v>185</v>
      </c>
      <c r="O542" s="148">
        <v>42063</v>
      </c>
      <c r="P542" s="150">
        <f t="shared" si="672"/>
        <v>1</v>
      </c>
      <c r="Q542" s="149" t="s">
        <v>2175</v>
      </c>
      <c r="R542" s="149" t="s">
        <v>17</v>
      </c>
      <c r="S542" s="149" t="s">
        <v>101</v>
      </c>
      <c r="T542" s="149" t="s">
        <v>2176</v>
      </c>
      <c r="U542" s="171">
        <v>42065</v>
      </c>
      <c r="V542" s="149" t="s">
        <v>186</v>
      </c>
      <c r="W542" s="153">
        <f t="shared" si="673"/>
        <v>0</v>
      </c>
      <c r="X542" s="153" t="str">
        <f t="shared" si="674"/>
        <v>Correcto</v>
      </c>
    </row>
    <row r="543" spans="1:24" ht="18" customHeight="1" x14ac:dyDescent="0.25">
      <c r="A543" s="172">
        <v>534</v>
      </c>
      <c r="B543" s="145" t="s">
        <v>2177</v>
      </c>
      <c r="C543" s="146">
        <v>42062</v>
      </c>
      <c r="D543" s="147">
        <v>2</v>
      </c>
      <c r="E543" s="147" t="s">
        <v>93</v>
      </c>
      <c r="F543" s="145" t="s">
        <v>1122</v>
      </c>
      <c r="G543" s="147" t="s">
        <v>202</v>
      </c>
      <c r="H543" s="148">
        <v>42062</v>
      </c>
      <c r="I543" s="147" t="s">
        <v>187</v>
      </c>
      <c r="J543" s="147" t="s">
        <v>103</v>
      </c>
      <c r="K543" s="149" t="s">
        <v>2178</v>
      </c>
      <c r="L543" s="148">
        <v>42062</v>
      </c>
      <c r="M543" s="149" t="s">
        <v>1654</v>
      </c>
      <c r="N543" s="149" t="s">
        <v>185</v>
      </c>
      <c r="O543" s="148">
        <v>42063</v>
      </c>
      <c r="P543" s="150">
        <f t="shared" si="672"/>
        <v>1</v>
      </c>
      <c r="Q543" s="149" t="s">
        <v>2179</v>
      </c>
      <c r="R543" s="149" t="s">
        <v>17</v>
      </c>
      <c r="S543" s="149" t="s">
        <v>101</v>
      </c>
      <c r="T543" s="149" t="s">
        <v>2176</v>
      </c>
      <c r="U543" s="171">
        <v>42065</v>
      </c>
      <c r="V543" s="149" t="s">
        <v>186</v>
      </c>
      <c r="W543" s="153">
        <f t="shared" si="673"/>
        <v>0</v>
      </c>
      <c r="X543" s="153" t="str">
        <f t="shared" si="674"/>
        <v>Correcto</v>
      </c>
    </row>
    <row r="544" spans="1:24" ht="18" customHeight="1" x14ac:dyDescent="0.25">
      <c r="A544" s="172">
        <v>535</v>
      </c>
      <c r="B544" s="156" t="s">
        <v>2180</v>
      </c>
      <c r="C544" s="157">
        <v>42062</v>
      </c>
      <c r="D544" s="150">
        <v>2</v>
      </c>
      <c r="E544" s="150" t="s">
        <v>93</v>
      </c>
      <c r="F544" s="156" t="s">
        <v>1122</v>
      </c>
      <c r="G544" s="150" t="s">
        <v>202</v>
      </c>
      <c r="H544" s="158">
        <v>42065</v>
      </c>
      <c r="I544" s="150" t="s">
        <v>187</v>
      </c>
      <c r="J544" s="150" t="s">
        <v>103</v>
      </c>
      <c r="K544" s="159" t="s">
        <v>2181</v>
      </c>
      <c r="L544" s="158">
        <v>42065</v>
      </c>
      <c r="M544" s="159" t="s">
        <v>1654</v>
      </c>
      <c r="N544" s="159" t="s">
        <v>185</v>
      </c>
      <c r="O544" s="158">
        <v>42067</v>
      </c>
      <c r="P544" s="150">
        <f t="shared" si="672"/>
        <v>5</v>
      </c>
      <c r="Q544" s="159" t="s">
        <v>2182</v>
      </c>
      <c r="R544" s="159" t="s">
        <v>17</v>
      </c>
      <c r="S544" s="159" t="s">
        <v>2183</v>
      </c>
      <c r="T544" s="160" t="s">
        <v>104</v>
      </c>
      <c r="U544" s="171">
        <v>42068</v>
      </c>
      <c r="V544" s="159" t="s">
        <v>186</v>
      </c>
      <c r="W544" s="161">
        <f t="shared" si="673"/>
        <v>0</v>
      </c>
      <c r="X544" s="161" t="str">
        <f t="shared" si="674"/>
        <v>Correcto</v>
      </c>
    </row>
    <row r="545" spans="1:24" ht="18" customHeight="1" x14ac:dyDescent="0.25">
      <c r="A545" s="172">
        <v>536</v>
      </c>
      <c r="B545" s="156" t="s">
        <v>2184</v>
      </c>
      <c r="C545" s="157">
        <v>42062</v>
      </c>
      <c r="D545" s="150">
        <v>2</v>
      </c>
      <c r="E545" s="150" t="s">
        <v>93</v>
      </c>
      <c r="F545" s="156" t="s">
        <v>1122</v>
      </c>
      <c r="G545" s="150" t="s">
        <v>202</v>
      </c>
      <c r="H545" s="158">
        <v>42065</v>
      </c>
      <c r="I545" s="150" t="s">
        <v>187</v>
      </c>
      <c r="J545" s="150" t="s">
        <v>103</v>
      </c>
      <c r="K545" s="159" t="s">
        <v>2185</v>
      </c>
      <c r="L545" s="158">
        <v>42065</v>
      </c>
      <c r="M545" s="159" t="s">
        <v>1654</v>
      </c>
      <c r="N545" s="159" t="s">
        <v>185</v>
      </c>
      <c r="O545" s="158">
        <v>42067</v>
      </c>
      <c r="P545" s="150">
        <f t="shared" si="672"/>
        <v>5</v>
      </c>
      <c r="Q545" s="159" t="s">
        <v>2186</v>
      </c>
      <c r="R545" s="159" t="s">
        <v>17</v>
      </c>
      <c r="S545" s="159" t="s">
        <v>2187</v>
      </c>
      <c r="T545" s="160" t="s">
        <v>104</v>
      </c>
      <c r="U545" s="171">
        <v>42068</v>
      </c>
      <c r="V545" s="159" t="s">
        <v>186</v>
      </c>
      <c r="W545" s="161">
        <f t="shared" si="673"/>
        <v>0</v>
      </c>
      <c r="X545" s="161" t="str">
        <f t="shared" si="674"/>
        <v>Correcto</v>
      </c>
    </row>
    <row r="546" spans="1:24" ht="18" customHeight="1" x14ac:dyDescent="0.25">
      <c r="A546" s="172">
        <v>537</v>
      </c>
      <c r="B546" s="156" t="s">
        <v>2188</v>
      </c>
      <c r="C546" s="157">
        <v>42062</v>
      </c>
      <c r="D546" s="150">
        <v>2</v>
      </c>
      <c r="E546" s="150" t="s">
        <v>93</v>
      </c>
      <c r="F546" s="156" t="s">
        <v>1122</v>
      </c>
      <c r="G546" s="150" t="s">
        <v>202</v>
      </c>
      <c r="H546" s="158">
        <v>42065</v>
      </c>
      <c r="I546" s="150" t="s">
        <v>187</v>
      </c>
      <c r="J546" s="150" t="s">
        <v>103</v>
      </c>
      <c r="K546" s="159" t="s">
        <v>2189</v>
      </c>
      <c r="L546" s="158">
        <v>42065</v>
      </c>
      <c r="M546" s="159" t="s">
        <v>1654</v>
      </c>
      <c r="N546" s="159" t="s">
        <v>185</v>
      </c>
      <c r="O546" s="158">
        <v>42067</v>
      </c>
      <c r="P546" s="150">
        <f t="shared" si="672"/>
        <v>5</v>
      </c>
      <c r="Q546" s="159" t="s">
        <v>2190</v>
      </c>
      <c r="R546" s="159" t="s">
        <v>17</v>
      </c>
      <c r="S546" s="159" t="s">
        <v>101</v>
      </c>
      <c r="T546" s="159" t="s">
        <v>1651</v>
      </c>
      <c r="U546" s="171">
        <v>42073</v>
      </c>
      <c r="V546" s="159" t="s">
        <v>186</v>
      </c>
      <c r="W546" s="161">
        <f t="shared" si="673"/>
        <v>0</v>
      </c>
      <c r="X546" s="161" t="str">
        <f t="shared" si="674"/>
        <v>Correcto</v>
      </c>
    </row>
    <row r="547" spans="1:24" ht="18" customHeight="1" x14ac:dyDescent="0.25">
      <c r="A547" s="172">
        <v>538</v>
      </c>
      <c r="B547" s="156" t="s">
        <v>2191</v>
      </c>
      <c r="C547" s="157">
        <v>42062</v>
      </c>
      <c r="D547" s="150">
        <v>2</v>
      </c>
      <c r="E547" s="150" t="s">
        <v>93</v>
      </c>
      <c r="F547" s="156" t="s">
        <v>1122</v>
      </c>
      <c r="G547" s="150" t="s">
        <v>202</v>
      </c>
      <c r="H547" s="158">
        <v>42066</v>
      </c>
      <c r="I547" s="150" t="s">
        <v>187</v>
      </c>
      <c r="J547" s="150" t="s">
        <v>103</v>
      </c>
      <c r="K547" s="159" t="s">
        <v>2192</v>
      </c>
      <c r="L547" s="158">
        <v>42066</v>
      </c>
      <c r="M547" s="159" t="s">
        <v>1654</v>
      </c>
      <c r="N547" s="159" t="s">
        <v>185</v>
      </c>
      <c r="O547" s="158">
        <v>42067</v>
      </c>
      <c r="P547" s="150">
        <f t="shared" si="672"/>
        <v>5</v>
      </c>
      <c r="Q547" s="159" t="s">
        <v>2193</v>
      </c>
      <c r="R547" s="159" t="s">
        <v>17</v>
      </c>
      <c r="S547" s="159" t="s">
        <v>2194</v>
      </c>
      <c r="T547" s="160" t="s">
        <v>104</v>
      </c>
      <c r="U547" s="171">
        <v>42068</v>
      </c>
      <c r="V547" s="159" t="s">
        <v>186</v>
      </c>
      <c r="W547" s="161">
        <f t="shared" si="673"/>
        <v>0</v>
      </c>
      <c r="X547" s="161" t="str">
        <f t="shared" si="674"/>
        <v>Correcto</v>
      </c>
    </row>
    <row r="548" spans="1:24" ht="18" customHeight="1" x14ac:dyDescent="0.25">
      <c r="A548" s="172">
        <v>539</v>
      </c>
      <c r="B548" s="145" t="s">
        <v>2195</v>
      </c>
      <c r="C548" s="146">
        <v>42063</v>
      </c>
      <c r="D548" s="147">
        <v>2</v>
      </c>
      <c r="E548" s="147" t="s">
        <v>93</v>
      </c>
      <c r="F548" s="145" t="s">
        <v>1122</v>
      </c>
      <c r="G548" s="147" t="s">
        <v>202</v>
      </c>
      <c r="H548" s="148">
        <v>42065</v>
      </c>
      <c r="I548" s="147" t="s">
        <v>187</v>
      </c>
      <c r="J548" s="147" t="s">
        <v>103</v>
      </c>
      <c r="K548" s="149" t="s">
        <v>2196</v>
      </c>
      <c r="L548" s="148">
        <v>42065</v>
      </c>
      <c r="M548" s="149" t="s">
        <v>1654</v>
      </c>
      <c r="N548" s="149" t="s">
        <v>185</v>
      </c>
      <c r="O548" s="148">
        <v>42067</v>
      </c>
      <c r="P548" s="150">
        <f t="shared" si="672"/>
        <v>4</v>
      </c>
      <c r="Q548" s="149" t="s">
        <v>2197</v>
      </c>
      <c r="R548" s="149" t="s">
        <v>17</v>
      </c>
      <c r="S548" s="159" t="s">
        <v>101</v>
      </c>
      <c r="T548" s="149" t="s">
        <v>1651</v>
      </c>
      <c r="U548" s="154">
        <v>42073</v>
      </c>
      <c r="V548" s="149" t="s">
        <v>186</v>
      </c>
      <c r="W548" s="153">
        <f t="shared" si="673"/>
        <v>0</v>
      </c>
      <c r="X548" s="153" t="str">
        <f t="shared" si="674"/>
        <v>Correcto</v>
      </c>
    </row>
    <row r="549" spans="1:24" ht="18" customHeight="1" x14ac:dyDescent="0.25">
      <c r="A549" s="172">
        <v>540</v>
      </c>
      <c r="B549" s="145" t="s">
        <v>2198</v>
      </c>
      <c r="C549" s="146">
        <v>42063</v>
      </c>
      <c r="D549" s="147">
        <v>2</v>
      </c>
      <c r="E549" s="147" t="s">
        <v>93</v>
      </c>
      <c r="F549" s="145" t="s">
        <v>1122</v>
      </c>
      <c r="G549" s="147" t="s">
        <v>202</v>
      </c>
      <c r="H549" s="148">
        <v>42065</v>
      </c>
      <c r="I549" s="147" t="s">
        <v>187</v>
      </c>
      <c r="J549" s="147" t="s">
        <v>103</v>
      </c>
      <c r="K549" s="149" t="s">
        <v>2199</v>
      </c>
      <c r="L549" s="148">
        <v>42065</v>
      </c>
      <c r="M549" s="149" t="s">
        <v>1654</v>
      </c>
      <c r="N549" s="149" t="s">
        <v>185</v>
      </c>
      <c r="O549" s="148">
        <v>42067</v>
      </c>
      <c r="P549" s="150">
        <f t="shared" si="672"/>
        <v>4</v>
      </c>
      <c r="Q549" s="149" t="s">
        <v>2200</v>
      </c>
      <c r="R549" s="149" t="s">
        <v>17</v>
      </c>
      <c r="S549" s="159" t="s">
        <v>101</v>
      </c>
      <c r="T549" s="149" t="s">
        <v>2201</v>
      </c>
      <c r="U549" s="154">
        <v>42073</v>
      </c>
      <c r="V549" s="149" t="s">
        <v>186</v>
      </c>
      <c r="W549" s="153">
        <f t="shared" si="673"/>
        <v>0</v>
      </c>
      <c r="X549" s="153" t="str">
        <f t="shared" si="674"/>
        <v>Correcto</v>
      </c>
    </row>
    <row r="550" spans="1:24" ht="18" customHeight="1" x14ac:dyDescent="0.25">
      <c r="A550" s="172">
        <v>541</v>
      </c>
      <c r="B550" s="145" t="s">
        <v>2202</v>
      </c>
      <c r="C550" s="146">
        <v>42063</v>
      </c>
      <c r="D550" s="147">
        <v>4</v>
      </c>
      <c r="E550" s="147" t="s">
        <v>93</v>
      </c>
      <c r="F550" s="145" t="s">
        <v>1122</v>
      </c>
      <c r="G550" s="147" t="s">
        <v>202</v>
      </c>
      <c r="H550" s="148">
        <v>42065</v>
      </c>
      <c r="I550" s="147" t="s">
        <v>187</v>
      </c>
      <c r="J550" s="147" t="s">
        <v>103</v>
      </c>
      <c r="K550" s="149" t="s">
        <v>2203</v>
      </c>
      <c r="L550" s="148">
        <v>42065</v>
      </c>
      <c r="M550" s="149" t="s">
        <v>1654</v>
      </c>
      <c r="N550" s="149" t="s">
        <v>185</v>
      </c>
      <c r="O550" s="148">
        <v>42067</v>
      </c>
      <c r="P550" s="150">
        <f t="shared" si="672"/>
        <v>4</v>
      </c>
      <c r="Q550" s="149" t="s">
        <v>2204</v>
      </c>
      <c r="R550" s="149" t="s">
        <v>17</v>
      </c>
      <c r="S550" s="159" t="s">
        <v>101</v>
      </c>
      <c r="T550" s="149" t="s">
        <v>2201</v>
      </c>
      <c r="U550" s="154">
        <v>42073</v>
      </c>
      <c r="V550" s="149" t="s">
        <v>186</v>
      </c>
      <c r="W550" s="153">
        <f t="shared" si="673"/>
        <v>0</v>
      </c>
      <c r="X550" s="153" t="str">
        <f t="shared" si="674"/>
        <v>Correcto</v>
      </c>
    </row>
    <row r="551" spans="1:24" ht="18" customHeight="1" x14ac:dyDescent="0.25">
      <c r="A551" s="186">
        <v>542</v>
      </c>
      <c r="B551" s="173" t="s">
        <v>2205</v>
      </c>
      <c r="C551" s="174">
        <v>42068</v>
      </c>
      <c r="D551" s="175">
        <v>2</v>
      </c>
      <c r="E551" s="175" t="s">
        <v>93</v>
      </c>
      <c r="F551" s="176" t="s">
        <v>2206</v>
      </c>
      <c r="G551" s="175" t="s">
        <v>202</v>
      </c>
      <c r="H551" s="177">
        <v>42069</v>
      </c>
      <c r="I551" s="175" t="s">
        <v>187</v>
      </c>
      <c r="J551" s="175" t="s">
        <v>103</v>
      </c>
      <c r="K551" s="178" t="s">
        <v>2207</v>
      </c>
      <c r="L551" s="177">
        <v>42069</v>
      </c>
      <c r="M551" s="178" t="s">
        <v>1654</v>
      </c>
      <c r="N551" s="178" t="s">
        <v>185</v>
      </c>
      <c r="O551" s="177">
        <v>42072</v>
      </c>
      <c r="P551" s="179">
        <f t="shared" si="672"/>
        <v>4</v>
      </c>
      <c r="Q551" s="180" t="s">
        <v>2208</v>
      </c>
      <c r="R551" s="178" t="s">
        <v>17</v>
      </c>
      <c r="S551" s="178" t="s">
        <v>2209</v>
      </c>
      <c r="T551" s="178" t="s">
        <v>953</v>
      </c>
      <c r="U551" s="181">
        <v>42073</v>
      </c>
      <c r="V551" s="178" t="s">
        <v>186</v>
      </c>
      <c r="W551" s="182">
        <f t="shared" si="673"/>
        <v>0</v>
      </c>
      <c r="X551" s="182" t="str">
        <f t="shared" si="674"/>
        <v>Correcto</v>
      </c>
    </row>
    <row r="552" spans="1:24" ht="18" customHeight="1" x14ac:dyDescent="0.25">
      <c r="A552" s="186">
        <v>543</v>
      </c>
      <c r="B552" s="173" t="s">
        <v>2210</v>
      </c>
      <c r="C552" s="174">
        <v>42068</v>
      </c>
      <c r="D552" s="175">
        <v>2</v>
      </c>
      <c r="E552" s="175" t="s">
        <v>93</v>
      </c>
      <c r="F552" s="176" t="s">
        <v>2206</v>
      </c>
      <c r="G552" s="175" t="s">
        <v>202</v>
      </c>
      <c r="H552" s="177">
        <v>42069</v>
      </c>
      <c r="I552" s="175" t="s">
        <v>187</v>
      </c>
      <c r="J552" s="175" t="s">
        <v>103</v>
      </c>
      <c r="K552" s="178" t="s">
        <v>2211</v>
      </c>
      <c r="L552" s="177">
        <v>42069</v>
      </c>
      <c r="M552" s="178" t="s">
        <v>1654</v>
      </c>
      <c r="N552" s="178" t="s">
        <v>185</v>
      </c>
      <c r="O552" s="177">
        <v>42072</v>
      </c>
      <c r="P552" s="179">
        <f t="shared" si="672"/>
        <v>4</v>
      </c>
      <c r="Q552" s="180" t="s">
        <v>2212</v>
      </c>
      <c r="R552" s="178" t="s">
        <v>17</v>
      </c>
      <c r="S552" s="178" t="s">
        <v>101</v>
      </c>
      <c r="T552" s="178" t="s">
        <v>1163</v>
      </c>
      <c r="U552" s="181">
        <v>42073</v>
      </c>
      <c r="V552" s="178" t="s">
        <v>186</v>
      </c>
      <c r="W552" s="182">
        <f t="shared" si="673"/>
        <v>0</v>
      </c>
      <c r="X552" s="182" t="str">
        <f t="shared" si="674"/>
        <v>Correcto</v>
      </c>
    </row>
    <row r="553" spans="1:24" ht="18" customHeight="1" x14ac:dyDescent="0.25">
      <c r="A553" s="186">
        <v>544</v>
      </c>
      <c r="B553" s="173" t="s">
        <v>2213</v>
      </c>
      <c r="C553" s="174">
        <v>42068</v>
      </c>
      <c r="D553" s="175">
        <v>2</v>
      </c>
      <c r="E553" s="175" t="s">
        <v>93</v>
      </c>
      <c r="F553" s="176" t="s">
        <v>2206</v>
      </c>
      <c r="G553" s="175" t="s">
        <v>202</v>
      </c>
      <c r="H553" s="177">
        <v>42069</v>
      </c>
      <c r="I553" s="175" t="s">
        <v>187</v>
      </c>
      <c r="J553" s="175" t="s">
        <v>103</v>
      </c>
      <c r="K553" s="178" t="s">
        <v>2214</v>
      </c>
      <c r="L553" s="177">
        <v>42069</v>
      </c>
      <c r="M553" s="178" t="s">
        <v>1654</v>
      </c>
      <c r="N553" s="178" t="s">
        <v>185</v>
      </c>
      <c r="O553" s="177">
        <v>42072</v>
      </c>
      <c r="P553" s="179">
        <f t="shared" si="672"/>
        <v>4</v>
      </c>
      <c r="Q553" s="180" t="s">
        <v>2215</v>
      </c>
      <c r="R553" s="178" t="s">
        <v>17</v>
      </c>
      <c r="S553" s="178" t="s">
        <v>101</v>
      </c>
      <c r="T553" s="178" t="s">
        <v>1011</v>
      </c>
      <c r="U553" s="181">
        <v>42073</v>
      </c>
      <c r="V553" s="178" t="s">
        <v>186</v>
      </c>
      <c r="W553" s="182">
        <f t="shared" si="673"/>
        <v>0</v>
      </c>
      <c r="X553" s="182" t="str">
        <f t="shared" si="674"/>
        <v>Correcto</v>
      </c>
    </row>
    <row r="554" spans="1:24" ht="18" customHeight="1" x14ac:dyDescent="0.25">
      <c r="A554" s="186">
        <v>545</v>
      </c>
      <c r="B554" s="173" t="s">
        <v>2216</v>
      </c>
      <c r="C554" s="174">
        <v>42068</v>
      </c>
      <c r="D554" s="175">
        <v>2</v>
      </c>
      <c r="E554" s="175" t="s">
        <v>93</v>
      </c>
      <c r="F554" s="176" t="s">
        <v>2206</v>
      </c>
      <c r="G554" s="175" t="s">
        <v>202</v>
      </c>
      <c r="H554" s="177">
        <v>42069</v>
      </c>
      <c r="I554" s="175" t="s">
        <v>187</v>
      </c>
      <c r="J554" s="175" t="s">
        <v>103</v>
      </c>
      <c r="K554" s="178" t="s">
        <v>2217</v>
      </c>
      <c r="L554" s="177">
        <v>42069</v>
      </c>
      <c r="M554" s="178" t="s">
        <v>1654</v>
      </c>
      <c r="N554" s="178" t="s">
        <v>185</v>
      </c>
      <c r="O554" s="177">
        <v>42072</v>
      </c>
      <c r="P554" s="179">
        <f t="shared" si="672"/>
        <v>4</v>
      </c>
      <c r="Q554" s="180" t="s">
        <v>2218</v>
      </c>
      <c r="R554" s="178" t="s">
        <v>17</v>
      </c>
      <c r="S554" s="178" t="s">
        <v>101</v>
      </c>
      <c r="T554" s="178" t="s">
        <v>1011</v>
      </c>
      <c r="U554" s="181">
        <v>42073</v>
      </c>
      <c r="V554" s="178" t="s">
        <v>186</v>
      </c>
      <c r="W554" s="182">
        <f t="shared" si="673"/>
        <v>0</v>
      </c>
      <c r="X554" s="182" t="str">
        <f t="shared" si="674"/>
        <v>Correcto</v>
      </c>
    </row>
    <row r="555" spans="1:24" ht="18" customHeight="1" x14ac:dyDescent="0.25">
      <c r="A555" s="186">
        <v>546</v>
      </c>
      <c r="B555" s="173" t="s">
        <v>2219</v>
      </c>
      <c r="C555" s="174">
        <v>42068</v>
      </c>
      <c r="D555" s="175">
        <v>2</v>
      </c>
      <c r="E555" s="175" t="s">
        <v>93</v>
      </c>
      <c r="F555" s="176" t="s">
        <v>2206</v>
      </c>
      <c r="G555" s="175" t="s">
        <v>202</v>
      </c>
      <c r="H555" s="177">
        <v>42069</v>
      </c>
      <c r="I555" s="175" t="s">
        <v>187</v>
      </c>
      <c r="J555" s="175" t="s">
        <v>103</v>
      </c>
      <c r="K555" s="178" t="s">
        <v>2220</v>
      </c>
      <c r="L555" s="177">
        <v>42069</v>
      </c>
      <c r="M555" s="178" t="s">
        <v>1654</v>
      </c>
      <c r="N555" s="178" t="s">
        <v>185</v>
      </c>
      <c r="O555" s="177">
        <v>42072</v>
      </c>
      <c r="P555" s="179">
        <f t="shared" si="672"/>
        <v>4</v>
      </c>
      <c r="Q555" s="180" t="s">
        <v>2221</v>
      </c>
      <c r="R555" s="178" t="s">
        <v>17</v>
      </c>
      <c r="S555" s="178" t="s">
        <v>101</v>
      </c>
      <c r="T555" s="178" t="s">
        <v>2222</v>
      </c>
      <c r="U555" s="181">
        <v>42075</v>
      </c>
      <c r="V555" s="178" t="s">
        <v>186</v>
      </c>
      <c r="W555" s="182">
        <f t="shared" si="673"/>
        <v>0</v>
      </c>
      <c r="X555" s="182" t="str">
        <f t="shared" si="674"/>
        <v>Correcto</v>
      </c>
    </row>
    <row r="556" spans="1:24" ht="18" customHeight="1" x14ac:dyDescent="0.25">
      <c r="A556" s="186">
        <v>547</v>
      </c>
      <c r="B556" s="173" t="s">
        <v>2223</v>
      </c>
      <c r="C556" s="174">
        <v>42068</v>
      </c>
      <c r="D556" s="175">
        <v>2</v>
      </c>
      <c r="E556" s="175" t="s">
        <v>93</v>
      </c>
      <c r="F556" s="176" t="s">
        <v>2206</v>
      </c>
      <c r="G556" s="175" t="s">
        <v>202</v>
      </c>
      <c r="H556" s="177">
        <v>42069</v>
      </c>
      <c r="I556" s="175" t="s">
        <v>187</v>
      </c>
      <c r="J556" s="175" t="s">
        <v>103</v>
      </c>
      <c r="K556" s="178" t="s">
        <v>2224</v>
      </c>
      <c r="L556" s="177">
        <v>42069</v>
      </c>
      <c r="M556" s="178" t="s">
        <v>1654</v>
      </c>
      <c r="N556" s="178" t="s">
        <v>185</v>
      </c>
      <c r="O556" s="177">
        <v>42072</v>
      </c>
      <c r="P556" s="179">
        <f t="shared" si="672"/>
        <v>4</v>
      </c>
      <c r="Q556" s="180" t="s">
        <v>2225</v>
      </c>
      <c r="R556" s="178" t="s">
        <v>1175</v>
      </c>
      <c r="S556" s="178" t="s">
        <v>2226</v>
      </c>
      <c r="T556" s="183" t="s">
        <v>2227</v>
      </c>
      <c r="U556" s="181">
        <v>42073</v>
      </c>
      <c r="V556" s="178" t="s">
        <v>186</v>
      </c>
      <c r="W556" s="182">
        <f t="shared" si="673"/>
        <v>0</v>
      </c>
      <c r="X556" s="182" t="str">
        <f t="shared" si="674"/>
        <v>Correcto</v>
      </c>
    </row>
    <row r="557" spans="1:24" ht="18" customHeight="1" x14ac:dyDescent="0.25">
      <c r="A557" s="186">
        <v>548</v>
      </c>
      <c r="B557" s="173" t="s">
        <v>2228</v>
      </c>
      <c r="C557" s="174">
        <v>42068</v>
      </c>
      <c r="D557" s="175">
        <v>2</v>
      </c>
      <c r="E557" s="175" t="s">
        <v>93</v>
      </c>
      <c r="F557" s="176" t="s">
        <v>2206</v>
      </c>
      <c r="G557" s="175" t="s">
        <v>202</v>
      </c>
      <c r="H557" s="177">
        <v>42069</v>
      </c>
      <c r="I557" s="175" t="s">
        <v>187</v>
      </c>
      <c r="J557" s="175" t="s">
        <v>103</v>
      </c>
      <c r="K557" s="178" t="s">
        <v>2229</v>
      </c>
      <c r="L557" s="177">
        <v>42069</v>
      </c>
      <c r="M557" s="178" t="s">
        <v>1654</v>
      </c>
      <c r="N557" s="178" t="s">
        <v>185</v>
      </c>
      <c r="O557" s="177">
        <v>42072</v>
      </c>
      <c r="P557" s="179">
        <f t="shared" si="672"/>
        <v>4</v>
      </c>
      <c r="Q557" s="180" t="s">
        <v>2230</v>
      </c>
      <c r="R557" s="178" t="s">
        <v>17</v>
      </c>
      <c r="S557" s="178" t="s">
        <v>101</v>
      </c>
      <c r="T557" s="178" t="s">
        <v>996</v>
      </c>
      <c r="U557" s="181">
        <v>42073</v>
      </c>
      <c r="V557" s="178" t="s">
        <v>186</v>
      </c>
      <c r="W557" s="182">
        <f t="shared" si="673"/>
        <v>0</v>
      </c>
      <c r="X557" s="182" t="str">
        <f t="shared" si="674"/>
        <v>Correcto</v>
      </c>
    </row>
    <row r="558" spans="1:24" ht="18" customHeight="1" x14ac:dyDescent="0.25">
      <c r="A558" s="186">
        <v>549</v>
      </c>
      <c r="B558" s="173" t="s">
        <v>2231</v>
      </c>
      <c r="C558" s="174">
        <v>42068</v>
      </c>
      <c r="D558" s="175">
        <v>2</v>
      </c>
      <c r="E558" s="175" t="s">
        <v>93</v>
      </c>
      <c r="F558" s="176" t="s">
        <v>2206</v>
      </c>
      <c r="G558" s="175" t="s">
        <v>202</v>
      </c>
      <c r="H558" s="177">
        <v>42069</v>
      </c>
      <c r="I558" s="175" t="s">
        <v>187</v>
      </c>
      <c r="J558" s="175" t="s">
        <v>103</v>
      </c>
      <c r="K558" s="178" t="s">
        <v>2232</v>
      </c>
      <c r="L558" s="177">
        <v>42069</v>
      </c>
      <c r="M558" s="178" t="s">
        <v>1654</v>
      </c>
      <c r="N558" s="178" t="s">
        <v>185</v>
      </c>
      <c r="O558" s="177">
        <v>42072</v>
      </c>
      <c r="P558" s="179">
        <f t="shared" si="672"/>
        <v>4</v>
      </c>
      <c r="Q558" s="180" t="s">
        <v>2233</v>
      </c>
      <c r="R558" s="178" t="s">
        <v>17</v>
      </c>
      <c r="S558" s="178" t="s">
        <v>101</v>
      </c>
      <c r="T558" s="178" t="s">
        <v>996</v>
      </c>
      <c r="U558" s="181">
        <v>42073</v>
      </c>
      <c r="V558" s="178" t="s">
        <v>186</v>
      </c>
      <c r="W558" s="182">
        <f t="shared" si="673"/>
        <v>0</v>
      </c>
      <c r="X558" s="182" t="str">
        <f t="shared" si="674"/>
        <v>Correcto</v>
      </c>
    </row>
    <row r="559" spans="1:24" ht="18" customHeight="1" x14ac:dyDescent="0.25">
      <c r="A559" s="186">
        <v>550</v>
      </c>
      <c r="B559" s="173" t="s">
        <v>2234</v>
      </c>
      <c r="C559" s="174">
        <v>42068</v>
      </c>
      <c r="D559" s="175">
        <v>2</v>
      </c>
      <c r="E559" s="175" t="s">
        <v>93</v>
      </c>
      <c r="F559" s="176" t="s">
        <v>2206</v>
      </c>
      <c r="G559" s="175" t="s">
        <v>202</v>
      </c>
      <c r="H559" s="177">
        <v>42069</v>
      </c>
      <c r="I559" s="175" t="s">
        <v>187</v>
      </c>
      <c r="J559" s="175" t="s">
        <v>103</v>
      </c>
      <c r="K559" s="178" t="s">
        <v>2235</v>
      </c>
      <c r="L559" s="177">
        <v>42069</v>
      </c>
      <c r="M559" s="178" t="s">
        <v>1654</v>
      </c>
      <c r="N559" s="178" t="s">
        <v>185</v>
      </c>
      <c r="O559" s="177">
        <v>42072</v>
      </c>
      <c r="P559" s="179">
        <f t="shared" si="672"/>
        <v>4</v>
      </c>
      <c r="Q559" s="180" t="s">
        <v>2236</v>
      </c>
      <c r="R559" s="178" t="s">
        <v>17</v>
      </c>
      <c r="S559" s="178" t="s">
        <v>101</v>
      </c>
      <c r="T559" s="178" t="s">
        <v>1186</v>
      </c>
      <c r="U559" s="181">
        <v>42073</v>
      </c>
      <c r="V559" s="178" t="s">
        <v>186</v>
      </c>
      <c r="W559" s="182">
        <f t="shared" si="673"/>
        <v>0</v>
      </c>
      <c r="X559" s="182" t="str">
        <f t="shared" si="674"/>
        <v>Correcto</v>
      </c>
    </row>
    <row r="560" spans="1:24" ht="18" customHeight="1" x14ac:dyDescent="0.25">
      <c r="A560" s="186">
        <v>551</v>
      </c>
      <c r="B560" s="173" t="s">
        <v>2237</v>
      </c>
      <c r="C560" s="174">
        <v>42068</v>
      </c>
      <c r="D560" s="175">
        <v>2</v>
      </c>
      <c r="E560" s="175" t="s">
        <v>93</v>
      </c>
      <c r="F560" s="176" t="s">
        <v>2206</v>
      </c>
      <c r="G560" s="175" t="s">
        <v>202</v>
      </c>
      <c r="H560" s="177">
        <v>42069</v>
      </c>
      <c r="I560" s="175" t="s">
        <v>187</v>
      </c>
      <c r="J560" s="175" t="s">
        <v>103</v>
      </c>
      <c r="K560" s="178" t="s">
        <v>2238</v>
      </c>
      <c r="L560" s="177">
        <v>42069</v>
      </c>
      <c r="M560" s="178" t="s">
        <v>1654</v>
      </c>
      <c r="N560" s="178" t="s">
        <v>185</v>
      </c>
      <c r="O560" s="177">
        <v>42072</v>
      </c>
      <c r="P560" s="179">
        <f t="shared" si="672"/>
        <v>4</v>
      </c>
      <c r="Q560" s="180" t="s">
        <v>2239</v>
      </c>
      <c r="R560" s="178" t="s">
        <v>17</v>
      </c>
      <c r="S560" s="178" t="s">
        <v>101</v>
      </c>
      <c r="T560" s="178" t="s">
        <v>1186</v>
      </c>
      <c r="U560" s="181">
        <v>42073</v>
      </c>
      <c r="V560" s="178" t="s">
        <v>186</v>
      </c>
      <c r="W560" s="182">
        <f t="shared" si="673"/>
        <v>0</v>
      </c>
      <c r="X560" s="182" t="str">
        <f t="shared" si="674"/>
        <v>Correcto</v>
      </c>
    </row>
    <row r="561" spans="1:24" ht="18" customHeight="1" x14ac:dyDescent="0.25">
      <c r="A561" s="186">
        <v>552</v>
      </c>
      <c r="B561" s="173" t="s">
        <v>2240</v>
      </c>
      <c r="C561" s="174">
        <v>42069</v>
      </c>
      <c r="D561" s="175">
        <v>2</v>
      </c>
      <c r="E561" s="175" t="s">
        <v>93</v>
      </c>
      <c r="F561" s="176" t="s">
        <v>2206</v>
      </c>
      <c r="G561" s="175" t="s">
        <v>202</v>
      </c>
      <c r="H561" s="177">
        <v>42069</v>
      </c>
      <c r="I561" s="175" t="s">
        <v>187</v>
      </c>
      <c r="J561" s="175" t="s">
        <v>103</v>
      </c>
      <c r="K561" s="178" t="s">
        <v>2241</v>
      </c>
      <c r="L561" s="177">
        <v>42069</v>
      </c>
      <c r="M561" s="178" t="s">
        <v>1654</v>
      </c>
      <c r="N561" s="178" t="s">
        <v>185</v>
      </c>
      <c r="O561" s="177">
        <v>42072</v>
      </c>
      <c r="P561" s="179">
        <f t="shared" si="672"/>
        <v>3</v>
      </c>
      <c r="Q561" s="180" t="s">
        <v>2242</v>
      </c>
      <c r="R561" s="178" t="s">
        <v>17</v>
      </c>
      <c r="S561" s="178" t="s">
        <v>2243</v>
      </c>
      <c r="T561" s="183" t="s">
        <v>2244</v>
      </c>
      <c r="U561" s="181">
        <v>42072</v>
      </c>
      <c r="V561" s="178" t="s">
        <v>186</v>
      </c>
      <c r="W561" s="182">
        <f t="shared" si="673"/>
        <v>0</v>
      </c>
      <c r="X561" s="182" t="str">
        <f t="shared" si="674"/>
        <v>Correcto</v>
      </c>
    </row>
    <row r="562" spans="1:24" ht="18" customHeight="1" x14ac:dyDescent="0.25">
      <c r="A562" s="186">
        <v>553</v>
      </c>
      <c r="B562" s="173" t="s">
        <v>2245</v>
      </c>
      <c r="C562" s="174">
        <v>42069</v>
      </c>
      <c r="D562" s="175">
        <v>2</v>
      </c>
      <c r="E562" s="175" t="s">
        <v>93</v>
      </c>
      <c r="F562" s="176" t="s">
        <v>2206</v>
      </c>
      <c r="G562" s="175" t="s">
        <v>202</v>
      </c>
      <c r="H562" s="177">
        <v>42069</v>
      </c>
      <c r="I562" s="175" t="s">
        <v>187</v>
      </c>
      <c r="J562" s="175" t="s">
        <v>103</v>
      </c>
      <c r="K562" s="178" t="s">
        <v>2246</v>
      </c>
      <c r="L562" s="177">
        <v>42069</v>
      </c>
      <c r="M562" s="178" t="s">
        <v>1654</v>
      </c>
      <c r="N562" s="178" t="s">
        <v>185</v>
      </c>
      <c r="O562" s="177">
        <v>42072</v>
      </c>
      <c r="P562" s="179">
        <f t="shared" si="672"/>
        <v>3</v>
      </c>
      <c r="Q562" s="180" t="s">
        <v>2247</v>
      </c>
      <c r="R562" s="178" t="s">
        <v>17</v>
      </c>
      <c r="S562" s="178" t="s">
        <v>2248</v>
      </c>
      <c r="T562" s="183" t="s">
        <v>2249</v>
      </c>
      <c r="U562" s="181">
        <v>42073</v>
      </c>
      <c r="V562" s="178" t="s">
        <v>186</v>
      </c>
      <c r="W562" s="182">
        <f t="shared" si="673"/>
        <v>0</v>
      </c>
      <c r="X562" s="182" t="str">
        <f t="shared" si="674"/>
        <v>Correcto</v>
      </c>
    </row>
    <row r="563" spans="1:24" ht="18" customHeight="1" x14ac:dyDescent="0.25">
      <c r="A563" s="186">
        <v>554</v>
      </c>
      <c r="B563" s="173" t="s">
        <v>2250</v>
      </c>
      <c r="C563" s="174">
        <v>42069</v>
      </c>
      <c r="D563" s="175">
        <v>2</v>
      </c>
      <c r="E563" s="175" t="s">
        <v>93</v>
      </c>
      <c r="F563" s="176" t="s">
        <v>2206</v>
      </c>
      <c r="G563" s="175" t="s">
        <v>202</v>
      </c>
      <c r="H563" s="177">
        <v>42069</v>
      </c>
      <c r="I563" s="175" t="s">
        <v>187</v>
      </c>
      <c r="J563" s="175" t="s">
        <v>103</v>
      </c>
      <c r="K563" s="178" t="s">
        <v>2251</v>
      </c>
      <c r="L563" s="177">
        <v>42069</v>
      </c>
      <c r="M563" s="178" t="s">
        <v>1654</v>
      </c>
      <c r="N563" s="178" t="s">
        <v>185</v>
      </c>
      <c r="O563" s="177">
        <v>42072</v>
      </c>
      <c r="P563" s="179">
        <f t="shared" si="672"/>
        <v>3</v>
      </c>
      <c r="Q563" s="180" t="s">
        <v>2252</v>
      </c>
      <c r="R563" s="178" t="s">
        <v>17</v>
      </c>
      <c r="S563" s="178" t="s">
        <v>2253</v>
      </c>
      <c r="T563" s="183" t="s">
        <v>2254</v>
      </c>
      <c r="U563" s="181">
        <v>42073</v>
      </c>
      <c r="V563" s="178" t="s">
        <v>186</v>
      </c>
      <c r="W563" s="182">
        <f t="shared" si="673"/>
        <v>0</v>
      </c>
      <c r="X563" s="182" t="str">
        <f t="shared" si="674"/>
        <v>Correcto</v>
      </c>
    </row>
    <row r="564" spans="1:24" ht="18" customHeight="1" x14ac:dyDescent="0.25">
      <c r="A564" s="186">
        <v>555</v>
      </c>
      <c r="B564" s="173" t="s">
        <v>2255</v>
      </c>
      <c r="C564" s="174">
        <v>42069</v>
      </c>
      <c r="D564" s="175">
        <v>2</v>
      </c>
      <c r="E564" s="175" t="s">
        <v>93</v>
      </c>
      <c r="F564" s="176" t="s">
        <v>2206</v>
      </c>
      <c r="G564" s="175" t="s">
        <v>202</v>
      </c>
      <c r="H564" s="177">
        <v>42069</v>
      </c>
      <c r="I564" s="175" t="s">
        <v>187</v>
      </c>
      <c r="J564" s="175" t="s">
        <v>103</v>
      </c>
      <c r="K564" s="178" t="s">
        <v>2256</v>
      </c>
      <c r="L564" s="177">
        <v>42069</v>
      </c>
      <c r="M564" s="178" t="s">
        <v>1654</v>
      </c>
      <c r="N564" s="178" t="s">
        <v>185</v>
      </c>
      <c r="O564" s="177">
        <v>42072</v>
      </c>
      <c r="P564" s="179">
        <f t="shared" si="672"/>
        <v>3</v>
      </c>
      <c r="Q564" s="180" t="s">
        <v>2257</v>
      </c>
      <c r="R564" s="178" t="s">
        <v>17</v>
      </c>
      <c r="S564" s="178" t="s">
        <v>101</v>
      </c>
      <c r="T564" s="178" t="s">
        <v>2258</v>
      </c>
      <c r="U564" s="181">
        <v>42073</v>
      </c>
      <c r="V564" s="178" t="s">
        <v>186</v>
      </c>
      <c r="W564" s="182">
        <f t="shared" si="673"/>
        <v>0</v>
      </c>
      <c r="X564" s="182" t="str">
        <f t="shared" si="674"/>
        <v>Correcto</v>
      </c>
    </row>
    <row r="565" spans="1:24" ht="18" customHeight="1" x14ac:dyDescent="0.25">
      <c r="A565" s="186">
        <v>556</v>
      </c>
      <c r="B565" s="173" t="s">
        <v>2259</v>
      </c>
      <c r="C565" s="174">
        <v>42069</v>
      </c>
      <c r="D565" s="175">
        <v>2</v>
      </c>
      <c r="E565" s="175" t="s">
        <v>93</v>
      </c>
      <c r="F565" s="176" t="s">
        <v>2206</v>
      </c>
      <c r="G565" s="175" t="s">
        <v>202</v>
      </c>
      <c r="H565" s="177">
        <v>42069</v>
      </c>
      <c r="I565" s="175" t="s">
        <v>187</v>
      </c>
      <c r="J565" s="175" t="s">
        <v>103</v>
      </c>
      <c r="K565" s="178" t="s">
        <v>2260</v>
      </c>
      <c r="L565" s="177">
        <v>42069</v>
      </c>
      <c r="M565" s="178" t="s">
        <v>1654</v>
      </c>
      <c r="N565" s="178" t="s">
        <v>185</v>
      </c>
      <c r="O565" s="177">
        <v>42072</v>
      </c>
      <c r="P565" s="179">
        <f t="shared" si="672"/>
        <v>3</v>
      </c>
      <c r="Q565" s="180" t="s">
        <v>2261</v>
      </c>
      <c r="R565" s="178" t="s">
        <v>17</v>
      </c>
      <c r="S565" s="178" t="s">
        <v>101</v>
      </c>
      <c r="T565" s="178" t="s">
        <v>2258</v>
      </c>
      <c r="U565" s="181">
        <v>42073</v>
      </c>
      <c r="V565" s="178" t="s">
        <v>186</v>
      </c>
      <c r="W565" s="182">
        <f t="shared" si="673"/>
        <v>0</v>
      </c>
      <c r="X565" s="182" t="str">
        <f t="shared" si="674"/>
        <v>Correcto</v>
      </c>
    </row>
    <row r="566" spans="1:24" ht="18" customHeight="1" x14ac:dyDescent="0.25">
      <c r="A566" s="186">
        <v>557</v>
      </c>
      <c r="B566" s="173" t="s">
        <v>2262</v>
      </c>
      <c r="C566" s="174">
        <v>42069</v>
      </c>
      <c r="D566" s="175">
        <v>2</v>
      </c>
      <c r="E566" s="175" t="s">
        <v>93</v>
      </c>
      <c r="F566" s="176" t="s">
        <v>1914</v>
      </c>
      <c r="G566" s="175" t="s">
        <v>202</v>
      </c>
      <c r="H566" s="177">
        <v>42080</v>
      </c>
      <c r="I566" s="175" t="s">
        <v>187</v>
      </c>
      <c r="J566" s="175" t="s">
        <v>103</v>
      </c>
      <c r="K566" s="178" t="s">
        <v>2263</v>
      </c>
      <c r="L566" s="177">
        <v>42086</v>
      </c>
      <c r="M566" s="178" t="s">
        <v>1654</v>
      </c>
      <c r="N566" s="178" t="s">
        <v>1079</v>
      </c>
      <c r="O566" s="177">
        <v>42086</v>
      </c>
      <c r="P566" s="179">
        <f t="shared" si="672"/>
        <v>17</v>
      </c>
      <c r="Q566" s="180" t="s">
        <v>2264</v>
      </c>
      <c r="R566" s="178" t="s">
        <v>17</v>
      </c>
      <c r="S566" s="178" t="s">
        <v>2265</v>
      </c>
      <c r="T566" s="183" t="s">
        <v>2266</v>
      </c>
      <c r="U566" s="181">
        <v>42118</v>
      </c>
      <c r="V566" s="178" t="s">
        <v>186</v>
      </c>
      <c r="W566" s="182">
        <f t="shared" si="673"/>
        <v>0</v>
      </c>
      <c r="X566" s="182" t="str">
        <f t="shared" si="674"/>
        <v>Correcto</v>
      </c>
    </row>
    <row r="567" spans="1:24" ht="18" customHeight="1" x14ac:dyDescent="0.25">
      <c r="A567" s="186">
        <v>558</v>
      </c>
      <c r="B567" s="173" t="s">
        <v>2267</v>
      </c>
      <c r="C567" s="174">
        <v>42069</v>
      </c>
      <c r="D567" s="175">
        <v>56</v>
      </c>
      <c r="E567" s="175" t="s">
        <v>93</v>
      </c>
      <c r="F567" s="176" t="s">
        <v>2206</v>
      </c>
      <c r="G567" s="175" t="s">
        <v>202</v>
      </c>
      <c r="H567" s="177">
        <v>42072</v>
      </c>
      <c r="I567" s="175" t="s">
        <v>187</v>
      </c>
      <c r="J567" s="175" t="s">
        <v>103</v>
      </c>
      <c r="K567" s="178" t="s">
        <v>2268</v>
      </c>
      <c r="L567" s="177">
        <v>42072</v>
      </c>
      <c r="M567" s="178" t="s">
        <v>1654</v>
      </c>
      <c r="N567" s="178" t="s">
        <v>185</v>
      </c>
      <c r="O567" s="177">
        <v>42074</v>
      </c>
      <c r="P567" s="179">
        <f t="shared" si="672"/>
        <v>5</v>
      </c>
      <c r="Q567" s="180" t="s">
        <v>2269</v>
      </c>
      <c r="R567" s="178" t="s">
        <v>17</v>
      </c>
      <c r="S567" s="178" t="s">
        <v>2270</v>
      </c>
      <c r="T567" s="183" t="s">
        <v>2271</v>
      </c>
      <c r="U567" s="181">
        <v>42074</v>
      </c>
      <c r="V567" s="178" t="s">
        <v>186</v>
      </c>
      <c r="W567" s="182">
        <f t="shared" si="673"/>
        <v>0</v>
      </c>
      <c r="X567" s="182" t="str">
        <f t="shared" si="674"/>
        <v>Correcto</v>
      </c>
    </row>
    <row r="568" spans="1:24" ht="18" customHeight="1" x14ac:dyDescent="0.25">
      <c r="A568" s="186">
        <v>559</v>
      </c>
      <c r="B568" s="173" t="s">
        <v>2272</v>
      </c>
      <c r="C568" s="174">
        <v>42069</v>
      </c>
      <c r="D568" s="175">
        <v>2</v>
      </c>
      <c r="E568" s="175" t="s">
        <v>93</v>
      </c>
      <c r="F568" s="176" t="s">
        <v>2206</v>
      </c>
      <c r="G568" s="175" t="s">
        <v>202</v>
      </c>
      <c r="H568" s="177">
        <v>42069</v>
      </c>
      <c r="I568" s="175" t="s">
        <v>187</v>
      </c>
      <c r="J568" s="175" t="s">
        <v>103</v>
      </c>
      <c r="K568" s="178" t="s">
        <v>2273</v>
      </c>
      <c r="L568" s="177">
        <v>42069</v>
      </c>
      <c r="M568" s="178" t="s">
        <v>1654</v>
      </c>
      <c r="N568" s="178" t="s">
        <v>185</v>
      </c>
      <c r="O568" s="177">
        <v>42072</v>
      </c>
      <c r="P568" s="179">
        <f t="shared" si="672"/>
        <v>3</v>
      </c>
      <c r="Q568" s="180" t="s">
        <v>2274</v>
      </c>
      <c r="R568" s="178" t="s">
        <v>17</v>
      </c>
      <c r="S568" s="178" t="s">
        <v>2275</v>
      </c>
      <c r="T568" s="183" t="s">
        <v>2276</v>
      </c>
      <c r="U568" s="181">
        <v>42072</v>
      </c>
      <c r="V568" s="178" t="s">
        <v>186</v>
      </c>
      <c r="W568" s="182">
        <f t="shared" si="673"/>
        <v>0</v>
      </c>
      <c r="X568" s="182" t="str">
        <f t="shared" si="674"/>
        <v>Correcto</v>
      </c>
    </row>
    <row r="569" spans="1:24" ht="18" customHeight="1" x14ac:dyDescent="0.25">
      <c r="A569" s="186">
        <v>560</v>
      </c>
      <c r="B569" s="173" t="s">
        <v>2277</v>
      </c>
      <c r="C569" s="174">
        <v>42069</v>
      </c>
      <c r="D569" s="175">
        <v>2</v>
      </c>
      <c r="E569" s="175" t="s">
        <v>93</v>
      </c>
      <c r="F569" s="176" t="s">
        <v>2206</v>
      </c>
      <c r="G569" s="175" t="s">
        <v>202</v>
      </c>
      <c r="H569" s="177">
        <v>42069</v>
      </c>
      <c r="I569" s="175" t="s">
        <v>187</v>
      </c>
      <c r="J569" s="175" t="s">
        <v>103</v>
      </c>
      <c r="K569" s="178" t="s">
        <v>2278</v>
      </c>
      <c r="L569" s="177">
        <v>42069</v>
      </c>
      <c r="M569" s="178" t="s">
        <v>1654</v>
      </c>
      <c r="N569" s="178" t="s">
        <v>185</v>
      </c>
      <c r="O569" s="177">
        <v>42072</v>
      </c>
      <c r="P569" s="179">
        <f t="shared" si="672"/>
        <v>3</v>
      </c>
      <c r="Q569" s="180" t="s">
        <v>2279</v>
      </c>
      <c r="R569" s="178" t="s">
        <v>17</v>
      </c>
      <c r="S569" s="178" t="s">
        <v>101</v>
      </c>
      <c r="T569" s="178" t="s">
        <v>1007</v>
      </c>
      <c r="U569" s="181">
        <v>42073</v>
      </c>
      <c r="V569" s="178" t="s">
        <v>186</v>
      </c>
      <c r="W569" s="182">
        <f t="shared" si="673"/>
        <v>0</v>
      </c>
      <c r="X569" s="182" t="str">
        <f t="shared" si="674"/>
        <v>Correcto</v>
      </c>
    </row>
    <row r="570" spans="1:24" ht="18" customHeight="1" x14ac:dyDescent="0.25">
      <c r="A570" s="186">
        <v>561</v>
      </c>
      <c r="B570" s="173" t="s">
        <v>2280</v>
      </c>
      <c r="C570" s="174">
        <v>42069</v>
      </c>
      <c r="D570" s="175">
        <v>2</v>
      </c>
      <c r="E570" s="175" t="s">
        <v>93</v>
      </c>
      <c r="F570" s="176" t="s">
        <v>2206</v>
      </c>
      <c r="G570" s="175" t="s">
        <v>202</v>
      </c>
      <c r="H570" s="177">
        <v>42069</v>
      </c>
      <c r="I570" s="175" t="s">
        <v>187</v>
      </c>
      <c r="J570" s="175" t="s">
        <v>103</v>
      </c>
      <c r="K570" s="178" t="s">
        <v>2281</v>
      </c>
      <c r="L570" s="177">
        <v>42069</v>
      </c>
      <c r="M570" s="178" t="s">
        <v>1654</v>
      </c>
      <c r="N570" s="178" t="s">
        <v>185</v>
      </c>
      <c r="O570" s="177">
        <v>42072</v>
      </c>
      <c r="P570" s="179">
        <f t="shared" si="672"/>
        <v>3</v>
      </c>
      <c r="Q570" s="180" t="s">
        <v>2282</v>
      </c>
      <c r="R570" s="178" t="s">
        <v>17</v>
      </c>
      <c r="S570" s="178" t="s">
        <v>101</v>
      </c>
      <c r="T570" s="178" t="s">
        <v>953</v>
      </c>
      <c r="U570" s="181">
        <v>42075</v>
      </c>
      <c r="V570" s="178" t="s">
        <v>186</v>
      </c>
      <c r="W570" s="182">
        <f t="shared" si="673"/>
        <v>0</v>
      </c>
      <c r="X570" s="182" t="str">
        <f t="shared" si="674"/>
        <v>Correcto</v>
      </c>
    </row>
    <row r="571" spans="1:24" ht="18" customHeight="1" x14ac:dyDescent="0.25">
      <c r="A571" s="186">
        <v>562</v>
      </c>
      <c r="B571" s="173" t="s">
        <v>2283</v>
      </c>
      <c r="C571" s="174">
        <v>42069</v>
      </c>
      <c r="D571" s="175">
        <v>2</v>
      </c>
      <c r="E571" s="175" t="s">
        <v>93</v>
      </c>
      <c r="F571" s="176" t="s">
        <v>2206</v>
      </c>
      <c r="G571" s="175" t="s">
        <v>202</v>
      </c>
      <c r="H571" s="177">
        <v>42071</v>
      </c>
      <c r="I571" s="175" t="s">
        <v>187</v>
      </c>
      <c r="J571" s="175" t="s">
        <v>103</v>
      </c>
      <c r="K571" s="178" t="s">
        <v>2284</v>
      </c>
      <c r="L571" s="177">
        <v>42071</v>
      </c>
      <c r="M571" s="178" t="s">
        <v>1654</v>
      </c>
      <c r="N571" s="178" t="s">
        <v>185</v>
      </c>
      <c r="O571" s="177">
        <v>42073</v>
      </c>
      <c r="P571" s="179">
        <f t="shared" si="672"/>
        <v>4</v>
      </c>
      <c r="Q571" s="180" t="s">
        <v>2285</v>
      </c>
      <c r="R571" s="178" t="s">
        <v>17</v>
      </c>
      <c r="S571" s="178" t="s">
        <v>101</v>
      </c>
      <c r="T571" s="178" t="s">
        <v>953</v>
      </c>
      <c r="U571" s="181">
        <v>42075</v>
      </c>
      <c r="V571" s="178" t="s">
        <v>186</v>
      </c>
      <c r="W571" s="182">
        <f t="shared" si="673"/>
        <v>0</v>
      </c>
      <c r="X571" s="182" t="str">
        <f t="shared" si="674"/>
        <v>Correcto</v>
      </c>
    </row>
    <row r="572" spans="1:24" ht="18" customHeight="1" x14ac:dyDescent="0.25">
      <c r="A572" s="186">
        <v>563</v>
      </c>
      <c r="B572" s="173" t="s">
        <v>2286</v>
      </c>
      <c r="C572" s="174">
        <v>42069</v>
      </c>
      <c r="D572" s="175">
        <v>6</v>
      </c>
      <c r="E572" s="175" t="s">
        <v>93</v>
      </c>
      <c r="F572" s="176" t="s">
        <v>2206</v>
      </c>
      <c r="G572" s="175" t="s">
        <v>202</v>
      </c>
      <c r="H572" s="177">
        <v>42069</v>
      </c>
      <c r="I572" s="175" t="s">
        <v>187</v>
      </c>
      <c r="J572" s="175" t="s">
        <v>103</v>
      </c>
      <c r="K572" s="178" t="s">
        <v>2287</v>
      </c>
      <c r="L572" s="177">
        <v>42069</v>
      </c>
      <c r="M572" s="178" t="s">
        <v>1654</v>
      </c>
      <c r="N572" s="178" t="s">
        <v>185</v>
      </c>
      <c r="O572" s="177">
        <v>42072</v>
      </c>
      <c r="P572" s="179">
        <f t="shared" si="672"/>
        <v>3</v>
      </c>
      <c r="Q572" s="180" t="s">
        <v>2288</v>
      </c>
      <c r="R572" s="178" t="s">
        <v>17</v>
      </c>
      <c r="S572" s="178" t="s">
        <v>2289</v>
      </c>
      <c r="T572" s="183" t="s">
        <v>2290</v>
      </c>
      <c r="U572" s="181">
        <v>42073</v>
      </c>
      <c r="V572" s="178" t="s">
        <v>186</v>
      </c>
      <c r="W572" s="182">
        <f t="shared" si="673"/>
        <v>0</v>
      </c>
      <c r="X572" s="182" t="str">
        <f t="shared" si="674"/>
        <v>Correcto</v>
      </c>
    </row>
    <row r="573" spans="1:24" ht="18" customHeight="1" x14ac:dyDescent="0.25">
      <c r="A573" s="186">
        <v>564</v>
      </c>
      <c r="B573" s="173" t="s">
        <v>2291</v>
      </c>
      <c r="C573" s="174">
        <v>42069</v>
      </c>
      <c r="D573" s="175">
        <v>6</v>
      </c>
      <c r="E573" s="175" t="s">
        <v>93</v>
      </c>
      <c r="F573" s="176" t="s">
        <v>2206</v>
      </c>
      <c r="G573" s="175" t="s">
        <v>202</v>
      </c>
      <c r="H573" s="177">
        <v>42069</v>
      </c>
      <c r="I573" s="175" t="s">
        <v>187</v>
      </c>
      <c r="J573" s="175" t="s">
        <v>103</v>
      </c>
      <c r="K573" s="178" t="s">
        <v>2292</v>
      </c>
      <c r="L573" s="177">
        <v>42069</v>
      </c>
      <c r="M573" s="178" t="s">
        <v>1654</v>
      </c>
      <c r="N573" s="178" t="s">
        <v>185</v>
      </c>
      <c r="O573" s="177">
        <v>42072</v>
      </c>
      <c r="P573" s="179">
        <f t="shared" si="672"/>
        <v>3</v>
      </c>
      <c r="Q573" s="180" t="s">
        <v>2293</v>
      </c>
      <c r="R573" s="178" t="s">
        <v>17</v>
      </c>
      <c r="S573" s="178" t="s">
        <v>2294</v>
      </c>
      <c r="T573" s="183" t="s">
        <v>2295</v>
      </c>
      <c r="U573" s="181">
        <v>42073</v>
      </c>
      <c r="V573" s="178" t="s">
        <v>186</v>
      </c>
      <c r="W573" s="182">
        <f t="shared" si="673"/>
        <v>0</v>
      </c>
      <c r="X573" s="182" t="str">
        <f t="shared" si="674"/>
        <v>Correcto</v>
      </c>
    </row>
    <row r="574" spans="1:24" ht="18" customHeight="1" x14ac:dyDescent="0.25">
      <c r="A574" s="186">
        <v>565</v>
      </c>
      <c r="B574" s="173" t="s">
        <v>2296</v>
      </c>
      <c r="C574" s="174">
        <v>42069</v>
      </c>
      <c r="D574" s="175">
        <v>2</v>
      </c>
      <c r="E574" s="175" t="s">
        <v>93</v>
      </c>
      <c r="F574" s="176" t="s">
        <v>2206</v>
      </c>
      <c r="G574" s="175" t="s">
        <v>202</v>
      </c>
      <c r="H574" s="177">
        <v>42071</v>
      </c>
      <c r="I574" s="175" t="s">
        <v>187</v>
      </c>
      <c r="J574" s="175" t="s">
        <v>103</v>
      </c>
      <c r="K574" s="178" t="s">
        <v>2297</v>
      </c>
      <c r="L574" s="177">
        <v>42071</v>
      </c>
      <c r="M574" s="178" t="s">
        <v>1654</v>
      </c>
      <c r="N574" s="178" t="s">
        <v>185</v>
      </c>
      <c r="O574" s="177">
        <v>42072</v>
      </c>
      <c r="P574" s="179">
        <f t="shared" si="672"/>
        <v>3</v>
      </c>
      <c r="Q574" s="180" t="s">
        <v>2298</v>
      </c>
      <c r="R574" s="178" t="s">
        <v>17</v>
      </c>
      <c r="S574" s="178" t="s">
        <v>101</v>
      </c>
      <c r="T574" s="178" t="s">
        <v>953</v>
      </c>
      <c r="U574" s="181">
        <v>42075</v>
      </c>
      <c r="V574" s="178" t="s">
        <v>186</v>
      </c>
      <c r="W574" s="182">
        <f t="shared" si="673"/>
        <v>0</v>
      </c>
      <c r="X574" s="182" t="str">
        <f t="shared" si="674"/>
        <v>Correcto</v>
      </c>
    </row>
    <row r="575" spans="1:24" ht="18" customHeight="1" x14ac:dyDescent="0.25">
      <c r="A575" s="186">
        <v>566</v>
      </c>
      <c r="B575" s="173" t="s">
        <v>2299</v>
      </c>
      <c r="C575" s="174">
        <v>42069</v>
      </c>
      <c r="D575" s="175">
        <v>2</v>
      </c>
      <c r="E575" s="175" t="s">
        <v>93</v>
      </c>
      <c r="F575" s="176" t="s">
        <v>2206</v>
      </c>
      <c r="G575" s="175" t="s">
        <v>202</v>
      </c>
      <c r="H575" s="177">
        <v>42071</v>
      </c>
      <c r="I575" s="175" t="s">
        <v>187</v>
      </c>
      <c r="J575" s="175" t="s">
        <v>103</v>
      </c>
      <c r="K575" s="178" t="s">
        <v>2300</v>
      </c>
      <c r="L575" s="177">
        <v>42071</v>
      </c>
      <c r="M575" s="178" t="s">
        <v>1654</v>
      </c>
      <c r="N575" s="178" t="s">
        <v>185</v>
      </c>
      <c r="O575" s="177">
        <v>42073</v>
      </c>
      <c r="P575" s="179">
        <f t="shared" si="672"/>
        <v>4</v>
      </c>
      <c r="Q575" s="180" t="s">
        <v>2301</v>
      </c>
      <c r="R575" s="178" t="s">
        <v>17</v>
      </c>
      <c r="S575" s="178" t="s">
        <v>101</v>
      </c>
      <c r="T575" s="178" t="s">
        <v>953</v>
      </c>
      <c r="U575" s="181">
        <v>42075</v>
      </c>
      <c r="V575" s="178" t="s">
        <v>186</v>
      </c>
      <c r="W575" s="182">
        <f t="shared" si="673"/>
        <v>0</v>
      </c>
      <c r="X575" s="182" t="str">
        <f t="shared" si="674"/>
        <v>Correcto</v>
      </c>
    </row>
    <row r="576" spans="1:24" ht="18" customHeight="1" x14ac:dyDescent="0.25">
      <c r="A576" s="186">
        <v>567</v>
      </c>
      <c r="B576" s="173" t="s">
        <v>2302</v>
      </c>
      <c r="C576" s="174">
        <v>42069</v>
      </c>
      <c r="D576" s="175">
        <v>2</v>
      </c>
      <c r="E576" s="175" t="s">
        <v>93</v>
      </c>
      <c r="F576" s="176" t="s">
        <v>2206</v>
      </c>
      <c r="G576" s="175" t="s">
        <v>202</v>
      </c>
      <c r="H576" s="177">
        <v>42071</v>
      </c>
      <c r="I576" s="175" t="s">
        <v>187</v>
      </c>
      <c r="J576" s="175" t="s">
        <v>103</v>
      </c>
      <c r="K576" s="178" t="s">
        <v>2303</v>
      </c>
      <c r="L576" s="177">
        <v>42071</v>
      </c>
      <c r="M576" s="178" t="s">
        <v>1654</v>
      </c>
      <c r="N576" s="178" t="s">
        <v>185</v>
      </c>
      <c r="O576" s="177">
        <v>42073</v>
      </c>
      <c r="P576" s="179">
        <f t="shared" si="672"/>
        <v>4</v>
      </c>
      <c r="Q576" s="180" t="s">
        <v>2304</v>
      </c>
      <c r="R576" s="178" t="s">
        <v>17</v>
      </c>
      <c r="S576" s="178" t="s">
        <v>101</v>
      </c>
      <c r="T576" s="178" t="s">
        <v>2305</v>
      </c>
      <c r="U576" s="181">
        <v>42075</v>
      </c>
      <c r="V576" s="178" t="s">
        <v>186</v>
      </c>
      <c r="W576" s="182">
        <f t="shared" si="673"/>
        <v>0</v>
      </c>
      <c r="X576" s="182" t="str">
        <f t="shared" si="674"/>
        <v>Correcto</v>
      </c>
    </row>
    <row r="577" spans="1:24" ht="18" customHeight="1" x14ac:dyDescent="0.25">
      <c r="A577" s="186">
        <v>568</v>
      </c>
      <c r="B577" s="173" t="s">
        <v>2306</v>
      </c>
      <c r="C577" s="174">
        <v>42069</v>
      </c>
      <c r="D577" s="175">
        <v>4</v>
      </c>
      <c r="E577" s="175" t="s">
        <v>93</v>
      </c>
      <c r="F577" s="176" t="s">
        <v>2206</v>
      </c>
      <c r="G577" s="175" t="s">
        <v>202</v>
      </c>
      <c r="H577" s="177">
        <v>42072</v>
      </c>
      <c r="I577" s="175" t="s">
        <v>187</v>
      </c>
      <c r="J577" s="175" t="s">
        <v>103</v>
      </c>
      <c r="K577" s="178" t="s">
        <v>2307</v>
      </c>
      <c r="L577" s="177">
        <v>42072</v>
      </c>
      <c r="M577" s="178" t="s">
        <v>1654</v>
      </c>
      <c r="N577" s="178" t="s">
        <v>185</v>
      </c>
      <c r="O577" s="177">
        <v>42072</v>
      </c>
      <c r="P577" s="179">
        <f t="shared" si="672"/>
        <v>3</v>
      </c>
      <c r="Q577" s="180" t="s">
        <v>2308</v>
      </c>
      <c r="R577" s="178" t="s">
        <v>17</v>
      </c>
      <c r="S577" s="178" t="s">
        <v>2309</v>
      </c>
      <c r="T577" s="183" t="s">
        <v>2310</v>
      </c>
      <c r="U577" s="181">
        <v>42073</v>
      </c>
      <c r="V577" s="178" t="s">
        <v>186</v>
      </c>
      <c r="W577" s="182">
        <f t="shared" si="673"/>
        <v>0</v>
      </c>
      <c r="X577" s="182" t="str">
        <f t="shared" si="674"/>
        <v>Correcto</v>
      </c>
    </row>
    <row r="578" spans="1:24" ht="18" customHeight="1" x14ac:dyDescent="0.25">
      <c r="A578" s="186">
        <v>569</v>
      </c>
      <c r="B578" s="173" t="s">
        <v>2311</v>
      </c>
      <c r="C578" s="174">
        <v>42069</v>
      </c>
      <c r="D578" s="175">
        <v>2</v>
      </c>
      <c r="E578" s="175" t="s">
        <v>93</v>
      </c>
      <c r="F578" s="176" t="s">
        <v>2206</v>
      </c>
      <c r="G578" s="175" t="s">
        <v>202</v>
      </c>
      <c r="H578" s="177">
        <v>42071</v>
      </c>
      <c r="I578" s="175" t="s">
        <v>187</v>
      </c>
      <c r="J578" s="175" t="s">
        <v>103</v>
      </c>
      <c r="K578" s="178" t="s">
        <v>2312</v>
      </c>
      <c r="L578" s="177">
        <v>42071</v>
      </c>
      <c r="M578" s="178" t="s">
        <v>1654</v>
      </c>
      <c r="N578" s="178" t="s">
        <v>185</v>
      </c>
      <c r="O578" s="177">
        <v>42073</v>
      </c>
      <c r="P578" s="179">
        <f t="shared" si="672"/>
        <v>4</v>
      </c>
      <c r="Q578" s="180" t="s">
        <v>2313</v>
      </c>
      <c r="R578" s="178" t="s">
        <v>17</v>
      </c>
      <c r="S578" s="178" t="s">
        <v>101</v>
      </c>
      <c r="T578" s="178" t="s">
        <v>2314</v>
      </c>
      <c r="U578" s="181">
        <v>41345</v>
      </c>
      <c r="V578" s="178" t="s">
        <v>186</v>
      </c>
      <c r="W578" s="182">
        <f t="shared" si="673"/>
        <v>0</v>
      </c>
      <c r="X578" s="182" t="str">
        <f t="shared" si="674"/>
        <v>Correcto</v>
      </c>
    </row>
    <row r="579" spans="1:24" ht="18" customHeight="1" x14ac:dyDescent="0.25">
      <c r="A579" s="186">
        <v>570</v>
      </c>
      <c r="B579" s="173" t="s">
        <v>2315</v>
      </c>
      <c r="C579" s="174">
        <v>42069</v>
      </c>
      <c r="D579" s="175">
        <v>2</v>
      </c>
      <c r="E579" s="175" t="s">
        <v>93</v>
      </c>
      <c r="F579" s="176" t="s">
        <v>2206</v>
      </c>
      <c r="G579" s="175" t="s">
        <v>202</v>
      </c>
      <c r="H579" s="177">
        <v>42071</v>
      </c>
      <c r="I579" s="175" t="s">
        <v>187</v>
      </c>
      <c r="J579" s="175" t="s">
        <v>103</v>
      </c>
      <c r="K579" s="178" t="s">
        <v>2316</v>
      </c>
      <c r="L579" s="177">
        <v>42071</v>
      </c>
      <c r="M579" s="178" t="s">
        <v>1654</v>
      </c>
      <c r="N579" s="178" t="s">
        <v>185</v>
      </c>
      <c r="O579" s="177">
        <v>42072</v>
      </c>
      <c r="P579" s="179">
        <f t="shared" si="672"/>
        <v>3</v>
      </c>
      <c r="Q579" s="180" t="s">
        <v>2317</v>
      </c>
      <c r="R579" s="178" t="s">
        <v>17</v>
      </c>
      <c r="S579" s="178" t="s">
        <v>101</v>
      </c>
      <c r="T579" s="178" t="s">
        <v>2314</v>
      </c>
      <c r="U579" s="181">
        <v>41345</v>
      </c>
      <c r="V579" s="178" t="s">
        <v>186</v>
      </c>
      <c r="W579" s="182">
        <f t="shared" si="673"/>
        <v>0</v>
      </c>
      <c r="X579" s="182" t="str">
        <f t="shared" si="674"/>
        <v>Correcto</v>
      </c>
    </row>
    <row r="580" spans="1:24" ht="18" customHeight="1" x14ac:dyDescent="0.25">
      <c r="A580" s="186">
        <v>571</v>
      </c>
      <c r="B580" s="173" t="s">
        <v>2318</v>
      </c>
      <c r="C580" s="174">
        <v>42069</v>
      </c>
      <c r="D580" s="175">
        <v>3</v>
      </c>
      <c r="E580" s="175" t="s">
        <v>93</v>
      </c>
      <c r="F580" s="176" t="s">
        <v>2206</v>
      </c>
      <c r="G580" s="175" t="s">
        <v>202</v>
      </c>
      <c r="H580" s="177">
        <v>42072</v>
      </c>
      <c r="I580" s="175" t="s">
        <v>187</v>
      </c>
      <c r="J580" s="175" t="s">
        <v>103</v>
      </c>
      <c r="K580" s="178" t="s">
        <v>2319</v>
      </c>
      <c r="L580" s="177">
        <v>42072</v>
      </c>
      <c r="M580" s="178" t="s">
        <v>1654</v>
      </c>
      <c r="N580" s="178" t="s">
        <v>185</v>
      </c>
      <c r="O580" s="177">
        <v>42072</v>
      </c>
      <c r="P580" s="179">
        <f t="shared" si="672"/>
        <v>3</v>
      </c>
      <c r="Q580" s="180" t="s">
        <v>2320</v>
      </c>
      <c r="R580" s="178" t="s">
        <v>17</v>
      </c>
      <c r="S580" s="178" t="s">
        <v>2321</v>
      </c>
      <c r="T580" s="183" t="s">
        <v>2322</v>
      </c>
      <c r="U580" s="181">
        <v>42073</v>
      </c>
      <c r="V580" s="178" t="s">
        <v>186</v>
      </c>
      <c r="W580" s="182">
        <f t="shared" si="673"/>
        <v>0</v>
      </c>
      <c r="X580" s="182" t="str">
        <f t="shared" si="674"/>
        <v>Correcto</v>
      </c>
    </row>
    <row r="581" spans="1:24" ht="18" customHeight="1" x14ac:dyDescent="0.25">
      <c r="A581" s="186">
        <v>572</v>
      </c>
      <c r="B581" s="173" t="s">
        <v>2323</v>
      </c>
      <c r="C581" s="174">
        <v>42069</v>
      </c>
      <c r="D581" s="175">
        <v>2</v>
      </c>
      <c r="E581" s="175" t="s">
        <v>93</v>
      </c>
      <c r="F581" s="176" t="s">
        <v>2206</v>
      </c>
      <c r="G581" s="175" t="s">
        <v>202</v>
      </c>
      <c r="H581" s="177">
        <v>42071</v>
      </c>
      <c r="I581" s="175" t="s">
        <v>187</v>
      </c>
      <c r="J581" s="175" t="s">
        <v>103</v>
      </c>
      <c r="K581" s="178" t="s">
        <v>2324</v>
      </c>
      <c r="L581" s="177">
        <v>42071</v>
      </c>
      <c r="M581" s="178" t="s">
        <v>1654</v>
      </c>
      <c r="N581" s="178" t="s">
        <v>185</v>
      </c>
      <c r="O581" s="177">
        <v>42072</v>
      </c>
      <c r="P581" s="179">
        <f t="shared" si="672"/>
        <v>3</v>
      </c>
      <c r="Q581" s="180" t="s">
        <v>2325</v>
      </c>
      <c r="R581" s="178" t="s">
        <v>17</v>
      </c>
      <c r="S581" s="178" t="s">
        <v>101</v>
      </c>
      <c r="T581" s="178" t="s">
        <v>1019</v>
      </c>
      <c r="U581" s="181">
        <v>41345</v>
      </c>
      <c r="V581" s="178" t="s">
        <v>186</v>
      </c>
      <c r="W581" s="182">
        <f t="shared" si="673"/>
        <v>0</v>
      </c>
      <c r="X581" s="182" t="str">
        <f t="shared" si="674"/>
        <v>Correcto</v>
      </c>
    </row>
    <row r="582" spans="1:24" ht="18" customHeight="1" x14ac:dyDescent="0.25">
      <c r="A582" s="186">
        <v>573</v>
      </c>
      <c r="B582" s="176" t="s">
        <v>2326</v>
      </c>
      <c r="C582" s="174">
        <v>42069</v>
      </c>
      <c r="D582" s="175">
        <v>2</v>
      </c>
      <c r="E582" s="175" t="s">
        <v>93</v>
      </c>
      <c r="F582" s="176" t="s">
        <v>2206</v>
      </c>
      <c r="G582" s="175" t="s">
        <v>202</v>
      </c>
      <c r="H582" s="177">
        <v>42075</v>
      </c>
      <c r="I582" s="175" t="s">
        <v>187</v>
      </c>
      <c r="J582" s="175" t="s">
        <v>103</v>
      </c>
      <c r="K582" s="178" t="s">
        <v>2327</v>
      </c>
      <c r="L582" s="177">
        <v>42075</v>
      </c>
      <c r="M582" s="178" t="s">
        <v>824</v>
      </c>
      <c r="N582" s="178" t="s">
        <v>185</v>
      </c>
      <c r="O582" s="177">
        <v>42075</v>
      </c>
      <c r="P582" s="179">
        <f t="shared" si="672"/>
        <v>6</v>
      </c>
      <c r="Q582" s="180" t="s">
        <v>2327</v>
      </c>
      <c r="R582" s="178" t="s">
        <v>17</v>
      </c>
      <c r="S582" s="178" t="s">
        <v>196</v>
      </c>
      <c r="T582" s="178" t="s">
        <v>1150</v>
      </c>
      <c r="U582" s="181">
        <v>41345</v>
      </c>
      <c r="V582" s="178" t="s">
        <v>186</v>
      </c>
      <c r="W582" s="182">
        <f t="shared" si="673"/>
        <v>0</v>
      </c>
      <c r="X582" s="182" t="str">
        <f t="shared" si="674"/>
        <v>Correcto</v>
      </c>
    </row>
    <row r="583" spans="1:24" ht="18" customHeight="1" x14ac:dyDescent="0.25">
      <c r="A583" s="186">
        <v>574</v>
      </c>
      <c r="B583" s="173" t="s">
        <v>2328</v>
      </c>
      <c r="C583" s="174">
        <v>42069</v>
      </c>
      <c r="D583" s="175">
        <v>2</v>
      </c>
      <c r="E583" s="175" t="s">
        <v>93</v>
      </c>
      <c r="F583" s="176" t="s">
        <v>2206</v>
      </c>
      <c r="G583" s="175" t="s">
        <v>202</v>
      </c>
      <c r="H583" s="177">
        <v>42073</v>
      </c>
      <c r="I583" s="175" t="s">
        <v>187</v>
      </c>
      <c r="J583" s="175" t="s">
        <v>103</v>
      </c>
      <c r="K583" s="178" t="s">
        <v>2329</v>
      </c>
      <c r="L583" s="177">
        <v>42073</v>
      </c>
      <c r="M583" s="178" t="s">
        <v>1654</v>
      </c>
      <c r="N583" s="178" t="s">
        <v>185</v>
      </c>
      <c r="O583" s="177">
        <v>42074</v>
      </c>
      <c r="P583" s="179">
        <f t="shared" si="672"/>
        <v>5</v>
      </c>
      <c r="Q583" s="180" t="s">
        <v>2330</v>
      </c>
      <c r="R583" s="178" t="s">
        <v>17</v>
      </c>
      <c r="S583" s="178" t="s">
        <v>101</v>
      </c>
      <c r="T583" s="178" t="s">
        <v>1150</v>
      </c>
      <c r="U583" s="181">
        <v>41345</v>
      </c>
      <c r="V583" s="178" t="s">
        <v>186</v>
      </c>
      <c r="W583" s="182">
        <f t="shared" si="673"/>
        <v>0</v>
      </c>
      <c r="X583" s="182" t="str">
        <f t="shared" si="674"/>
        <v>Correcto</v>
      </c>
    </row>
    <row r="584" spans="1:24" ht="18" customHeight="1" x14ac:dyDescent="0.25">
      <c r="A584" s="186">
        <v>575</v>
      </c>
      <c r="B584" s="173" t="s">
        <v>2331</v>
      </c>
      <c r="C584" s="174">
        <v>42069</v>
      </c>
      <c r="D584" s="175">
        <v>2</v>
      </c>
      <c r="E584" s="175" t="s">
        <v>93</v>
      </c>
      <c r="F584" s="176" t="s">
        <v>2206</v>
      </c>
      <c r="G584" s="175" t="s">
        <v>202</v>
      </c>
      <c r="H584" s="177">
        <v>42072</v>
      </c>
      <c r="I584" s="175" t="s">
        <v>187</v>
      </c>
      <c r="J584" s="175" t="s">
        <v>103</v>
      </c>
      <c r="K584" s="180" t="s">
        <v>2332</v>
      </c>
      <c r="L584" s="177">
        <v>42072</v>
      </c>
      <c r="M584" s="178" t="s">
        <v>1654</v>
      </c>
      <c r="N584" s="178" t="s">
        <v>185</v>
      </c>
      <c r="O584" s="177">
        <v>42072</v>
      </c>
      <c r="P584" s="179">
        <f t="shared" si="672"/>
        <v>3</v>
      </c>
      <c r="Q584" s="180" t="s">
        <v>2332</v>
      </c>
      <c r="R584" s="178" t="s">
        <v>17</v>
      </c>
      <c r="S584" s="178" t="s">
        <v>2333</v>
      </c>
      <c r="T584" s="183" t="s">
        <v>2334</v>
      </c>
      <c r="U584" s="181">
        <v>42073</v>
      </c>
      <c r="V584" s="178" t="s">
        <v>186</v>
      </c>
      <c r="W584" s="182">
        <f t="shared" si="673"/>
        <v>0</v>
      </c>
      <c r="X584" s="182" t="str">
        <f t="shared" si="674"/>
        <v>Correcto</v>
      </c>
    </row>
    <row r="585" spans="1:24" ht="18" customHeight="1" x14ac:dyDescent="0.25">
      <c r="A585" s="186">
        <v>576</v>
      </c>
      <c r="B585" s="173" t="s">
        <v>2335</v>
      </c>
      <c r="C585" s="174">
        <v>42072</v>
      </c>
      <c r="D585" s="175">
        <v>2</v>
      </c>
      <c r="E585" s="175" t="s">
        <v>93</v>
      </c>
      <c r="F585" s="176" t="s">
        <v>2206</v>
      </c>
      <c r="G585" s="175" t="s">
        <v>202</v>
      </c>
      <c r="H585" s="177">
        <v>42073</v>
      </c>
      <c r="I585" s="175" t="s">
        <v>187</v>
      </c>
      <c r="J585" s="175" t="s">
        <v>103</v>
      </c>
      <c r="K585" s="178" t="s">
        <v>2336</v>
      </c>
      <c r="L585" s="177">
        <v>42073</v>
      </c>
      <c r="M585" s="178" t="s">
        <v>1654</v>
      </c>
      <c r="N585" s="178" t="s">
        <v>185</v>
      </c>
      <c r="O585" s="177">
        <v>42074</v>
      </c>
      <c r="P585" s="179">
        <f t="shared" ref="P585:P648" si="675">O585-C585</f>
        <v>2</v>
      </c>
      <c r="Q585" s="180" t="s">
        <v>2337</v>
      </c>
      <c r="R585" s="178" t="s">
        <v>17</v>
      </c>
      <c r="S585" s="178" t="s">
        <v>2338</v>
      </c>
      <c r="T585" s="183" t="s">
        <v>2339</v>
      </c>
      <c r="U585" s="181">
        <v>42074</v>
      </c>
      <c r="V585" s="178" t="s">
        <v>186</v>
      </c>
      <c r="W585" s="182">
        <f t="shared" ref="W585:W648" si="676">COUNTBLANK(C585:V585)</f>
        <v>0</v>
      </c>
      <c r="X585" s="182" t="str">
        <f t="shared" ref="X585:X648" si="677">IF(W585=0,"Correcto","Incorrecto")</f>
        <v>Correcto</v>
      </c>
    </row>
    <row r="586" spans="1:24" ht="18" customHeight="1" x14ac:dyDescent="0.25">
      <c r="A586" s="186">
        <v>577</v>
      </c>
      <c r="B586" s="173" t="s">
        <v>2340</v>
      </c>
      <c r="C586" s="174">
        <v>42072</v>
      </c>
      <c r="D586" s="175">
        <v>2</v>
      </c>
      <c r="E586" s="175" t="s">
        <v>93</v>
      </c>
      <c r="F586" s="176" t="s">
        <v>2206</v>
      </c>
      <c r="G586" s="175" t="s">
        <v>202</v>
      </c>
      <c r="H586" s="177">
        <v>42073</v>
      </c>
      <c r="I586" s="175" t="s">
        <v>187</v>
      </c>
      <c r="J586" s="175" t="s">
        <v>103</v>
      </c>
      <c r="K586" s="178" t="s">
        <v>2341</v>
      </c>
      <c r="L586" s="177">
        <v>42073</v>
      </c>
      <c r="M586" s="178" t="s">
        <v>1654</v>
      </c>
      <c r="N586" s="178" t="s">
        <v>185</v>
      </c>
      <c r="O586" s="177">
        <v>42075</v>
      </c>
      <c r="P586" s="179">
        <f t="shared" si="675"/>
        <v>3</v>
      </c>
      <c r="Q586" s="180" t="s">
        <v>2342</v>
      </c>
      <c r="R586" s="178" t="s">
        <v>17</v>
      </c>
      <c r="S586" s="178" t="s">
        <v>101</v>
      </c>
      <c r="T586" s="178" t="s">
        <v>1150</v>
      </c>
      <c r="U586" s="181">
        <v>41345</v>
      </c>
      <c r="V586" s="178" t="s">
        <v>186</v>
      </c>
      <c r="W586" s="182">
        <f t="shared" si="676"/>
        <v>0</v>
      </c>
      <c r="X586" s="182" t="str">
        <f t="shared" si="677"/>
        <v>Correcto</v>
      </c>
    </row>
    <row r="587" spans="1:24" ht="18" customHeight="1" x14ac:dyDescent="0.25">
      <c r="A587" s="186">
        <v>578</v>
      </c>
      <c r="B587" s="173" t="s">
        <v>2343</v>
      </c>
      <c r="C587" s="174">
        <v>42072</v>
      </c>
      <c r="D587" s="175">
        <v>2</v>
      </c>
      <c r="E587" s="175" t="s">
        <v>93</v>
      </c>
      <c r="F587" s="176" t="s">
        <v>2206</v>
      </c>
      <c r="G587" s="175" t="s">
        <v>202</v>
      </c>
      <c r="H587" s="177">
        <v>42073</v>
      </c>
      <c r="I587" s="175" t="s">
        <v>187</v>
      </c>
      <c r="J587" s="175" t="s">
        <v>103</v>
      </c>
      <c r="K587" s="178" t="s">
        <v>2344</v>
      </c>
      <c r="L587" s="177">
        <v>42073</v>
      </c>
      <c r="M587" s="178" t="s">
        <v>1654</v>
      </c>
      <c r="N587" s="178" t="s">
        <v>185</v>
      </c>
      <c r="O587" s="177">
        <v>42074</v>
      </c>
      <c r="P587" s="179">
        <f t="shared" si="675"/>
        <v>2</v>
      </c>
      <c r="Q587" s="180" t="s">
        <v>2345</v>
      </c>
      <c r="R587" s="178" t="s">
        <v>17</v>
      </c>
      <c r="S587" s="178" t="s">
        <v>101</v>
      </c>
      <c r="T587" s="178" t="s">
        <v>1150</v>
      </c>
      <c r="U587" s="181">
        <v>41345</v>
      </c>
      <c r="V587" s="178" t="s">
        <v>186</v>
      </c>
      <c r="W587" s="182">
        <f t="shared" si="676"/>
        <v>0</v>
      </c>
      <c r="X587" s="182" t="str">
        <f t="shared" si="677"/>
        <v>Correcto</v>
      </c>
    </row>
    <row r="588" spans="1:24" ht="18" customHeight="1" x14ac:dyDescent="0.25">
      <c r="A588" s="186">
        <v>579</v>
      </c>
      <c r="B588" s="173" t="s">
        <v>2346</v>
      </c>
      <c r="C588" s="174">
        <v>42072</v>
      </c>
      <c r="D588" s="175">
        <v>7</v>
      </c>
      <c r="E588" s="175" t="s">
        <v>93</v>
      </c>
      <c r="F588" s="176" t="s">
        <v>2206</v>
      </c>
      <c r="G588" s="175" t="s">
        <v>202</v>
      </c>
      <c r="H588" s="177">
        <v>42073</v>
      </c>
      <c r="I588" s="175" t="s">
        <v>187</v>
      </c>
      <c r="J588" s="175" t="s">
        <v>103</v>
      </c>
      <c r="K588" s="178" t="s">
        <v>2347</v>
      </c>
      <c r="L588" s="177">
        <v>42073</v>
      </c>
      <c r="M588" s="178" t="s">
        <v>1654</v>
      </c>
      <c r="N588" s="178" t="s">
        <v>185</v>
      </c>
      <c r="O588" s="177">
        <v>42074</v>
      </c>
      <c r="P588" s="179">
        <f t="shared" si="675"/>
        <v>2</v>
      </c>
      <c r="Q588" s="180" t="s">
        <v>2348</v>
      </c>
      <c r="R588" s="178" t="s">
        <v>17</v>
      </c>
      <c r="S588" s="178" t="s">
        <v>101</v>
      </c>
      <c r="T588" s="178" t="s">
        <v>1150</v>
      </c>
      <c r="U588" s="181">
        <v>41345</v>
      </c>
      <c r="V588" s="178" t="s">
        <v>186</v>
      </c>
      <c r="W588" s="182">
        <f t="shared" si="676"/>
        <v>0</v>
      </c>
      <c r="X588" s="182" t="str">
        <f t="shared" si="677"/>
        <v>Correcto</v>
      </c>
    </row>
    <row r="589" spans="1:24" ht="18" customHeight="1" x14ac:dyDescent="0.25">
      <c r="A589" s="186">
        <v>580</v>
      </c>
      <c r="B589" s="173" t="s">
        <v>2349</v>
      </c>
      <c r="C589" s="174">
        <v>42072</v>
      </c>
      <c r="D589" s="175">
        <v>2</v>
      </c>
      <c r="E589" s="175" t="s">
        <v>93</v>
      </c>
      <c r="F589" s="176" t="s">
        <v>2206</v>
      </c>
      <c r="G589" s="175" t="s">
        <v>202</v>
      </c>
      <c r="H589" s="177">
        <v>42073</v>
      </c>
      <c r="I589" s="175" t="s">
        <v>187</v>
      </c>
      <c r="J589" s="175" t="s">
        <v>103</v>
      </c>
      <c r="K589" s="178" t="s">
        <v>2350</v>
      </c>
      <c r="L589" s="177">
        <v>42073</v>
      </c>
      <c r="M589" s="178" t="s">
        <v>1654</v>
      </c>
      <c r="N589" s="178" t="s">
        <v>185</v>
      </c>
      <c r="O589" s="177">
        <v>42074</v>
      </c>
      <c r="P589" s="179">
        <f t="shared" si="675"/>
        <v>2</v>
      </c>
      <c r="Q589" s="180" t="s">
        <v>2351</v>
      </c>
      <c r="R589" s="178" t="s">
        <v>17</v>
      </c>
      <c r="S589" s="178" t="s">
        <v>2352</v>
      </c>
      <c r="T589" s="183" t="s">
        <v>2353</v>
      </c>
      <c r="U589" s="181">
        <v>42075</v>
      </c>
      <c r="V589" s="178" t="s">
        <v>186</v>
      </c>
      <c r="W589" s="182">
        <f t="shared" si="676"/>
        <v>0</v>
      </c>
      <c r="X589" s="182" t="str">
        <f t="shared" si="677"/>
        <v>Correcto</v>
      </c>
    </row>
    <row r="590" spans="1:24" ht="18" customHeight="1" x14ac:dyDescent="0.25">
      <c r="A590" s="186">
        <v>581</v>
      </c>
      <c r="B590" s="173" t="s">
        <v>2354</v>
      </c>
      <c r="C590" s="174">
        <v>42072</v>
      </c>
      <c r="D590" s="175">
        <v>2</v>
      </c>
      <c r="E590" s="175" t="s">
        <v>93</v>
      </c>
      <c r="F590" s="176" t="s">
        <v>2206</v>
      </c>
      <c r="G590" s="175" t="s">
        <v>202</v>
      </c>
      <c r="H590" s="177">
        <v>42073</v>
      </c>
      <c r="I590" s="175" t="s">
        <v>187</v>
      </c>
      <c r="J590" s="175" t="s">
        <v>103</v>
      </c>
      <c r="K590" s="178" t="s">
        <v>2355</v>
      </c>
      <c r="L590" s="177">
        <v>42073</v>
      </c>
      <c r="M590" s="178" t="s">
        <v>1654</v>
      </c>
      <c r="N590" s="178" t="s">
        <v>185</v>
      </c>
      <c r="O590" s="177">
        <v>42074</v>
      </c>
      <c r="P590" s="179">
        <f t="shared" si="675"/>
        <v>2</v>
      </c>
      <c r="Q590" s="180" t="s">
        <v>2356</v>
      </c>
      <c r="R590" s="178" t="s">
        <v>17</v>
      </c>
      <c r="S590" s="178" t="s">
        <v>2357</v>
      </c>
      <c r="T590" s="183" t="s">
        <v>2358</v>
      </c>
      <c r="U590" s="181">
        <v>42075</v>
      </c>
      <c r="V590" s="178" t="s">
        <v>186</v>
      </c>
      <c r="W590" s="182">
        <f t="shared" si="676"/>
        <v>0</v>
      </c>
      <c r="X590" s="182" t="str">
        <f t="shared" si="677"/>
        <v>Correcto</v>
      </c>
    </row>
    <row r="591" spans="1:24" ht="18" customHeight="1" x14ac:dyDescent="0.25">
      <c r="A591" s="186">
        <v>582</v>
      </c>
      <c r="B591" s="173" t="s">
        <v>2359</v>
      </c>
      <c r="C591" s="174">
        <v>42072</v>
      </c>
      <c r="D591" s="175">
        <v>2</v>
      </c>
      <c r="E591" s="175" t="s">
        <v>93</v>
      </c>
      <c r="F591" s="176" t="s">
        <v>2206</v>
      </c>
      <c r="G591" s="175" t="s">
        <v>202</v>
      </c>
      <c r="H591" s="177">
        <v>42073</v>
      </c>
      <c r="I591" s="175" t="s">
        <v>187</v>
      </c>
      <c r="J591" s="175" t="s">
        <v>103</v>
      </c>
      <c r="K591" s="178" t="s">
        <v>2360</v>
      </c>
      <c r="L591" s="177">
        <v>42073</v>
      </c>
      <c r="M591" s="178" t="s">
        <v>1654</v>
      </c>
      <c r="N591" s="178" t="s">
        <v>185</v>
      </c>
      <c r="O591" s="177">
        <v>42074</v>
      </c>
      <c r="P591" s="179">
        <f t="shared" si="675"/>
        <v>2</v>
      </c>
      <c r="Q591" s="180" t="s">
        <v>2361</v>
      </c>
      <c r="R591" s="178" t="s">
        <v>17</v>
      </c>
      <c r="S591" s="178" t="s">
        <v>101</v>
      </c>
      <c r="T591" s="178" t="s">
        <v>1019</v>
      </c>
      <c r="U591" s="181">
        <v>41353</v>
      </c>
      <c r="V591" s="178" t="s">
        <v>186</v>
      </c>
      <c r="W591" s="182">
        <f t="shared" si="676"/>
        <v>0</v>
      </c>
      <c r="X591" s="182" t="str">
        <f t="shared" si="677"/>
        <v>Correcto</v>
      </c>
    </row>
    <row r="592" spans="1:24" ht="18" customHeight="1" x14ac:dyDescent="0.25">
      <c r="A592" s="186">
        <v>583</v>
      </c>
      <c r="B592" s="173" t="s">
        <v>2362</v>
      </c>
      <c r="C592" s="174">
        <v>42072</v>
      </c>
      <c r="D592" s="175">
        <v>2</v>
      </c>
      <c r="E592" s="175" t="s">
        <v>93</v>
      </c>
      <c r="F592" s="176" t="s">
        <v>2206</v>
      </c>
      <c r="G592" s="175" t="s">
        <v>202</v>
      </c>
      <c r="H592" s="177">
        <v>42073</v>
      </c>
      <c r="I592" s="175" t="s">
        <v>187</v>
      </c>
      <c r="J592" s="175" t="s">
        <v>103</v>
      </c>
      <c r="K592" s="178" t="s">
        <v>2363</v>
      </c>
      <c r="L592" s="177">
        <v>42073</v>
      </c>
      <c r="M592" s="178" t="s">
        <v>1654</v>
      </c>
      <c r="N592" s="178" t="s">
        <v>185</v>
      </c>
      <c r="O592" s="177">
        <v>42074</v>
      </c>
      <c r="P592" s="179">
        <f t="shared" si="675"/>
        <v>2</v>
      </c>
      <c r="Q592" s="180" t="s">
        <v>2364</v>
      </c>
      <c r="R592" s="178" t="s">
        <v>17</v>
      </c>
      <c r="S592" s="178" t="s">
        <v>2365</v>
      </c>
      <c r="T592" s="183" t="s">
        <v>2366</v>
      </c>
      <c r="U592" s="181">
        <v>42074</v>
      </c>
      <c r="V592" s="178" t="s">
        <v>186</v>
      </c>
      <c r="W592" s="182">
        <f t="shared" si="676"/>
        <v>0</v>
      </c>
      <c r="X592" s="182" t="str">
        <f t="shared" si="677"/>
        <v>Correcto</v>
      </c>
    </row>
    <row r="593" spans="1:24" ht="18" customHeight="1" x14ac:dyDescent="0.25">
      <c r="A593" s="186">
        <v>584</v>
      </c>
      <c r="B593" s="173" t="s">
        <v>2367</v>
      </c>
      <c r="C593" s="174">
        <v>42072</v>
      </c>
      <c r="D593" s="175">
        <v>2</v>
      </c>
      <c r="E593" s="175" t="s">
        <v>93</v>
      </c>
      <c r="F593" s="176" t="s">
        <v>2206</v>
      </c>
      <c r="G593" s="175" t="s">
        <v>202</v>
      </c>
      <c r="H593" s="177">
        <v>42073</v>
      </c>
      <c r="I593" s="175" t="s">
        <v>187</v>
      </c>
      <c r="J593" s="175" t="s">
        <v>103</v>
      </c>
      <c r="K593" s="178" t="s">
        <v>2368</v>
      </c>
      <c r="L593" s="177">
        <v>42073</v>
      </c>
      <c r="M593" s="178" t="s">
        <v>1654</v>
      </c>
      <c r="N593" s="178" t="s">
        <v>185</v>
      </c>
      <c r="O593" s="177">
        <v>42074</v>
      </c>
      <c r="P593" s="179">
        <f t="shared" si="675"/>
        <v>2</v>
      </c>
      <c r="Q593" s="180" t="s">
        <v>2369</v>
      </c>
      <c r="R593" s="178" t="s">
        <v>17</v>
      </c>
      <c r="S593" s="178" t="s">
        <v>101</v>
      </c>
      <c r="T593" s="178" t="s">
        <v>1007</v>
      </c>
      <c r="U593" s="181">
        <v>41345</v>
      </c>
      <c r="V593" s="178" t="s">
        <v>186</v>
      </c>
      <c r="W593" s="182">
        <f t="shared" si="676"/>
        <v>0</v>
      </c>
      <c r="X593" s="182" t="str">
        <f t="shared" si="677"/>
        <v>Correcto</v>
      </c>
    </row>
    <row r="594" spans="1:24" ht="18" customHeight="1" x14ac:dyDescent="0.25">
      <c r="A594" s="186">
        <v>585</v>
      </c>
      <c r="B594" s="173" t="s">
        <v>2370</v>
      </c>
      <c r="C594" s="174">
        <v>42072</v>
      </c>
      <c r="D594" s="175">
        <v>2</v>
      </c>
      <c r="E594" s="175" t="s">
        <v>93</v>
      </c>
      <c r="F594" s="176" t="s">
        <v>2206</v>
      </c>
      <c r="G594" s="175" t="s">
        <v>202</v>
      </c>
      <c r="H594" s="177">
        <v>42073</v>
      </c>
      <c r="I594" s="175" t="s">
        <v>187</v>
      </c>
      <c r="J594" s="175" t="s">
        <v>103</v>
      </c>
      <c r="K594" s="178" t="s">
        <v>2371</v>
      </c>
      <c r="L594" s="177">
        <v>42073</v>
      </c>
      <c r="M594" s="178" t="s">
        <v>1654</v>
      </c>
      <c r="N594" s="178" t="s">
        <v>185</v>
      </c>
      <c r="O594" s="177">
        <v>42074</v>
      </c>
      <c r="P594" s="179">
        <f t="shared" si="675"/>
        <v>2</v>
      </c>
      <c r="Q594" s="180" t="s">
        <v>2372</v>
      </c>
      <c r="R594" s="178" t="s">
        <v>17</v>
      </c>
      <c r="S594" s="178" t="s">
        <v>2373</v>
      </c>
      <c r="T594" s="183" t="s">
        <v>2374</v>
      </c>
      <c r="U594" s="181">
        <v>42075</v>
      </c>
      <c r="V594" s="178" t="s">
        <v>186</v>
      </c>
      <c r="W594" s="182">
        <f t="shared" si="676"/>
        <v>0</v>
      </c>
      <c r="X594" s="182" t="str">
        <f t="shared" si="677"/>
        <v>Correcto</v>
      </c>
    </row>
    <row r="595" spans="1:24" ht="18" customHeight="1" x14ac:dyDescent="0.25">
      <c r="A595" s="186">
        <v>586</v>
      </c>
      <c r="B595" s="173" t="s">
        <v>2375</v>
      </c>
      <c r="C595" s="174">
        <v>42072</v>
      </c>
      <c r="D595" s="175">
        <v>2</v>
      </c>
      <c r="E595" s="175" t="s">
        <v>93</v>
      </c>
      <c r="F595" s="176" t="s">
        <v>2206</v>
      </c>
      <c r="G595" s="175" t="s">
        <v>202</v>
      </c>
      <c r="H595" s="177">
        <v>42073</v>
      </c>
      <c r="I595" s="175" t="s">
        <v>187</v>
      </c>
      <c r="J595" s="175" t="s">
        <v>103</v>
      </c>
      <c r="K595" s="178" t="s">
        <v>2376</v>
      </c>
      <c r="L595" s="177">
        <v>42073</v>
      </c>
      <c r="M595" s="178" t="s">
        <v>1654</v>
      </c>
      <c r="N595" s="178" t="s">
        <v>185</v>
      </c>
      <c r="O595" s="177">
        <v>42074</v>
      </c>
      <c r="P595" s="179">
        <f t="shared" si="675"/>
        <v>2</v>
      </c>
      <c r="Q595" s="180" t="s">
        <v>2377</v>
      </c>
      <c r="R595" s="178" t="s">
        <v>17</v>
      </c>
      <c r="S595" s="178" t="s">
        <v>2378</v>
      </c>
      <c r="T595" s="183" t="s">
        <v>1973</v>
      </c>
      <c r="U595" s="181">
        <v>42075</v>
      </c>
      <c r="V595" s="178" t="s">
        <v>186</v>
      </c>
      <c r="W595" s="182">
        <f t="shared" si="676"/>
        <v>0</v>
      </c>
      <c r="X595" s="182" t="str">
        <f t="shared" si="677"/>
        <v>Correcto</v>
      </c>
    </row>
    <row r="596" spans="1:24" ht="18" customHeight="1" x14ac:dyDescent="0.25">
      <c r="A596" s="186">
        <v>587</v>
      </c>
      <c r="B596" s="173" t="s">
        <v>2379</v>
      </c>
      <c r="C596" s="174">
        <v>42072</v>
      </c>
      <c r="D596" s="175">
        <v>2</v>
      </c>
      <c r="E596" s="175" t="s">
        <v>93</v>
      </c>
      <c r="F596" s="176" t="s">
        <v>2206</v>
      </c>
      <c r="G596" s="175" t="s">
        <v>202</v>
      </c>
      <c r="H596" s="177">
        <v>42081</v>
      </c>
      <c r="I596" s="175" t="s">
        <v>187</v>
      </c>
      <c r="J596" s="175" t="s">
        <v>103</v>
      </c>
      <c r="K596" s="178" t="s">
        <v>2380</v>
      </c>
      <c r="L596" s="177">
        <v>42081</v>
      </c>
      <c r="M596" s="178" t="s">
        <v>1654</v>
      </c>
      <c r="N596" s="178" t="s">
        <v>185</v>
      </c>
      <c r="O596" s="177">
        <v>42082</v>
      </c>
      <c r="P596" s="179">
        <f t="shared" si="675"/>
        <v>10</v>
      </c>
      <c r="Q596" s="180" t="s">
        <v>2381</v>
      </c>
      <c r="R596" s="178" t="s">
        <v>17</v>
      </c>
      <c r="S596" s="178" t="s">
        <v>101</v>
      </c>
      <c r="T596" s="178" t="s">
        <v>2258</v>
      </c>
      <c r="U596" s="181">
        <v>42058</v>
      </c>
      <c r="V596" s="178" t="s">
        <v>186</v>
      </c>
      <c r="W596" s="182">
        <f t="shared" si="676"/>
        <v>0</v>
      </c>
      <c r="X596" s="182" t="str">
        <f t="shared" si="677"/>
        <v>Correcto</v>
      </c>
    </row>
    <row r="597" spans="1:24" ht="18" customHeight="1" x14ac:dyDescent="0.25">
      <c r="A597" s="186">
        <v>588</v>
      </c>
      <c r="B597" s="173" t="s">
        <v>2382</v>
      </c>
      <c r="C597" s="174">
        <v>42073</v>
      </c>
      <c r="D597" s="175">
        <v>2</v>
      </c>
      <c r="E597" s="175" t="s">
        <v>93</v>
      </c>
      <c r="F597" s="176" t="s">
        <v>2206</v>
      </c>
      <c r="G597" s="175" t="s">
        <v>202</v>
      </c>
      <c r="H597" s="177">
        <v>42073</v>
      </c>
      <c r="I597" s="175" t="s">
        <v>187</v>
      </c>
      <c r="J597" s="175" t="s">
        <v>103</v>
      </c>
      <c r="K597" s="178" t="s">
        <v>2383</v>
      </c>
      <c r="L597" s="177">
        <v>42073</v>
      </c>
      <c r="M597" s="178" t="s">
        <v>1654</v>
      </c>
      <c r="N597" s="178" t="s">
        <v>185</v>
      </c>
      <c r="O597" s="177">
        <v>42074</v>
      </c>
      <c r="P597" s="179">
        <f t="shared" si="675"/>
        <v>1</v>
      </c>
      <c r="Q597" s="180" t="s">
        <v>2384</v>
      </c>
      <c r="R597" s="178" t="s">
        <v>17</v>
      </c>
      <c r="S597" s="178" t="s">
        <v>2385</v>
      </c>
      <c r="T597" s="183" t="s">
        <v>2386</v>
      </c>
      <c r="U597" s="181">
        <v>42075</v>
      </c>
      <c r="V597" s="178" t="s">
        <v>186</v>
      </c>
      <c r="W597" s="182">
        <f t="shared" si="676"/>
        <v>0</v>
      </c>
      <c r="X597" s="182" t="str">
        <f t="shared" si="677"/>
        <v>Correcto</v>
      </c>
    </row>
    <row r="598" spans="1:24" ht="18" customHeight="1" x14ac:dyDescent="0.25">
      <c r="A598" s="186">
        <v>589</v>
      </c>
      <c r="B598" s="173" t="s">
        <v>2387</v>
      </c>
      <c r="C598" s="174">
        <v>42073</v>
      </c>
      <c r="D598" s="175">
        <v>8</v>
      </c>
      <c r="E598" s="175" t="s">
        <v>93</v>
      </c>
      <c r="F598" s="176" t="s">
        <v>2206</v>
      </c>
      <c r="G598" s="175" t="s">
        <v>202</v>
      </c>
      <c r="H598" s="177">
        <v>42073</v>
      </c>
      <c r="I598" s="175" t="s">
        <v>187</v>
      </c>
      <c r="J598" s="175" t="s">
        <v>103</v>
      </c>
      <c r="K598" s="178" t="s">
        <v>2388</v>
      </c>
      <c r="L598" s="177">
        <v>42073</v>
      </c>
      <c r="M598" s="178" t="s">
        <v>1654</v>
      </c>
      <c r="N598" s="178" t="s">
        <v>185</v>
      </c>
      <c r="O598" s="177">
        <v>42074</v>
      </c>
      <c r="P598" s="179">
        <f t="shared" si="675"/>
        <v>1</v>
      </c>
      <c r="Q598" s="180" t="s">
        <v>2389</v>
      </c>
      <c r="R598" s="178" t="s">
        <v>17</v>
      </c>
      <c r="S598" s="178" t="s">
        <v>2390</v>
      </c>
      <c r="T598" s="183" t="s">
        <v>2391</v>
      </c>
      <c r="U598" s="181">
        <v>42074</v>
      </c>
      <c r="V598" s="178" t="s">
        <v>186</v>
      </c>
      <c r="W598" s="182">
        <f t="shared" si="676"/>
        <v>0</v>
      </c>
      <c r="X598" s="182" t="str">
        <f t="shared" si="677"/>
        <v>Correcto</v>
      </c>
    </row>
    <row r="599" spans="1:24" ht="18" customHeight="1" x14ac:dyDescent="0.25">
      <c r="A599" s="186">
        <v>590</v>
      </c>
      <c r="B599" s="173" t="s">
        <v>2392</v>
      </c>
      <c r="C599" s="174">
        <v>42073</v>
      </c>
      <c r="D599" s="175">
        <v>2</v>
      </c>
      <c r="E599" s="175" t="s">
        <v>93</v>
      </c>
      <c r="F599" s="176" t="s">
        <v>2206</v>
      </c>
      <c r="G599" s="175" t="s">
        <v>202</v>
      </c>
      <c r="H599" s="177">
        <v>42073</v>
      </c>
      <c r="I599" s="175" t="s">
        <v>187</v>
      </c>
      <c r="J599" s="175" t="s">
        <v>103</v>
      </c>
      <c r="K599" s="178" t="s">
        <v>2393</v>
      </c>
      <c r="L599" s="177">
        <v>42073</v>
      </c>
      <c r="M599" s="178" t="s">
        <v>1654</v>
      </c>
      <c r="N599" s="178" t="s">
        <v>185</v>
      </c>
      <c r="O599" s="177">
        <v>42074</v>
      </c>
      <c r="P599" s="179">
        <f t="shared" si="675"/>
        <v>1</v>
      </c>
      <c r="Q599" s="180" t="s">
        <v>2394</v>
      </c>
      <c r="R599" s="178" t="s">
        <v>17</v>
      </c>
      <c r="S599" s="178" t="s">
        <v>2395</v>
      </c>
      <c r="T599" s="183" t="s">
        <v>2396</v>
      </c>
      <c r="U599" s="181">
        <v>42075</v>
      </c>
      <c r="V599" s="178" t="s">
        <v>186</v>
      </c>
      <c r="W599" s="182">
        <f t="shared" si="676"/>
        <v>0</v>
      </c>
      <c r="X599" s="182" t="str">
        <f t="shared" si="677"/>
        <v>Correcto</v>
      </c>
    </row>
    <row r="600" spans="1:24" ht="18" customHeight="1" x14ac:dyDescent="0.25">
      <c r="A600" s="186">
        <v>591</v>
      </c>
      <c r="B600" s="173" t="s">
        <v>2397</v>
      </c>
      <c r="C600" s="174">
        <v>42073</v>
      </c>
      <c r="D600" s="175">
        <v>2</v>
      </c>
      <c r="E600" s="175" t="s">
        <v>93</v>
      </c>
      <c r="F600" s="176" t="s">
        <v>2206</v>
      </c>
      <c r="G600" s="175" t="s">
        <v>202</v>
      </c>
      <c r="H600" s="177">
        <v>42073</v>
      </c>
      <c r="I600" s="175" t="s">
        <v>187</v>
      </c>
      <c r="J600" s="175" t="s">
        <v>103</v>
      </c>
      <c r="K600" s="178" t="s">
        <v>2398</v>
      </c>
      <c r="L600" s="177">
        <v>42073</v>
      </c>
      <c r="M600" s="178" t="s">
        <v>1654</v>
      </c>
      <c r="N600" s="178" t="s">
        <v>185</v>
      </c>
      <c r="O600" s="177">
        <v>42074</v>
      </c>
      <c r="P600" s="179">
        <f t="shared" si="675"/>
        <v>1</v>
      </c>
      <c r="Q600" s="180" t="s">
        <v>2399</v>
      </c>
      <c r="R600" s="178" t="s">
        <v>17</v>
      </c>
      <c r="S600" s="178" t="s">
        <v>2400</v>
      </c>
      <c r="T600" s="183" t="s">
        <v>2401</v>
      </c>
      <c r="U600" s="181">
        <v>42075</v>
      </c>
      <c r="V600" s="178" t="s">
        <v>186</v>
      </c>
      <c r="W600" s="182">
        <f t="shared" si="676"/>
        <v>0</v>
      </c>
      <c r="X600" s="182" t="str">
        <f t="shared" si="677"/>
        <v>Correcto</v>
      </c>
    </row>
    <row r="601" spans="1:24" ht="18" customHeight="1" x14ac:dyDescent="0.25">
      <c r="A601" s="186">
        <v>592</v>
      </c>
      <c r="B601" s="173" t="s">
        <v>2402</v>
      </c>
      <c r="C601" s="174">
        <v>42073</v>
      </c>
      <c r="D601" s="175">
        <v>2</v>
      </c>
      <c r="E601" s="175" t="s">
        <v>93</v>
      </c>
      <c r="F601" s="176" t="s">
        <v>2206</v>
      </c>
      <c r="G601" s="175" t="s">
        <v>202</v>
      </c>
      <c r="H601" s="177">
        <v>42073</v>
      </c>
      <c r="I601" s="175" t="s">
        <v>187</v>
      </c>
      <c r="J601" s="175" t="s">
        <v>103</v>
      </c>
      <c r="K601" s="178" t="s">
        <v>2403</v>
      </c>
      <c r="L601" s="177">
        <v>42073</v>
      </c>
      <c r="M601" s="178" t="s">
        <v>1654</v>
      </c>
      <c r="N601" s="178" t="s">
        <v>185</v>
      </c>
      <c r="O601" s="177">
        <v>42074</v>
      </c>
      <c r="P601" s="179">
        <f t="shared" si="675"/>
        <v>1</v>
      </c>
      <c r="Q601" s="180" t="s">
        <v>2404</v>
      </c>
      <c r="R601" s="178" t="s">
        <v>17</v>
      </c>
      <c r="S601" s="178" t="s">
        <v>2405</v>
      </c>
      <c r="T601" s="183" t="s">
        <v>2406</v>
      </c>
      <c r="U601" s="181">
        <v>42075</v>
      </c>
      <c r="V601" s="178" t="s">
        <v>186</v>
      </c>
      <c r="W601" s="182">
        <f t="shared" si="676"/>
        <v>0</v>
      </c>
      <c r="X601" s="182" t="str">
        <f t="shared" si="677"/>
        <v>Correcto</v>
      </c>
    </row>
    <row r="602" spans="1:24" ht="18" customHeight="1" x14ac:dyDescent="0.25">
      <c r="A602" s="186">
        <v>593</v>
      </c>
      <c r="B602" s="173" t="s">
        <v>2407</v>
      </c>
      <c r="C602" s="174">
        <v>42073</v>
      </c>
      <c r="D602" s="175">
        <v>2</v>
      </c>
      <c r="E602" s="175" t="s">
        <v>93</v>
      </c>
      <c r="F602" s="176" t="s">
        <v>2206</v>
      </c>
      <c r="G602" s="175" t="s">
        <v>202</v>
      </c>
      <c r="H602" s="177">
        <v>42073</v>
      </c>
      <c r="I602" s="175" t="s">
        <v>187</v>
      </c>
      <c r="J602" s="175" t="s">
        <v>103</v>
      </c>
      <c r="K602" s="178" t="s">
        <v>2408</v>
      </c>
      <c r="L602" s="177">
        <v>42073</v>
      </c>
      <c r="M602" s="178" t="s">
        <v>1654</v>
      </c>
      <c r="N602" s="178" t="s">
        <v>185</v>
      </c>
      <c r="O602" s="177">
        <v>42074</v>
      </c>
      <c r="P602" s="179">
        <f t="shared" si="675"/>
        <v>1</v>
      </c>
      <c r="Q602" s="180" t="s">
        <v>2409</v>
      </c>
      <c r="R602" s="178" t="s">
        <v>17</v>
      </c>
      <c r="S602" s="178" t="s">
        <v>2410</v>
      </c>
      <c r="T602" s="183" t="s">
        <v>2411</v>
      </c>
      <c r="U602" s="181">
        <v>42074</v>
      </c>
      <c r="V602" s="178" t="s">
        <v>186</v>
      </c>
      <c r="W602" s="182">
        <f t="shared" si="676"/>
        <v>0</v>
      </c>
      <c r="X602" s="182" t="str">
        <f t="shared" si="677"/>
        <v>Correcto</v>
      </c>
    </row>
    <row r="603" spans="1:24" ht="18" customHeight="1" x14ac:dyDescent="0.25">
      <c r="A603" s="186">
        <v>594</v>
      </c>
      <c r="B603" s="173" t="s">
        <v>2412</v>
      </c>
      <c r="C603" s="174">
        <v>42073</v>
      </c>
      <c r="D603" s="175">
        <v>2</v>
      </c>
      <c r="E603" s="175" t="s">
        <v>93</v>
      </c>
      <c r="F603" s="176" t="s">
        <v>2206</v>
      </c>
      <c r="G603" s="175" t="s">
        <v>202</v>
      </c>
      <c r="H603" s="177">
        <v>42074</v>
      </c>
      <c r="I603" s="175" t="s">
        <v>187</v>
      </c>
      <c r="J603" s="175" t="s">
        <v>103</v>
      </c>
      <c r="K603" s="178" t="s">
        <v>2413</v>
      </c>
      <c r="L603" s="177">
        <v>42074</v>
      </c>
      <c r="M603" s="178" t="s">
        <v>1654</v>
      </c>
      <c r="N603" s="178" t="s">
        <v>185</v>
      </c>
      <c r="O603" s="177">
        <v>42079</v>
      </c>
      <c r="P603" s="179">
        <f t="shared" si="675"/>
        <v>6</v>
      </c>
      <c r="Q603" s="180" t="s">
        <v>2414</v>
      </c>
      <c r="R603" s="178" t="s">
        <v>17</v>
      </c>
      <c r="S603" s="178" t="s">
        <v>101</v>
      </c>
      <c r="T603" s="178" t="s">
        <v>953</v>
      </c>
      <c r="U603" s="181">
        <v>42080</v>
      </c>
      <c r="V603" s="178" t="s">
        <v>186</v>
      </c>
      <c r="W603" s="182">
        <f t="shared" si="676"/>
        <v>0</v>
      </c>
      <c r="X603" s="182" t="str">
        <f t="shared" si="677"/>
        <v>Correcto</v>
      </c>
    </row>
    <row r="604" spans="1:24" ht="18" customHeight="1" x14ac:dyDescent="0.25">
      <c r="A604" s="186">
        <v>595</v>
      </c>
      <c r="B604" s="173" t="s">
        <v>2415</v>
      </c>
      <c r="C604" s="174">
        <v>42073</v>
      </c>
      <c r="D604" s="175">
        <v>2</v>
      </c>
      <c r="E604" s="175" t="s">
        <v>93</v>
      </c>
      <c r="F604" s="176" t="s">
        <v>2206</v>
      </c>
      <c r="G604" s="175" t="s">
        <v>202</v>
      </c>
      <c r="H604" s="177">
        <v>42079</v>
      </c>
      <c r="I604" s="175" t="s">
        <v>187</v>
      </c>
      <c r="J604" s="175" t="s">
        <v>103</v>
      </c>
      <c r="K604" s="180" t="s">
        <v>2416</v>
      </c>
      <c r="L604" s="177">
        <v>42079</v>
      </c>
      <c r="M604" s="178" t="s">
        <v>1654</v>
      </c>
      <c r="N604" s="178" t="s">
        <v>185</v>
      </c>
      <c r="O604" s="177">
        <v>42079</v>
      </c>
      <c r="P604" s="179">
        <f t="shared" si="675"/>
        <v>6</v>
      </c>
      <c r="Q604" s="180" t="s">
        <v>2416</v>
      </c>
      <c r="R604" s="178" t="s">
        <v>17</v>
      </c>
      <c r="S604" s="178" t="s">
        <v>101</v>
      </c>
      <c r="T604" s="178" t="s">
        <v>1011</v>
      </c>
      <c r="U604" s="181">
        <v>42080</v>
      </c>
      <c r="V604" s="178" t="s">
        <v>186</v>
      </c>
      <c r="W604" s="182">
        <f t="shared" si="676"/>
        <v>0</v>
      </c>
      <c r="X604" s="182" t="str">
        <f t="shared" si="677"/>
        <v>Correcto</v>
      </c>
    </row>
    <row r="605" spans="1:24" ht="18" customHeight="1" x14ac:dyDescent="0.25">
      <c r="A605" s="186">
        <v>596</v>
      </c>
      <c r="B605" s="173" t="s">
        <v>2417</v>
      </c>
      <c r="C605" s="174">
        <v>42073</v>
      </c>
      <c r="D605" s="175">
        <v>2</v>
      </c>
      <c r="E605" s="175" t="s">
        <v>93</v>
      </c>
      <c r="F605" s="176" t="s">
        <v>2206</v>
      </c>
      <c r="G605" s="175" t="s">
        <v>202</v>
      </c>
      <c r="H605" s="177">
        <v>42076</v>
      </c>
      <c r="I605" s="175" t="s">
        <v>187</v>
      </c>
      <c r="J605" s="175" t="s">
        <v>103</v>
      </c>
      <c r="K605" s="178" t="s">
        <v>2418</v>
      </c>
      <c r="L605" s="177">
        <v>42076</v>
      </c>
      <c r="M605" s="178" t="s">
        <v>1654</v>
      </c>
      <c r="N605" s="178" t="s">
        <v>185</v>
      </c>
      <c r="O605" s="177">
        <v>42079</v>
      </c>
      <c r="P605" s="179">
        <f t="shared" si="675"/>
        <v>6</v>
      </c>
      <c r="Q605" s="180" t="s">
        <v>2419</v>
      </c>
      <c r="R605" s="178" t="s">
        <v>17</v>
      </c>
      <c r="S605" s="178" t="s">
        <v>101</v>
      </c>
      <c r="T605" s="178" t="s">
        <v>953</v>
      </c>
      <c r="U605" s="181">
        <v>42080</v>
      </c>
      <c r="V605" s="178" t="s">
        <v>186</v>
      </c>
      <c r="W605" s="182">
        <f t="shared" si="676"/>
        <v>0</v>
      </c>
      <c r="X605" s="182" t="str">
        <f t="shared" si="677"/>
        <v>Correcto</v>
      </c>
    </row>
    <row r="606" spans="1:24" ht="18" customHeight="1" x14ac:dyDescent="0.25">
      <c r="A606" s="186">
        <v>597</v>
      </c>
      <c r="B606" s="173" t="s">
        <v>2420</v>
      </c>
      <c r="C606" s="174">
        <v>42073</v>
      </c>
      <c r="D606" s="175">
        <v>309</v>
      </c>
      <c r="E606" s="175" t="s">
        <v>93</v>
      </c>
      <c r="F606" s="176" t="s">
        <v>2206</v>
      </c>
      <c r="G606" s="175" t="s">
        <v>202</v>
      </c>
      <c r="H606" s="177">
        <v>42076</v>
      </c>
      <c r="I606" s="175" t="s">
        <v>187</v>
      </c>
      <c r="J606" s="175" t="s">
        <v>103</v>
      </c>
      <c r="K606" s="178" t="s">
        <v>2421</v>
      </c>
      <c r="L606" s="177">
        <v>42076</v>
      </c>
      <c r="M606" s="178" t="s">
        <v>1654</v>
      </c>
      <c r="N606" s="178" t="s">
        <v>185</v>
      </c>
      <c r="O606" s="177">
        <v>42079</v>
      </c>
      <c r="P606" s="179">
        <f t="shared" si="675"/>
        <v>6</v>
      </c>
      <c r="Q606" s="180" t="s">
        <v>2422</v>
      </c>
      <c r="R606" s="178" t="s">
        <v>17</v>
      </c>
      <c r="S606" s="178" t="s">
        <v>2423</v>
      </c>
      <c r="T606" s="183" t="s">
        <v>2424</v>
      </c>
      <c r="U606" s="181">
        <v>42076</v>
      </c>
      <c r="V606" s="178" t="s">
        <v>186</v>
      </c>
      <c r="W606" s="182">
        <f t="shared" si="676"/>
        <v>0</v>
      </c>
      <c r="X606" s="182" t="str">
        <f t="shared" si="677"/>
        <v>Correcto</v>
      </c>
    </row>
    <row r="607" spans="1:24" ht="18" customHeight="1" x14ac:dyDescent="0.25">
      <c r="A607" s="186">
        <v>598</v>
      </c>
      <c r="B607" s="173" t="s">
        <v>2425</v>
      </c>
      <c r="C607" s="174">
        <v>42073</v>
      </c>
      <c r="D607" s="175">
        <v>2</v>
      </c>
      <c r="E607" s="175" t="s">
        <v>93</v>
      </c>
      <c r="F607" s="176" t="s">
        <v>2206</v>
      </c>
      <c r="G607" s="175" t="s">
        <v>202</v>
      </c>
      <c r="H607" s="177">
        <v>42076</v>
      </c>
      <c r="I607" s="175" t="s">
        <v>187</v>
      </c>
      <c r="J607" s="175" t="s">
        <v>103</v>
      </c>
      <c r="K607" s="178" t="s">
        <v>2426</v>
      </c>
      <c r="L607" s="177">
        <v>42076</v>
      </c>
      <c r="M607" s="178" t="s">
        <v>1654</v>
      </c>
      <c r="N607" s="178" t="s">
        <v>185</v>
      </c>
      <c r="O607" s="177">
        <v>42079</v>
      </c>
      <c r="P607" s="179">
        <f t="shared" si="675"/>
        <v>6</v>
      </c>
      <c r="Q607" s="180" t="s">
        <v>2427</v>
      </c>
      <c r="R607" s="178" t="s">
        <v>17</v>
      </c>
      <c r="S607" s="178" t="s">
        <v>101</v>
      </c>
      <c r="T607" s="178" t="s">
        <v>2428</v>
      </c>
      <c r="U607" s="181">
        <v>42080</v>
      </c>
      <c r="V607" s="178" t="s">
        <v>186</v>
      </c>
      <c r="W607" s="182">
        <f t="shared" si="676"/>
        <v>0</v>
      </c>
      <c r="X607" s="182" t="str">
        <f t="shared" si="677"/>
        <v>Correcto</v>
      </c>
    </row>
    <row r="608" spans="1:24" ht="18" customHeight="1" x14ac:dyDescent="0.25">
      <c r="A608" s="186">
        <v>599</v>
      </c>
      <c r="B608" s="173" t="s">
        <v>2429</v>
      </c>
      <c r="C608" s="174">
        <v>42073</v>
      </c>
      <c r="D608" s="175">
        <v>2</v>
      </c>
      <c r="E608" s="175" t="s">
        <v>93</v>
      </c>
      <c r="F608" s="176" t="s">
        <v>2206</v>
      </c>
      <c r="G608" s="175" t="s">
        <v>202</v>
      </c>
      <c r="H608" s="177">
        <v>42076</v>
      </c>
      <c r="I608" s="175" t="s">
        <v>187</v>
      </c>
      <c r="J608" s="175" t="s">
        <v>103</v>
      </c>
      <c r="K608" s="178" t="s">
        <v>2430</v>
      </c>
      <c r="L608" s="177">
        <v>42076</v>
      </c>
      <c r="M608" s="178" t="s">
        <v>1654</v>
      </c>
      <c r="N608" s="178" t="s">
        <v>185</v>
      </c>
      <c r="O608" s="177">
        <v>42079</v>
      </c>
      <c r="P608" s="179">
        <f t="shared" si="675"/>
        <v>6</v>
      </c>
      <c r="Q608" s="180" t="s">
        <v>2431</v>
      </c>
      <c r="R608" s="178" t="s">
        <v>17</v>
      </c>
      <c r="S608" s="178" t="s">
        <v>101</v>
      </c>
      <c r="T608" s="178" t="s">
        <v>1496</v>
      </c>
      <c r="U608" s="181">
        <v>42080</v>
      </c>
      <c r="V608" s="178" t="s">
        <v>186</v>
      </c>
      <c r="W608" s="182">
        <f t="shared" si="676"/>
        <v>0</v>
      </c>
      <c r="X608" s="182" t="str">
        <f t="shared" si="677"/>
        <v>Correcto</v>
      </c>
    </row>
    <row r="609" spans="1:24" ht="18" customHeight="1" x14ac:dyDescent="0.25">
      <c r="A609" s="186">
        <v>600</v>
      </c>
      <c r="B609" s="173" t="s">
        <v>2432</v>
      </c>
      <c r="C609" s="174">
        <v>42074</v>
      </c>
      <c r="D609" s="175">
        <v>2</v>
      </c>
      <c r="E609" s="175" t="s">
        <v>93</v>
      </c>
      <c r="F609" s="176" t="s">
        <v>825</v>
      </c>
      <c r="G609" s="175" t="s">
        <v>202</v>
      </c>
      <c r="H609" s="177">
        <v>42083</v>
      </c>
      <c r="I609" s="175" t="s">
        <v>187</v>
      </c>
      <c r="J609" s="175" t="s">
        <v>103</v>
      </c>
      <c r="K609" s="178" t="s">
        <v>2433</v>
      </c>
      <c r="L609" s="177">
        <v>42083</v>
      </c>
      <c r="M609" s="178" t="s">
        <v>1654</v>
      </c>
      <c r="N609" s="178" t="s">
        <v>185</v>
      </c>
      <c r="O609" s="177">
        <v>42087</v>
      </c>
      <c r="P609" s="179">
        <f t="shared" si="675"/>
        <v>13</v>
      </c>
      <c r="Q609" s="180" t="s">
        <v>2434</v>
      </c>
      <c r="R609" s="178" t="s">
        <v>17</v>
      </c>
      <c r="S609" s="178" t="s">
        <v>101</v>
      </c>
      <c r="T609" s="184">
        <v>1103402911</v>
      </c>
      <c r="U609" s="181">
        <v>42087</v>
      </c>
      <c r="V609" s="178" t="s">
        <v>186</v>
      </c>
      <c r="W609" s="182">
        <f t="shared" si="676"/>
        <v>0</v>
      </c>
      <c r="X609" s="182" t="str">
        <f t="shared" si="677"/>
        <v>Correcto</v>
      </c>
    </row>
    <row r="610" spans="1:24" ht="18" customHeight="1" x14ac:dyDescent="0.25">
      <c r="A610" s="186">
        <v>601</v>
      </c>
      <c r="B610" s="173" t="s">
        <v>2435</v>
      </c>
      <c r="C610" s="174">
        <v>42074</v>
      </c>
      <c r="D610" s="175">
        <v>2</v>
      </c>
      <c r="E610" s="175" t="s">
        <v>93</v>
      </c>
      <c r="F610" s="176" t="s">
        <v>2206</v>
      </c>
      <c r="G610" s="175" t="s">
        <v>202</v>
      </c>
      <c r="H610" s="177">
        <v>42076</v>
      </c>
      <c r="I610" s="175" t="s">
        <v>187</v>
      </c>
      <c r="J610" s="175" t="s">
        <v>103</v>
      </c>
      <c r="K610" s="178" t="s">
        <v>2436</v>
      </c>
      <c r="L610" s="177">
        <v>42076</v>
      </c>
      <c r="M610" s="178" t="s">
        <v>1654</v>
      </c>
      <c r="N610" s="178" t="s">
        <v>185</v>
      </c>
      <c r="O610" s="177">
        <v>42079</v>
      </c>
      <c r="P610" s="179">
        <f t="shared" si="675"/>
        <v>5</v>
      </c>
      <c r="Q610" s="180" t="s">
        <v>2437</v>
      </c>
      <c r="R610" s="178" t="s">
        <v>2438</v>
      </c>
      <c r="S610" s="178" t="s">
        <v>101</v>
      </c>
      <c r="T610" s="178" t="s">
        <v>2439</v>
      </c>
      <c r="U610" s="181">
        <v>42080</v>
      </c>
      <c r="V610" s="178" t="s">
        <v>186</v>
      </c>
      <c r="W610" s="182">
        <f t="shared" si="676"/>
        <v>0</v>
      </c>
      <c r="X610" s="182" t="str">
        <f t="shared" si="677"/>
        <v>Correcto</v>
      </c>
    </row>
    <row r="611" spans="1:24" ht="18" customHeight="1" x14ac:dyDescent="0.25">
      <c r="A611" s="186">
        <v>602</v>
      </c>
      <c r="B611" s="173" t="s">
        <v>2440</v>
      </c>
      <c r="C611" s="174">
        <v>42074</v>
      </c>
      <c r="D611" s="175">
        <v>2</v>
      </c>
      <c r="E611" s="175" t="s">
        <v>93</v>
      </c>
      <c r="F611" s="176" t="s">
        <v>2206</v>
      </c>
      <c r="G611" s="175" t="s">
        <v>202</v>
      </c>
      <c r="H611" s="177">
        <v>42076</v>
      </c>
      <c r="I611" s="175" t="s">
        <v>187</v>
      </c>
      <c r="J611" s="175" t="s">
        <v>103</v>
      </c>
      <c r="K611" s="178" t="s">
        <v>2441</v>
      </c>
      <c r="L611" s="177">
        <v>42076</v>
      </c>
      <c r="M611" s="178" t="s">
        <v>1654</v>
      </c>
      <c r="N611" s="178" t="s">
        <v>185</v>
      </c>
      <c r="O611" s="177">
        <v>42079</v>
      </c>
      <c r="P611" s="179">
        <f t="shared" si="675"/>
        <v>5</v>
      </c>
      <c r="Q611" s="180" t="s">
        <v>2442</v>
      </c>
      <c r="R611" s="178" t="s">
        <v>17</v>
      </c>
      <c r="S611" s="178" t="s">
        <v>2443</v>
      </c>
      <c r="T611" s="183" t="s">
        <v>2444</v>
      </c>
      <c r="U611" s="181">
        <v>42079</v>
      </c>
      <c r="V611" s="178" t="s">
        <v>186</v>
      </c>
      <c r="W611" s="182">
        <f t="shared" si="676"/>
        <v>0</v>
      </c>
      <c r="X611" s="182" t="str">
        <f t="shared" si="677"/>
        <v>Correcto</v>
      </c>
    </row>
    <row r="612" spans="1:24" ht="18" customHeight="1" x14ac:dyDescent="0.25">
      <c r="A612" s="186">
        <v>603</v>
      </c>
      <c r="B612" s="173" t="s">
        <v>2445</v>
      </c>
      <c r="C612" s="174">
        <v>42074</v>
      </c>
      <c r="D612" s="175">
        <v>2</v>
      </c>
      <c r="E612" s="175" t="s">
        <v>93</v>
      </c>
      <c r="F612" s="176" t="s">
        <v>2206</v>
      </c>
      <c r="G612" s="175" t="s">
        <v>202</v>
      </c>
      <c r="H612" s="177">
        <v>42075</v>
      </c>
      <c r="I612" s="175" t="s">
        <v>187</v>
      </c>
      <c r="J612" s="175" t="s">
        <v>103</v>
      </c>
      <c r="K612" s="178" t="s">
        <v>2446</v>
      </c>
      <c r="L612" s="177">
        <v>42075</v>
      </c>
      <c r="M612" s="178" t="s">
        <v>1654</v>
      </c>
      <c r="N612" s="178" t="s">
        <v>185</v>
      </c>
      <c r="O612" s="177">
        <v>42079</v>
      </c>
      <c r="P612" s="179">
        <f t="shared" si="675"/>
        <v>5</v>
      </c>
      <c r="Q612" s="180" t="s">
        <v>2447</v>
      </c>
      <c r="R612" s="178" t="s">
        <v>17</v>
      </c>
      <c r="S612" s="178" t="s">
        <v>2448</v>
      </c>
      <c r="T612" s="183" t="s">
        <v>2449</v>
      </c>
      <c r="U612" s="181">
        <v>42079</v>
      </c>
      <c r="V612" s="178" t="s">
        <v>186</v>
      </c>
      <c r="W612" s="182">
        <f t="shared" si="676"/>
        <v>0</v>
      </c>
      <c r="X612" s="182" t="str">
        <f t="shared" si="677"/>
        <v>Correcto</v>
      </c>
    </row>
    <row r="613" spans="1:24" ht="18" customHeight="1" x14ac:dyDescent="0.25">
      <c r="A613" s="186">
        <v>604</v>
      </c>
      <c r="B613" s="173" t="s">
        <v>2450</v>
      </c>
      <c r="C613" s="174">
        <v>42074</v>
      </c>
      <c r="D613" s="175">
        <v>2</v>
      </c>
      <c r="E613" s="175" t="s">
        <v>93</v>
      </c>
      <c r="F613" s="176" t="s">
        <v>2206</v>
      </c>
      <c r="G613" s="175" t="s">
        <v>202</v>
      </c>
      <c r="H613" s="177">
        <v>42076</v>
      </c>
      <c r="I613" s="175" t="s">
        <v>187</v>
      </c>
      <c r="J613" s="175" t="s">
        <v>103</v>
      </c>
      <c r="K613" s="178" t="s">
        <v>2451</v>
      </c>
      <c r="L613" s="177">
        <v>42076</v>
      </c>
      <c r="M613" s="178" t="s">
        <v>1654</v>
      </c>
      <c r="N613" s="178" t="s">
        <v>185</v>
      </c>
      <c r="O613" s="177">
        <v>42079</v>
      </c>
      <c r="P613" s="179">
        <f t="shared" si="675"/>
        <v>5</v>
      </c>
      <c r="Q613" s="180" t="s">
        <v>2452</v>
      </c>
      <c r="R613" s="178" t="s">
        <v>17</v>
      </c>
      <c r="S613" s="178" t="s">
        <v>2453</v>
      </c>
      <c r="T613" s="183" t="s">
        <v>2454</v>
      </c>
      <c r="U613" s="181">
        <v>42079</v>
      </c>
      <c r="V613" s="178" t="s">
        <v>186</v>
      </c>
      <c r="W613" s="182">
        <f t="shared" si="676"/>
        <v>0</v>
      </c>
      <c r="X613" s="182" t="str">
        <f t="shared" si="677"/>
        <v>Correcto</v>
      </c>
    </row>
    <row r="614" spans="1:24" ht="18" customHeight="1" x14ac:dyDescent="0.25">
      <c r="A614" s="186">
        <v>605</v>
      </c>
      <c r="B614" s="173" t="s">
        <v>2455</v>
      </c>
      <c r="C614" s="174">
        <v>42074</v>
      </c>
      <c r="D614" s="175">
        <v>2</v>
      </c>
      <c r="E614" s="175" t="s">
        <v>93</v>
      </c>
      <c r="F614" s="176" t="s">
        <v>2206</v>
      </c>
      <c r="G614" s="175" t="s">
        <v>202</v>
      </c>
      <c r="H614" s="177">
        <v>42076</v>
      </c>
      <c r="I614" s="175" t="s">
        <v>187</v>
      </c>
      <c r="J614" s="175" t="s">
        <v>103</v>
      </c>
      <c r="K614" s="178" t="s">
        <v>2456</v>
      </c>
      <c r="L614" s="177">
        <v>42076</v>
      </c>
      <c r="M614" s="178" t="s">
        <v>1654</v>
      </c>
      <c r="N614" s="178" t="s">
        <v>185</v>
      </c>
      <c r="O614" s="177">
        <v>42079</v>
      </c>
      <c r="P614" s="179">
        <f t="shared" si="675"/>
        <v>5</v>
      </c>
      <c r="Q614" s="180" t="s">
        <v>2457</v>
      </c>
      <c r="R614" s="178" t="s">
        <v>17</v>
      </c>
      <c r="S614" s="178" t="s">
        <v>101</v>
      </c>
      <c r="T614" s="178" t="s">
        <v>2458</v>
      </c>
      <c r="U614" s="181">
        <v>42080</v>
      </c>
      <c r="V614" s="178" t="s">
        <v>186</v>
      </c>
      <c r="W614" s="182">
        <f t="shared" si="676"/>
        <v>0</v>
      </c>
      <c r="X614" s="182" t="str">
        <f t="shared" si="677"/>
        <v>Correcto</v>
      </c>
    </row>
    <row r="615" spans="1:24" ht="18" customHeight="1" x14ac:dyDescent="0.25">
      <c r="A615" s="186">
        <v>606</v>
      </c>
      <c r="B615" s="173" t="s">
        <v>2459</v>
      </c>
      <c r="C615" s="174">
        <v>42074</v>
      </c>
      <c r="D615" s="175">
        <v>10</v>
      </c>
      <c r="E615" s="175" t="s">
        <v>93</v>
      </c>
      <c r="F615" s="176" t="s">
        <v>1914</v>
      </c>
      <c r="G615" s="175" t="s">
        <v>202</v>
      </c>
      <c r="H615" s="177">
        <v>42087</v>
      </c>
      <c r="I615" s="175" t="s">
        <v>187</v>
      </c>
      <c r="J615" s="175" t="s">
        <v>103</v>
      </c>
      <c r="K615" s="180" t="s">
        <v>2460</v>
      </c>
      <c r="L615" s="177">
        <v>42087</v>
      </c>
      <c r="M615" s="178" t="s">
        <v>1654</v>
      </c>
      <c r="N615" s="178" t="s">
        <v>185</v>
      </c>
      <c r="O615" s="177">
        <v>42087</v>
      </c>
      <c r="P615" s="179">
        <f t="shared" si="675"/>
        <v>13</v>
      </c>
      <c r="Q615" s="180" t="s">
        <v>2460</v>
      </c>
      <c r="R615" s="178" t="s">
        <v>17</v>
      </c>
      <c r="S615" s="178" t="s">
        <v>2461</v>
      </c>
      <c r="T615" s="183" t="s">
        <v>2462</v>
      </c>
      <c r="U615" s="181">
        <v>42090</v>
      </c>
      <c r="V615" s="178" t="s">
        <v>186</v>
      </c>
      <c r="W615" s="182">
        <f t="shared" si="676"/>
        <v>0</v>
      </c>
      <c r="X615" s="182" t="str">
        <f t="shared" si="677"/>
        <v>Correcto</v>
      </c>
    </row>
    <row r="616" spans="1:24" ht="18" customHeight="1" x14ac:dyDescent="0.25">
      <c r="A616" s="186">
        <v>607</v>
      </c>
      <c r="B616" s="173" t="s">
        <v>2463</v>
      </c>
      <c r="C616" s="174">
        <v>42074</v>
      </c>
      <c r="D616" s="175">
        <v>44</v>
      </c>
      <c r="E616" s="175" t="s">
        <v>93</v>
      </c>
      <c r="F616" s="176" t="s">
        <v>2206</v>
      </c>
      <c r="G616" s="175" t="s">
        <v>202</v>
      </c>
      <c r="H616" s="177">
        <v>42079</v>
      </c>
      <c r="I616" s="175" t="s">
        <v>187</v>
      </c>
      <c r="J616" s="175" t="s">
        <v>103</v>
      </c>
      <c r="K616" s="178" t="s">
        <v>2464</v>
      </c>
      <c r="L616" s="177">
        <v>42079</v>
      </c>
      <c r="M616" s="178" t="s">
        <v>1654</v>
      </c>
      <c r="N616" s="178" t="s">
        <v>185</v>
      </c>
      <c r="O616" s="177">
        <v>42080</v>
      </c>
      <c r="P616" s="179">
        <f t="shared" si="675"/>
        <v>6</v>
      </c>
      <c r="Q616" s="180" t="s">
        <v>2465</v>
      </c>
      <c r="R616" s="178" t="s">
        <v>17</v>
      </c>
      <c r="S616" s="178" t="s">
        <v>101</v>
      </c>
      <c r="T616" s="178" t="s">
        <v>1024</v>
      </c>
      <c r="U616" s="181">
        <v>42080</v>
      </c>
      <c r="V616" s="178" t="s">
        <v>186</v>
      </c>
      <c r="W616" s="182">
        <f t="shared" si="676"/>
        <v>0</v>
      </c>
      <c r="X616" s="182" t="str">
        <f t="shared" si="677"/>
        <v>Correcto</v>
      </c>
    </row>
    <row r="617" spans="1:24" ht="18" customHeight="1" x14ac:dyDescent="0.25">
      <c r="A617" s="186">
        <v>608</v>
      </c>
      <c r="B617" s="173" t="s">
        <v>2466</v>
      </c>
      <c r="C617" s="174">
        <v>42074</v>
      </c>
      <c r="D617" s="175">
        <v>2</v>
      </c>
      <c r="E617" s="175" t="s">
        <v>93</v>
      </c>
      <c r="F617" s="176" t="s">
        <v>2206</v>
      </c>
      <c r="G617" s="175" t="s">
        <v>202</v>
      </c>
      <c r="H617" s="177">
        <v>42079</v>
      </c>
      <c r="I617" s="175" t="s">
        <v>187</v>
      </c>
      <c r="J617" s="175" t="s">
        <v>103</v>
      </c>
      <c r="K617" s="178" t="s">
        <v>2467</v>
      </c>
      <c r="L617" s="177">
        <v>42079</v>
      </c>
      <c r="M617" s="178" t="s">
        <v>1654</v>
      </c>
      <c r="N617" s="178" t="s">
        <v>185</v>
      </c>
      <c r="O617" s="177">
        <v>42080</v>
      </c>
      <c r="P617" s="179">
        <f t="shared" si="675"/>
        <v>6</v>
      </c>
      <c r="Q617" s="180" t="s">
        <v>2468</v>
      </c>
      <c r="R617" s="178" t="s">
        <v>17</v>
      </c>
      <c r="S617" s="178" t="s">
        <v>101</v>
      </c>
      <c r="T617" s="178" t="s">
        <v>1024</v>
      </c>
      <c r="U617" s="181">
        <v>42080</v>
      </c>
      <c r="V617" s="178" t="s">
        <v>186</v>
      </c>
      <c r="W617" s="182">
        <f t="shared" si="676"/>
        <v>0</v>
      </c>
      <c r="X617" s="182" t="str">
        <f t="shared" si="677"/>
        <v>Correcto</v>
      </c>
    </row>
    <row r="618" spans="1:24" ht="18" customHeight="1" x14ac:dyDescent="0.25">
      <c r="A618" s="186">
        <v>609</v>
      </c>
      <c r="B618" s="173" t="s">
        <v>2469</v>
      </c>
      <c r="C618" s="174">
        <v>42074</v>
      </c>
      <c r="D618" s="175">
        <v>2</v>
      </c>
      <c r="E618" s="175" t="s">
        <v>93</v>
      </c>
      <c r="F618" s="176" t="s">
        <v>2206</v>
      </c>
      <c r="G618" s="175" t="s">
        <v>202</v>
      </c>
      <c r="H618" s="177">
        <v>42076</v>
      </c>
      <c r="I618" s="175" t="s">
        <v>187</v>
      </c>
      <c r="J618" s="175" t="s">
        <v>103</v>
      </c>
      <c r="K618" s="178" t="s">
        <v>2470</v>
      </c>
      <c r="L618" s="177">
        <v>42076</v>
      </c>
      <c r="M618" s="178" t="s">
        <v>1654</v>
      </c>
      <c r="N618" s="178" t="s">
        <v>185</v>
      </c>
      <c r="O618" s="177">
        <v>42079</v>
      </c>
      <c r="P618" s="179">
        <f t="shared" si="675"/>
        <v>5</v>
      </c>
      <c r="Q618" s="180" t="s">
        <v>2471</v>
      </c>
      <c r="R618" s="178" t="s">
        <v>17</v>
      </c>
      <c r="S618" s="178" t="s">
        <v>101</v>
      </c>
      <c r="T618" s="178" t="s">
        <v>1150</v>
      </c>
      <c r="U618" s="181">
        <v>42080</v>
      </c>
      <c r="V618" s="178" t="s">
        <v>186</v>
      </c>
      <c r="W618" s="182">
        <f t="shared" si="676"/>
        <v>0</v>
      </c>
      <c r="X618" s="182" t="str">
        <f t="shared" si="677"/>
        <v>Correcto</v>
      </c>
    </row>
    <row r="619" spans="1:24" ht="18" customHeight="1" x14ac:dyDescent="0.25">
      <c r="A619" s="186">
        <v>610</v>
      </c>
      <c r="B619" s="173" t="s">
        <v>2472</v>
      </c>
      <c r="C619" s="174">
        <v>42074</v>
      </c>
      <c r="D619" s="175">
        <v>16</v>
      </c>
      <c r="E619" s="175" t="s">
        <v>93</v>
      </c>
      <c r="F619" s="176" t="s">
        <v>825</v>
      </c>
      <c r="G619" s="175" t="s">
        <v>202</v>
      </c>
      <c r="H619" s="177">
        <v>42083</v>
      </c>
      <c r="I619" s="175" t="s">
        <v>187</v>
      </c>
      <c r="J619" s="175" t="s">
        <v>103</v>
      </c>
      <c r="K619" s="178" t="s">
        <v>2473</v>
      </c>
      <c r="L619" s="177">
        <v>42083</v>
      </c>
      <c r="M619" s="178" t="s">
        <v>1654</v>
      </c>
      <c r="N619" s="178" t="s">
        <v>185</v>
      </c>
      <c r="O619" s="177">
        <v>42083</v>
      </c>
      <c r="P619" s="179">
        <f t="shared" si="675"/>
        <v>9</v>
      </c>
      <c r="Q619" s="180" t="s">
        <v>2474</v>
      </c>
      <c r="R619" s="178" t="s">
        <v>17</v>
      </c>
      <c r="S619" s="178" t="s">
        <v>101</v>
      </c>
      <c r="T619" s="178" t="s">
        <v>1150</v>
      </c>
      <c r="U619" s="181">
        <v>42078</v>
      </c>
      <c r="V619" s="178" t="s">
        <v>186</v>
      </c>
      <c r="W619" s="182">
        <f t="shared" si="676"/>
        <v>0</v>
      </c>
      <c r="X619" s="182" t="str">
        <f t="shared" si="677"/>
        <v>Correcto</v>
      </c>
    </row>
    <row r="620" spans="1:24" ht="18" customHeight="1" x14ac:dyDescent="0.25">
      <c r="A620" s="186">
        <v>611</v>
      </c>
      <c r="B620" s="173" t="s">
        <v>2475</v>
      </c>
      <c r="C620" s="174">
        <v>42074</v>
      </c>
      <c r="D620" s="175">
        <v>2</v>
      </c>
      <c r="E620" s="175" t="s">
        <v>93</v>
      </c>
      <c r="F620" s="176" t="s">
        <v>2206</v>
      </c>
      <c r="G620" s="175" t="s">
        <v>202</v>
      </c>
      <c r="H620" s="177">
        <v>42082</v>
      </c>
      <c r="I620" s="175" t="s">
        <v>187</v>
      </c>
      <c r="J620" s="175" t="s">
        <v>103</v>
      </c>
      <c r="K620" s="178" t="s">
        <v>2476</v>
      </c>
      <c r="L620" s="177">
        <v>42082</v>
      </c>
      <c r="M620" s="178" t="s">
        <v>1654</v>
      </c>
      <c r="N620" s="178" t="s">
        <v>185</v>
      </c>
      <c r="O620" s="177">
        <v>42082</v>
      </c>
      <c r="P620" s="179">
        <f t="shared" si="675"/>
        <v>8</v>
      </c>
      <c r="Q620" s="180" t="s">
        <v>2477</v>
      </c>
      <c r="R620" s="178" t="s">
        <v>17</v>
      </c>
      <c r="S620" s="178" t="s">
        <v>101</v>
      </c>
      <c r="T620" s="178" t="s">
        <v>2258</v>
      </c>
      <c r="U620" s="181">
        <v>42083</v>
      </c>
      <c r="V620" s="178" t="s">
        <v>186</v>
      </c>
      <c r="W620" s="182">
        <f t="shared" si="676"/>
        <v>0</v>
      </c>
      <c r="X620" s="182" t="str">
        <f t="shared" si="677"/>
        <v>Correcto</v>
      </c>
    </row>
    <row r="621" spans="1:24" ht="18" customHeight="1" x14ac:dyDescent="0.25">
      <c r="A621" s="186">
        <v>612</v>
      </c>
      <c r="B621" s="173" t="s">
        <v>2478</v>
      </c>
      <c r="C621" s="174">
        <v>42074</v>
      </c>
      <c r="D621" s="175">
        <v>2</v>
      </c>
      <c r="E621" s="175" t="s">
        <v>93</v>
      </c>
      <c r="F621" s="176" t="s">
        <v>2206</v>
      </c>
      <c r="G621" s="175" t="s">
        <v>202</v>
      </c>
      <c r="H621" s="177">
        <v>42081</v>
      </c>
      <c r="I621" s="175" t="s">
        <v>187</v>
      </c>
      <c r="J621" s="175" t="s">
        <v>103</v>
      </c>
      <c r="K621" s="178" t="s">
        <v>2479</v>
      </c>
      <c r="L621" s="177">
        <v>42081</v>
      </c>
      <c r="M621" s="178" t="s">
        <v>1654</v>
      </c>
      <c r="N621" s="178" t="s">
        <v>185</v>
      </c>
      <c r="O621" s="177">
        <v>42082</v>
      </c>
      <c r="P621" s="179">
        <f t="shared" si="675"/>
        <v>8</v>
      </c>
      <c r="Q621" s="180" t="s">
        <v>2480</v>
      </c>
      <c r="R621" s="178" t="s">
        <v>17</v>
      </c>
      <c r="S621" s="178" t="s">
        <v>2481</v>
      </c>
      <c r="T621" s="183" t="s">
        <v>2482</v>
      </c>
      <c r="U621" s="181">
        <v>42083</v>
      </c>
      <c r="V621" s="178" t="s">
        <v>186</v>
      </c>
      <c r="W621" s="182">
        <f t="shared" si="676"/>
        <v>0</v>
      </c>
      <c r="X621" s="182" t="str">
        <f t="shared" si="677"/>
        <v>Correcto</v>
      </c>
    </row>
    <row r="622" spans="1:24" ht="18" customHeight="1" x14ac:dyDescent="0.25">
      <c r="A622" s="186">
        <v>613</v>
      </c>
      <c r="B622" s="173" t="s">
        <v>2483</v>
      </c>
      <c r="C622" s="174">
        <v>42074</v>
      </c>
      <c r="D622" s="175">
        <v>11</v>
      </c>
      <c r="E622" s="175" t="s">
        <v>93</v>
      </c>
      <c r="F622" s="176" t="s">
        <v>2206</v>
      </c>
      <c r="G622" s="175" t="s">
        <v>202</v>
      </c>
      <c r="H622" s="177">
        <v>42079</v>
      </c>
      <c r="I622" s="175" t="s">
        <v>187</v>
      </c>
      <c r="J622" s="175" t="s">
        <v>103</v>
      </c>
      <c r="K622" s="178" t="s">
        <v>2484</v>
      </c>
      <c r="L622" s="177">
        <v>42079</v>
      </c>
      <c r="M622" s="178" t="s">
        <v>1654</v>
      </c>
      <c r="N622" s="178" t="s">
        <v>185</v>
      </c>
      <c r="O622" s="177">
        <v>42080</v>
      </c>
      <c r="P622" s="179">
        <f t="shared" si="675"/>
        <v>6</v>
      </c>
      <c r="Q622" s="180" t="s">
        <v>2485</v>
      </c>
      <c r="R622" s="178" t="s">
        <v>17</v>
      </c>
      <c r="S622" s="178" t="s">
        <v>2486</v>
      </c>
      <c r="T622" s="183" t="s">
        <v>2487</v>
      </c>
      <c r="U622" s="181">
        <v>42080</v>
      </c>
      <c r="V622" s="178" t="s">
        <v>186</v>
      </c>
      <c r="W622" s="182">
        <f t="shared" si="676"/>
        <v>0</v>
      </c>
      <c r="X622" s="182" t="str">
        <f t="shared" si="677"/>
        <v>Correcto</v>
      </c>
    </row>
    <row r="623" spans="1:24" ht="18" customHeight="1" x14ac:dyDescent="0.25">
      <c r="A623" s="186">
        <v>614</v>
      </c>
      <c r="B623" s="173" t="s">
        <v>2488</v>
      </c>
      <c r="C623" s="174">
        <v>42074</v>
      </c>
      <c r="D623" s="175">
        <v>2</v>
      </c>
      <c r="E623" s="175" t="s">
        <v>93</v>
      </c>
      <c r="F623" s="176" t="s">
        <v>2206</v>
      </c>
      <c r="G623" s="175" t="s">
        <v>202</v>
      </c>
      <c r="H623" s="177">
        <v>42079</v>
      </c>
      <c r="I623" s="175" t="s">
        <v>187</v>
      </c>
      <c r="J623" s="175" t="s">
        <v>103</v>
      </c>
      <c r="K623" s="178" t="s">
        <v>2489</v>
      </c>
      <c r="L623" s="177">
        <v>42079</v>
      </c>
      <c r="M623" s="178" t="s">
        <v>1654</v>
      </c>
      <c r="N623" s="178" t="s">
        <v>185</v>
      </c>
      <c r="O623" s="177">
        <v>42080</v>
      </c>
      <c r="P623" s="179">
        <f t="shared" si="675"/>
        <v>6</v>
      </c>
      <c r="Q623" s="180" t="s">
        <v>2490</v>
      </c>
      <c r="R623" s="178" t="s">
        <v>17</v>
      </c>
      <c r="S623" s="178" t="s">
        <v>101</v>
      </c>
      <c r="T623" s="178" t="s">
        <v>2458</v>
      </c>
      <c r="U623" s="181">
        <v>42080</v>
      </c>
      <c r="V623" s="178" t="s">
        <v>186</v>
      </c>
      <c r="W623" s="182">
        <f t="shared" si="676"/>
        <v>0</v>
      </c>
      <c r="X623" s="182" t="str">
        <f t="shared" si="677"/>
        <v>Correcto</v>
      </c>
    </row>
    <row r="624" spans="1:24" ht="18" customHeight="1" x14ac:dyDescent="0.25">
      <c r="A624" s="186">
        <v>615</v>
      </c>
      <c r="B624" s="173" t="s">
        <v>2491</v>
      </c>
      <c r="C624" s="174">
        <v>42074</v>
      </c>
      <c r="D624" s="175">
        <v>2</v>
      </c>
      <c r="E624" s="175" t="s">
        <v>93</v>
      </c>
      <c r="F624" s="176" t="s">
        <v>2206</v>
      </c>
      <c r="G624" s="175" t="s">
        <v>202</v>
      </c>
      <c r="H624" s="177">
        <v>42079</v>
      </c>
      <c r="I624" s="175" t="s">
        <v>187</v>
      </c>
      <c r="J624" s="175" t="s">
        <v>103</v>
      </c>
      <c r="K624" s="178" t="s">
        <v>2492</v>
      </c>
      <c r="L624" s="177">
        <v>42079</v>
      </c>
      <c r="M624" s="178" t="s">
        <v>1654</v>
      </c>
      <c r="N624" s="178" t="s">
        <v>185</v>
      </c>
      <c r="O624" s="177">
        <v>42080</v>
      </c>
      <c r="P624" s="179">
        <f t="shared" si="675"/>
        <v>6</v>
      </c>
      <c r="Q624" s="180" t="s">
        <v>2493</v>
      </c>
      <c r="R624" s="178" t="s">
        <v>17</v>
      </c>
      <c r="S624" s="178" t="s">
        <v>101</v>
      </c>
      <c r="T624" s="178" t="s">
        <v>953</v>
      </c>
      <c r="U624" s="181">
        <v>42080</v>
      </c>
      <c r="V624" s="178" t="s">
        <v>186</v>
      </c>
      <c r="W624" s="182">
        <f t="shared" si="676"/>
        <v>0</v>
      </c>
      <c r="X624" s="182" t="str">
        <f t="shared" si="677"/>
        <v>Correcto</v>
      </c>
    </row>
    <row r="625" spans="1:24" ht="18" customHeight="1" x14ac:dyDescent="0.25">
      <c r="A625" s="186">
        <v>616</v>
      </c>
      <c r="B625" s="173" t="s">
        <v>2494</v>
      </c>
      <c r="C625" s="174">
        <v>42074</v>
      </c>
      <c r="D625" s="175">
        <v>2</v>
      </c>
      <c r="E625" s="175" t="s">
        <v>93</v>
      </c>
      <c r="F625" s="176" t="s">
        <v>2206</v>
      </c>
      <c r="G625" s="175" t="s">
        <v>202</v>
      </c>
      <c r="H625" s="177">
        <v>42076</v>
      </c>
      <c r="I625" s="175" t="s">
        <v>187</v>
      </c>
      <c r="J625" s="175" t="s">
        <v>103</v>
      </c>
      <c r="K625" s="178" t="s">
        <v>2495</v>
      </c>
      <c r="L625" s="177">
        <v>42076</v>
      </c>
      <c r="M625" s="178" t="s">
        <v>1654</v>
      </c>
      <c r="N625" s="178" t="s">
        <v>185</v>
      </c>
      <c r="O625" s="177">
        <v>42080</v>
      </c>
      <c r="P625" s="179">
        <f t="shared" si="675"/>
        <v>6</v>
      </c>
      <c r="Q625" s="180" t="s">
        <v>2496</v>
      </c>
      <c r="R625" s="178" t="s">
        <v>17</v>
      </c>
      <c r="S625" s="178" t="s">
        <v>101</v>
      </c>
      <c r="T625" s="178" t="s">
        <v>953</v>
      </c>
      <c r="U625" s="181">
        <v>42080</v>
      </c>
      <c r="V625" s="178" t="s">
        <v>186</v>
      </c>
      <c r="W625" s="182">
        <f t="shared" si="676"/>
        <v>0</v>
      </c>
      <c r="X625" s="182" t="str">
        <f t="shared" si="677"/>
        <v>Correcto</v>
      </c>
    </row>
    <row r="626" spans="1:24" ht="18" customHeight="1" x14ac:dyDescent="0.25">
      <c r="A626" s="186">
        <v>617</v>
      </c>
      <c r="B626" s="173" t="s">
        <v>2497</v>
      </c>
      <c r="C626" s="174">
        <v>42075</v>
      </c>
      <c r="D626" s="175">
        <v>2</v>
      </c>
      <c r="E626" s="175" t="s">
        <v>93</v>
      </c>
      <c r="F626" s="176" t="s">
        <v>2206</v>
      </c>
      <c r="G626" s="175" t="s">
        <v>202</v>
      </c>
      <c r="H626" s="177">
        <v>42076</v>
      </c>
      <c r="I626" s="175" t="s">
        <v>187</v>
      </c>
      <c r="J626" s="175" t="s">
        <v>103</v>
      </c>
      <c r="K626" s="178" t="s">
        <v>2498</v>
      </c>
      <c r="L626" s="177">
        <v>42076</v>
      </c>
      <c r="M626" s="178" t="s">
        <v>1654</v>
      </c>
      <c r="N626" s="178" t="s">
        <v>185</v>
      </c>
      <c r="O626" s="177">
        <v>42080</v>
      </c>
      <c r="P626" s="179">
        <f t="shared" si="675"/>
        <v>5</v>
      </c>
      <c r="Q626" s="180" t="s">
        <v>2499</v>
      </c>
      <c r="R626" s="178" t="s">
        <v>17</v>
      </c>
      <c r="S626" s="178" t="s">
        <v>2500</v>
      </c>
      <c r="T626" s="183" t="s">
        <v>2501</v>
      </c>
      <c r="U626" s="181">
        <v>42080</v>
      </c>
      <c r="V626" s="178" t="s">
        <v>186</v>
      </c>
      <c r="W626" s="182">
        <f t="shared" si="676"/>
        <v>0</v>
      </c>
      <c r="X626" s="182" t="str">
        <f t="shared" si="677"/>
        <v>Correcto</v>
      </c>
    </row>
    <row r="627" spans="1:24" ht="18" customHeight="1" x14ac:dyDescent="0.25">
      <c r="A627" s="186">
        <v>618</v>
      </c>
      <c r="B627" s="173" t="s">
        <v>2502</v>
      </c>
      <c r="C627" s="174">
        <v>42075</v>
      </c>
      <c r="D627" s="175">
        <v>2</v>
      </c>
      <c r="E627" s="175" t="s">
        <v>93</v>
      </c>
      <c r="F627" s="176" t="s">
        <v>2206</v>
      </c>
      <c r="G627" s="175" t="s">
        <v>202</v>
      </c>
      <c r="H627" s="177">
        <v>42076</v>
      </c>
      <c r="I627" s="175" t="s">
        <v>187</v>
      </c>
      <c r="J627" s="175" t="s">
        <v>103</v>
      </c>
      <c r="K627" s="178" t="s">
        <v>2503</v>
      </c>
      <c r="L627" s="177">
        <v>42076</v>
      </c>
      <c r="M627" s="178" t="s">
        <v>1654</v>
      </c>
      <c r="N627" s="178" t="s">
        <v>185</v>
      </c>
      <c r="O627" s="177">
        <v>42080</v>
      </c>
      <c r="P627" s="179">
        <f t="shared" si="675"/>
        <v>5</v>
      </c>
      <c r="Q627" s="180" t="s">
        <v>2504</v>
      </c>
      <c r="R627" s="178" t="s">
        <v>17</v>
      </c>
      <c r="S627" s="178" t="s">
        <v>101</v>
      </c>
      <c r="T627" s="178" t="s">
        <v>2458</v>
      </c>
      <c r="U627" s="181">
        <v>42080</v>
      </c>
      <c r="V627" s="178" t="s">
        <v>186</v>
      </c>
      <c r="W627" s="182">
        <f t="shared" si="676"/>
        <v>0</v>
      </c>
      <c r="X627" s="182" t="str">
        <f t="shared" si="677"/>
        <v>Correcto</v>
      </c>
    </row>
    <row r="628" spans="1:24" ht="18" customHeight="1" x14ac:dyDescent="0.25">
      <c r="A628" s="186">
        <v>619</v>
      </c>
      <c r="B628" s="173" t="s">
        <v>2505</v>
      </c>
      <c r="C628" s="174">
        <v>42075</v>
      </c>
      <c r="D628" s="175">
        <v>2</v>
      </c>
      <c r="E628" s="175" t="s">
        <v>93</v>
      </c>
      <c r="F628" s="176" t="s">
        <v>2206</v>
      </c>
      <c r="G628" s="175" t="s">
        <v>202</v>
      </c>
      <c r="H628" s="177">
        <v>42076</v>
      </c>
      <c r="I628" s="175" t="s">
        <v>187</v>
      </c>
      <c r="J628" s="175" t="s">
        <v>103</v>
      </c>
      <c r="K628" s="178" t="s">
        <v>2506</v>
      </c>
      <c r="L628" s="177">
        <v>42076</v>
      </c>
      <c r="M628" s="178" t="s">
        <v>1654</v>
      </c>
      <c r="N628" s="178" t="s">
        <v>185</v>
      </c>
      <c r="O628" s="177">
        <v>42080</v>
      </c>
      <c r="P628" s="179">
        <f t="shared" si="675"/>
        <v>5</v>
      </c>
      <c r="Q628" s="180" t="s">
        <v>2507</v>
      </c>
      <c r="R628" s="178" t="s">
        <v>17</v>
      </c>
      <c r="S628" s="178" t="s">
        <v>2508</v>
      </c>
      <c r="T628" s="183" t="s">
        <v>2509</v>
      </c>
      <c r="U628" s="181">
        <v>42080</v>
      </c>
      <c r="V628" s="178" t="s">
        <v>186</v>
      </c>
      <c r="W628" s="182">
        <f t="shared" si="676"/>
        <v>0</v>
      </c>
      <c r="X628" s="182" t="str">
        <f t="shared" si="677"/>
        <v>Correcto</v>
      </c>
    </row>
    <row r="629" spans="1:24" ht="18" customHeight="1" x14ac:dyDescent="0.25">
      <c r="A629" s="186">
        <v>620</v>
      </c>
      <c r="B629" s="173" t="s">
        <v>2510</v>
      </c>
      <c r="C629" s="174">
        <v>42075</v>
      </c>
      <c r="D629" s="175">
        <v>2</v>
      </c>
      <c r="E629" s="175" t="s">
        <v>93</v>
      </c>
      <c r="F629" s="176" t="s">
        <v>2206</v>
      </c>
      <c r="G629" s="175" t="s">
        <v>202</v>
      </c>
      <c r="H629" s="177">
        <v>42076</v>
      </c>
      <c r="I629" s="175" t="s">
        <v>187</v>
      </c>
      <c r="J629" s="175" t="s">
        <v>103</v>
      </c>
      <c r="K629" s="178" t="s">
        <v>2511</v>
      </c>
      <c r="L629" s="177">
        <v>42076</v>
      </c>
      <c r="M629" s="178" t="s">
        <v>1654</v>
      </c>
      <c r="N629" s="178" t="s">
        <v>185</v>
      </c>
      <c r="O629" s="177">
        <v>42080</v>
      </c>
      <c r="P629" s="179">
        <f t="shared" si="675"/>
        <v>5</v>
      </c>
      <c r="Q629" s="180" t="s">
        <v>2512</v>
      </c>
      <c r="R629" s="178" t="s">
        <v>17</v>
      </c>
      <c r="S629" s="178" t="s">
        <v>2513</v>
      </c>
      <c r="T629" s="183" t="s">
        <v>2514</v>
      </c>
      <c r="U629" s="181">
        <v>42080</v>
      </c>
      <c r="V629" s="178" t="s">
        <v>186</v>
      </c>
      <c r="W629" s="182">
        <f t="shared" si="676"/>
        <v>0</v>
      </c>
      <c r="X629" s="182" t="str">
        <f t="shared" si="677"/>
        <v>Correcto</v>
      </c>
    </row>
    <row r="630" spans="1:24" ht="18" customHeight="1" x14ac:dyDescent="0.25">
      <c r="A630" s="186">
        <v>621</v>
      </c>
      <c r="B630" s="173" t="s">
        <v>2515</v>
      </c>
      <c r="C630" s="174">
        <v>42075</v>
      </c>
      <c r="D630" s="175">
        <v>2</v>
      </c>
      <c r="E630" s="175" t="s">
        <v>93</v>
      </c>
      <c r="F630" s="176" t="s">
        <v>2206</v>
      </c>
      <c r="G630" s="175" t="s">
        <v>202</v>
      </c>
      <c r="H630" s="177">
        <v>42076</v>
      </c>
      <c r="I630" s="175" t="s">
        <v>187</v>
      </c>
      <c r="J630" s="175" t="s">
        <v>103</v>
      </c>
      <c r="K630" s="178" t="s">
        <v>2516</v>
      </c>
      <c r="L630" s="177">
        <v>42076</v>
      </c>
      <c r="M630" s="178" t="s">
        <v>1654</v>
      </c>
      <c r="N630" s="178" t="s">
        <v>185</v>
      </c>
      <c r="O630" s="177">
        <v>42080</v>
      </c>
      <c r="P630" s="179">
        <f t="shared" si="675"/>
        <v>5</v>
      </c>
      <c r="Q630" s="180" t="s">
        <v>2517</v>
      </c>
      <c r="R630" s="178" t="s">
        <v>17</v>
      </c>
      <c r="S630" s="178" t="s">
        <v>101</v>
      </c>
      <c r="T630" s="178" t="s">
        <v>953</v>
      </c>
      <c r="U630" s="181">
        <v>42080</v>
      </c>
      <c r="V630" s="178" t="s">
        <v>186</v>
      </c>
      <c r="W630" s="182">
        <f t="shared" si="676"/>
        <v>0</v>
      </c>
      <c r="X630" s="182" t="str">
        <f t="shared" si="677"/>
        <v>Correcto</v>
      </c>
    </row>
    <row r="631" spans="1:24" ht="18" customHeight="1" x14ac:dyDescent="0.25">
      <c r="A631" s="186">
        <v>622</v>
      </c>
      <c r="B631" s="173" t="s">
        <v>2518</v>
      </c>
      <c r="C631" s="174">
        <v>42075</v>
      </c>
      <c r="D631" s="175">
        <v>2</v>
      </c>
      <c r="E631" s="175" t="s">
        <v>93</v>
      </c>
      <c r="F631" s="176" t="s">
        <v>2206</v>
      </c>
      <c r="G631" s="175" t="s">
        <v>202</v>
      </c>
      <c r="H631" s="177">
        <v>42076</v>
      </c>
      <c r="I631" s="175" t="s">
        <v>187</v>
      </c>
      <c r="J631" s="175" t="s">
        <v>103</v>
      </c>
      <c r="K631" s="178" t="s">
        <v>2519</v>
      </c>
      <c r="L631" s="177">
        <v>42076</v>
      </c>
      <c r="M631" s="178" t="s">
        <v>1654</v>
      </c>
      <c r="N631" s="178" t="s">
        <v>185</v>
      </c>
      <c r="O631" s="177">
        <v>42080</v>
      </c>
      <c r="P631" s="179">
        <f t="shared" si="675"/>
        <v>5</v>
      </c>
      <c r="Q631" s="180" t="s">
        <v>2520</v>
      </c>
      <c r="R631" s="178" t="s">
        <v>1027</v>
      </c>
      <c r="S631" s="178" t="s">
        <v>2521</v>
      </c>
      <c r="T631" s="183" t="s">
        <v>2522</v>
      </c>
      <c r="U631" s="181">
        <v>42080</v>
      </c>
      <c r="V631" s="178" t="s">
        <v>186</v>
      </c>
      <c r="W631" s="182">
        <f t="shared" si="676"/>
        <v>0</v>
      </c>
      <c r="X631" s="182" t="str">
        <f t="shared" si="677"/>
        <v>Correcto</v>
      </c>
    </row>
    <row r="632" spans="1:24" ht="18" customHeight="1" x14ac:dyDescent="0.25">
      <c r="A632" s="186">
        <v>623</v>
      </c>
      <c r="B632" s="173" t="s">
        <v>2523</v>
      </c>
      <c r="C632" s="174">
        <v>42075</v>
      </c>
      <c r="D632" s="175">
        <v>18</v>
      </c>
      <c r="E632" s="175" t="s">
        <v>93</v>
      </c>
      <c r="F632" s="176" t="s">
        <v>2206</v>
      </c>
      <c r="G632" s="175" t="s">
        <v>202</v>
      </c>
      <c r="H632" s="177">
        <v>42076</v>
      </c>
      <c r="I632" s="175" t="s">
        <v>187</v>
      </c>
      <c r="J632" s="175" t="s">
        <v>103</v>
      </c>
      <c r="K632" s="178" t="s">
        <v>2524</v>
      </c>
      <c r="L632" s="177">
        <v>42076</v>
      </c>
      <c r="M632" s="178" t="s">
        <v>1654</v>
      </c>
      <c r="N632" s="178" t="s">
        <v>185</v>
      </c>
      <c r="O632" s="177">
        <v>42080</v>
      </c>
      <c r="P632" s="179">
        <f t="shared" si="675"/>
        <v>5</v>
      </c>
      <c r="Q632" s="180" t="s">
        <v>2525</v>
      </c>
      <c r="R632" s="178" t="s">
        <v>17</v>
      </c>
      <c r="S632" s="178" t="s">
        <v>101</v>
      </c>
      <c r="T632" s="178" t="s">
        <v>1150</v>
      </c>
      <c r="U632" s="181">
        <v>42080</v>
      </c>
      <c r="V632" s="178" t="s">
        <v>186</v>
      </c>
      <c r="W632" s="182">
        <f t="shared" si="676"/>
        <v>0</v>
      </c>
      <c r="X632" s="182" t="str">
        <f t="shared" si="677"/>
        <v>Correcto</v>
      </c>
    </row>
    <row r="633" spans="1:24" ht="18" customHeight="1" x14ac:dyDescent="0.25">
      <c r="A633" s="186">
        <v>624</v>
      </c>
      <c r="B633" s="173" t="s">
        <v>2526</v>
      </c>
      <c r="C633" s="174">
        <v>42075</v>
      </c>
      <c r="D633" s="175">
        <v>18</v>
      </c>
      <c r="E633" s="175" t="s">
        <v>93</v>
      </c>
      <c r="F633" s="176" t="s">
        <v>2206</v>
      </c>
      <c r="G633" s="175" t="s">
        <v>202</v>
      </c>
      <c r="H633" s="177">
        <v>42076</v>
      </c>
      <c r="I633" s="175" t="s">
        <v>187</v>
      </c>
      <c r="J633" s="175" t="s">
        <v>103</v>
      </c>
      <c r="K633" s="178" t="s">
        <v>2527</v>
      </c>
      <c r="L633" s="177">
        <v>42076</v>
      </c>
      <c r="M633" s="178" t="s">
        <v>1654</v>
      </c>
      <c r="N633" s="178" t="s">
        <v>185</v>
      </c>
      <c r="O633" s="177">
        <v>42079</v>
      </c>
      <c r="P633" s="179">
        <f t="shared" si="675"/>
        <v>4</v>
      </c>
      <c r="Q633" s="180" t="s">
        <v>2528</v>
      </c>
      <c r="R633" s="178" t="s">
        <v>17</v>
      </c>
      <c r="S633" s="178" t="s">
        <v>101</v>
      </c>
      <c r="T633" s="178" t="s">
        <v>1024</v>
      </c>
      <c r="U633" s="181">
        <v>42080</v>
      </c>
      <c r="V633" s="178" t="s">
        <v>186</v>
      </c>
      <c r="W633" s="182">
        <f t="shared" si="676"/>
        <v>0</v>
      </c>
      <c r="X633" s="182" t="str">
        <f t="shared" si="677"/>
        <v>Correcto</v>
      </c>
    </row>
    <row r="634" spans="1:24" ht="18" customHeight="1" x14ac:dyDescent="0.25">
      <c r="A634" s="186">
        <v>625</v>
      </c>
      <c r="B634" s="173" t="s">
        <v>2529</v>
      </c>
      <c r="C634" s="174">
        <v>42075</v>
      </c>
      <c r="D634" s="175">
        <v>11</v>
      </c>
      <c r="E634" s="175" t="s">
        <v>93</v>
      </c>
      <c r="F634" s="176" t="s">
        <v>2206</v>
      </c>
      <c r="G634" s="175" t="s">
        <v>202</v>
      </c>
      <c r="H634" s="177">
        <v>42079</v>
      </c>
      <c r="I634" s="175" t="s">
        <v>187</v>
      </c>
      <c r="J634" s="175" t="s">
        <v>103</v>
      </c>
      <c r="K634" s="178" t="s">
        <v>2530</v>
      </c>
      <c r="L634" s="177">
        <v>42079</v>
      </c>
      <c r="M634" s="178" t="s">
        <v>1654</v>
      </c>
      <c r="N634" s="178" t="s">
        <v>185</v>
      </c>
      <c r="O634" s="177">
        <v>42080</v>
      </c>
      <c r="P634" s="179">
        <f t="shared" si="675"/>
        <v>5</v>
      </c>
      <c r="Q634" s="180" t="s">
        <v>2531</v>
      </c>
      <c r="R634" s="178" t="s">
        <v>17</v>
      </c>
      <c r="S634" s="178" t="s">
        <v>101</v>
      </c>
      <c r="T634" s="178" t="s">
        <v>2258</v>
      </c>
      <c r="U634" s="181">
        <v>42080</v>
      </c>
      <c r="V634" s="178" t="s">
        <v>186</v>
      </c>
      <c r="W634" s="182">
        <f t="shared" si="676"/>
        <v>0</v>
      </c>
      <c r="X634" s="182" t="str">
        <f t="shared" si="677"/>
        <v>Correcto</v>
      </c>
    </row>
    <row r="635" spans="1:24" ht="18" customHeight="1" x14ac:dyDescent="0.25">
      <c r="A635" s="186">
        <v>626</v>
      </c>
      <c r="B635" s="173" t="s">
        <v>2532</v>
      </c>
      <c r="C635" s="174">
        <v>42075</v>
      </c>
      <c r="D635" s="175">
        <v>18</v>
      </c>
      <c r="E635" s="175" t="s">
        <v>93</v>
      </c>
      <c r="F635" s="176" t="s">
        <v>2206</v>
      </c>
      <c r="G635" s="175" t="s">
        <v>202</v>
      </c>
      <c r="H635" s="177">
        <v>42076</v>
      </c>
      <c r="I635" s="175" t="s">
        <v>187</v>
      </c>
      <c r="J635" s="175" t="s">
        <v>103</v>
      </c>
      <c r="K635" s="178" t="s">
        <v>2533</v>
      </c>
      <c r="L635" s="177">
        <v>42076</v>
      </c>
      <c r="M635" s="178" t="s">
        <v>1654</v>
      </c>
      <c r="N635" s="178" t="s">
        <v>185</v>
      </c>
      <c r="O635" s="177">
        <v>42079</v>
      </c>
      <c r="P635" s="179">
        <f t="shared" si="675"/>
        <v>4</v>
      </c>
      <c r="Q635" s="180" t="s">
        <v>2534</v>
      </c>
      <c r="R635" s="178" t="s">
        <v>17</v>
      </c>
      <c r="S635" s="178" t="s">
        <v>101</v>
      </c>
      <c r="T635" s="178" t="s">
        <v>2258</v>
      </c>
      <c r="U635" s="181">
        <v>42080</v>
      </c>
      <c r="V635" s="178" t="s">
        <v>186</v>
      </c>
      <c r="W635" s="182">
        <f t="shared" si="676"/>
        <v>0</v>
      </c>
      <c r="X635" s="182" t="str">
        <f t="shared" si="677"/>
        <v>Correcto</v>
      </c>
    </row>
    <row r="636" spans="1:24" ht="18" customHeight="1" x14ac:dyDescent="0.25">
      <c r="A636" s="186">
        <v>627</v>
      </c>
      <c r="B636" s="173" t="s">
        <v>2535</v>
      </c>
      <c r="C636" s="174">
        <v>42075</v>
      </c>
      <c r="D636" s="175">
        <v>2</v>
      </c>
      <c r="E636" s="175" t="s">
        <v>93</v>
      </c>
      <c r="F636" s="176" t="s">
        <v>2206</v>
      </c>
      <c r="G636" s="175" t="s">
        <v>202</v>
      </c>
      <c r="H636" s="177">
        <v>42079</v>
      </c>
      <c r="I636" s="175" t="s">
        <v>187</v>
      </c>
      <c r="J636" s="175" t="s">
        <v>103</v>
      </c>
      <c r="K636" s="178" t="s">
        <v>2536</v>
      </c>
      <c r="L636" s="177">
        <v>42079</v>
      </c>
      <c r="M636" s="178" t="s">
        <v>1654</v>
      </c>
      <c r="N636" s="178" t="s">
        <v>185</v>
      </c>
      <c r="O636" s="177">
        <v>42080</v>
      </c>
      <c r="P636" s="179">
        <f t="shared" si="675"/>
        <v>5</v>
      </c>
      <c r="Q636" s="180" t="s">
        <v>2537</v>
      </c>
      <c r="R636" s="178" t="s">
        <v>17</v>
      </c>
      <c r="S636" s="178" t="s">
        <v>101</v>
      </c>
      <c r="T636" s="178" t="s">
        <v>1011</v>
      </c>
      <c r="U636" s="181">
        <v>42080</v>
      </c>
      <c r="V636" s="178" t="s">
        <v>186</v>
      </c>
      <c r="W636" s="182">
        <f t="shared" si="676"/>
        <v>0</v>
      </c>
      <c r="X636" s="182" t="str">
        <f t="shared" si="677"/>
        <v>Correcto</v>
      </c>
    </row>
    <row r="637" spans="1:24" ht="18" customHeight="1" x14ac:dyDescent="0.25">
      <c r="A637" s="186">
        <v>628</v>
      </c>
      <c r="B637" s="173" t="s">
        <v>2538</v>
      </c>
      <c r="C637" s="174">
        <v>42076</v>
      </c>
      <c r="D637" s="175">
        <v>2</v>
      </c>
      <c r="E637" s="175" t="s">
        <v>93</v>
      </c>
      <c r="F637" s="176" t="s">
        <v>2206</v>
      </c>
      <c r="G637" s="175" t="s">
        <v>202</v>
      </c>
      <c r="H637" s="177">
        <v>42079</v>
      </c>
      <c r="I637" s="175" t="s">
        <v>187</v>
      </c>
      <c r="J637" s="175" t="s">
        <v>103</v>
      </c>
      <c r="K637" s="178" t="s">
        <v>2539</v>
      </c>
      <c r="L637" s="177">
        <v>42079</v>
      </c>
      <c r="M637" s="178" t="s">
        <v>1654</v>
      </c>
      <c r="N637" s="178" t="s">
        <v>185</v>
      </c>
      <c r="O637" s="177">
        <v>42080</v>
      </c>
      <c r="P637" s="179">
        <f t="shared" si="675"/>
        <v>4</v>
      </c>
      <c r="Q637" s="180" t="s">
        <v>2540</v>
      </c>
      <c r="R637" s="178" t="s">
        <v>17</v>
      </c>
      <c r="S637" s="178" t="s">
        <v>2541</v>
      </c>
      <c r="T637" s="183" t="s">
        <v>2542</v>
      </c>
      <c r="U637" s="181">
        <v>42080</v>
      </c>
      <c r="V637" s="178" t="s">
        <v>186</v>
      </c>
      <c r="W637" s="182">
        <f t="shared" si="676"/>
        <v>0</v>
      </c>
      <c r="X637" s="182" t="str">
        <f t="shared" si="677"/>
        <v>Correcto</v>
      </c>
    </row>
    <row r="638" spans="1:24" ht="18" customHeight="1" x14ac:dyDescent="0.25">
      <c r="A638" s="186">
        <v>629</v>
      </c>
      <c r="B638" s="173" t="s">
        <v>2543</v>
      </c>
      <c r="C638" s="174">
        <v>42076</v>
      </c>
      <c r="D638" s="175">
        <v>2</v>
      </c>
      <c r="E638" s="175" t="s">
        <v>93</v>
      </c>
      <c r="F638" s="176" t="s">
        <v>2206</v>
      </c>
      <c r="G638" s="175" t="s">
        <v>202</v>
      </c>
      <c r="H638" s="177">
        <v>42079</v>
      </c>
      <c r="I638" s="175" t="s">
        <v>187</v>
      </c>
      <c r="J638" s="175" t="s">
        <v>103</v>
      </c>
      <c r="K638" s="178" t="s">
        <v>2544</v>
      </c>
      <c r="L638" s="177">
        <v>42079</v>
      </c>
      <c r="M638" s="178" t="s">
        <v>1654</v>
      </c>
      <c r="N638" s="178" t="s">
        <v>185</v>
      </c>
      <c r="O638" s="177">
        <v>42080</v>
      </c>
      <c r="P638" s="179">
        <f t="shared" si="675"/>
        <v>4</v>
      </c>
      <c r="Q638" s="180" t="s">
        <v>2545</v>
      </c>
      <c r="R638" s="178" t="s">
        <v>17</v>
      </c>
      <c r="S638" s="178" t="s">
        <v>101</v>
      </c>
      <c r="T638" s="178" t="s">
        <v>953</v>
      </c>
      <c r="U638" s="181">
        <v>42080</v>
      </c>
      <c r="V638" s="178" t="s">
        <v>186</v>
      </c>
      <c r="W638" s="182">
        <f t="shared" si="676"/>
        <v>0</v>
      </c>
      <c r="X638" s="182" t="str">
        <f t="shared" si="677"/>
        <v>Correcto</v>
      </c>
    </row>
    <row r="639" spans="1:24" ht="18" customHeight="1" x14ac:dyDescent="0.25">
      <c r="A639" s="186">
        <v>630</v>
      </c>
      <c r="B639" s="173" t="s">
        <v>2546</v>
      </c>
      <c r="C639" s="174">
        <v>42076</v>
      </c>
      <c r="D639" s="175">
        <v>2</v>
      </c>
      <c r="E639" s="175" t="s">
        <v>93</v>
      </c>
      <c r="F639" s="176" t="s">
        <v>2206</v>
      </c>
      <c r="G639" s="175" t="s">
        <v>202</v>
      </c>
      <c r="H639" s="177">
        <v>42079</v>
      </c>
      <c r="I639" s="175" t="s">
        <v>187</v>
      </c>
      <c r="J639" s="175" t="s">
        <v>103</v>
      </c>
      <c r="K639" s="178" t="s">
        <v>2547</v>
      </c>
      <c r="L639" s="177">
        <v>42079</v>
      </c>
      <c r="M639" s="178" t="s">
        <v>1654</v>
      </c>
      <c r="N639" s="178" t="s">
        <v>185</v>
      </c>
      <c r="O639" s="177">
        <v>42080</v>
      </c>
      <c r="P639" s="179">
        <f t="shared" si="675"/>
        <v>4</v>
      </c>
      <c r="Q639" s="180" t="s">
        <v>2548</v>
      </c>
      <c r="R639" s="178" t="s">
        <v>17</v>
      </c>
      <c r="S639" s="178" t="s">
        <v>101</v>
      </c>
      <c r="T639" s="178" t="s">
        <v>953</v>
      </c>
      <c r="U639" s="181">
        <v>42080</v>
      </c>
      <c r="V639" s="178" t="s">
        <v>186</v>
      </c>
      <c r="W639" s="182">
        <f t="shared" si="676"/>
        <v>0</v>
      </c>
      <c r="X639" s="182" t="str">
        <f t="shared" si="677"/>
        <v>Correcto</v>
      </c>
    </row>
    <row r="640" spans="1:24" ht="18" customHeight="1" x14ac:dyDescent="0.25">
      <c r="A640" s="186">
        <v>631</v>
      </c>
      <c r="B640" s="173" t="s">
        <v>2549</v>
      </c>
      <c r="C640" s="174">
        <v>42076</v>
      </c>
      <c r="D640" s="175">
        <v>2</v>
      </c>
      <c r="E640" s="175" t="s">
        <v>93</v>
      </c>
      <c r="F640" s="176" t="s">
        <v>2206</v>
      </c>
      <c r="G640" s="175" t="s">
        <v>202</v>
      </c>
      <c r="H640" s="177">
        <v>42081</v>
      </c>
      <c r="I640" s="175" t="s">
        <v>187</v>
      </c>
      <c r="J640" s="175" t="s">
        <v>103</v>
      </c>
      <c r="K640" s="178" t="s">
        <v>2550</v>
      </c>
      <c r="L640" s="177">
        <v>42081</v>
      </c>
      <c r="M640" s="178" t="s">
        <v>1654</v>
      </c>
      <c r="N640" s="178" t="s">
        <v>185</v>
      </c>
      <c r="O640" s="177">
        <v>42082</v>
      </c>
      <c r="P640" s="179">
        <f t="shared" si="675"/>
        <v>6</v>
      </c>
      <c r="Q640" s="180" t="s">
        <v>2551</v>
      </c>
      <c r="R640" s="178" t="s">
        <v>17</v>
      </c>
      <c r="S640" s="178" t="s">
        <v>101</v>
      </c>
      <c r="T640" s="178" t="s">
        <v>2258</v>
      </c>
      <c r="U640" s="181">
        <v>42083</v>
      </c>
      <c r="V640" s="178" t="s">
        <v>186</v>
      </c>
      <c r="W640" s="182">
        <f t="shared" si="676"/>
        <v>0</v>
      </c>
      <c r="X640" s="182" t="str">
        <f t="shared" si="677"/>
        <v>Correcto</v>
      </c>
    </row>
    <row r="641" spans="1:24" ht="18" customHeight="1" x14ac:dyDescent="0.25">
      <c r="A641" s="186">
        <v>632</v>
      </c>
      <c r="B641" s="173" t="s">
        <v>2552</v>
      </c>
      <c r="C641" s="174">
        <v>42076</v>
      </c>
      <c r="D641" s="175">
        <v>2</v>
      </c>
      <c r="E641" s="175" t="s">
        <v>93</v>
      </c>
      <c r="F641" s="176" t="s">
        <v>2206</v>
      </c>
      <c r="G641" s="175" t="s">
        <v>202</v>
      </c>
      <c r="H641" s="177">
        <v>42079</v>
      </c>
      <c r="I641" s="175" t="s">
        <v>187</v>
      </c>
      <c r="J641" s="175" t="s">
        <v>103</v>
      </c>
      <c r="K641" s="178" t="s">
        <v>2553</v>
      </c>
      <c r="L641" s="177">
        <v>42079</v>
      </c>
      <c r="M641" s="178" t="s">
        <v>1654</v>
      </c>
      <c r="N641" s="178" t="s">
        <v>185</v>
      </c>
      <c r="O641" s="177">
        <v>42080</v>
      </c>
      <c r="P641" s="179">
        <f t="shared" si="675"/>
        <v>4</v>
      </c>
      <c r="Q641" s="180" t="s">
        <v>2554</v>
      </c>
      <c r="R641" s="178" t="s">
        <v>17</v>
      </c>
      <c r="S641" s="178" t="s">
        <v>101</v>
      </c>
      <c r="T641" s="178" t="s">
        <v>2555</v>
      </c>
      <c r="U641" s="181">
        <v>42080</v>
      </c>
      <c r="V641" s="178" t="s">
        <v>186</v>
      </c>
      <c r="W641" s="182">
        <f t="shared" si="676"/>
        <v>0</v>
      </c>
      <c r="X641" s="182" t="str">
        <f t="shared" si="677"/>
        <v>Correcto</v>
      </c>
    </row>
    <row r="642" spans="1:24" ht="18" customHeight="1" x14ac:dyDescent="0.25">
      <c r="A642" s="186">
        <v>633</v>
      </c>
      <c r="B642" s="173" t="s">
        <v>2556</v>
      </c>
      <c r="C642" s="174">
        <v>42076</v>
      </c>
      <c r="D642" s="175">
        <v>2</v>
      </c>
      <c r="E642" s="175" t="s">
        <v>93</v>
      </c>
      <c r="F642" s="176" t="s">
        <v>2206</v>
      </c>
      <c r="G642" s="175" t="s">
        <v>202</v>
      </c>
      <c r="H642" s="177">
        <v>42079</v>
      </c>
      <c r="I642" s="175" t="s">
        <v>187</v>
      </c>
      <c r="J642" s="175" t="s">
        <v>103</v>
      </c>
      <c r="K642" s="178" t="s">
        <v>2557</v>
      </c>
      <c r="L642" s="177">
        <v>42079</v>
      </c>
      <c r="M642" s="178" t="s">
        <v>1654</v>
      </c>
      <c r="N642" s="178" t="s">
        <v>185</v>
      </c>
      <c r="O642" s="177">
        <v>42080</v>
      </c>
      <c r="P642" s="179">
        <f t="shared" si="675"/>
        <v>4</v>
      </c>
      <c r="Q642" s="180" t="s">
        <v>2558</v>
      </c>
      <c r="R642" s="178" t="s">
        <v>17</v>
      </c>
      <c r="S642" s="178" t="s">
        <v>101</v>
      </c>
      <c r="T642" s="178" t="s">
        <v>996</v>
      </c>
      <c r="U642" s="181">
        <v>42080</v>
      </c>
      <c r="V642" s="178" t="s">
        <v>186</v>
      </c>
      <c r="W642" s="182">
        <f t="shared" si="676"/>
        <v>0</v>
      </c>
      <c r="X642" s="182" t="str">
        <f t="shared" si="677"/>
        <v>Correcto</v>
      </c>
    </row>
    <row r="643" spans="1:24" ht="18" customHeight="1" x14ac:dyDescent="0.25">
      <c r="A643" s="186">
        <v>634</v>
      </c>
      <c r="B643" s="173" t="s">
        <v>2559</v>
      </c>
      <c r="C643" s="174">
        <v>42076</v>
      </c>
      <c r="D643" s="175">
        <v>2</v>
      </c>
      <c r="E643" s="175" t="s">
        <v>93</v>
      </c>
      <c r="F643" s="176" t="s">
        <v>2206</v>
      </c>
      <c r="G643" s="175" t="s">
        <v>202</v>
      </c>
      <c r="H643" s="177">
        <v>42079</v>
      </c>
      <c r="I643" s="175" t="s">
        <v>187</v>
      </c>
      <c r="J643" s="175" t="s">
        <v>103</v>
      </c>
      <c r="K643" s="178" t="s">
        <v>2560</v>
      </c>
      <c r="L643" s="177">
        <v>42079</v>
      </c>
      <c r="M643" s="178" t="s">
        <v>1654</v>
      </c>
      <c r="N643" s="178" t="s">
        <v>185</v>
      </c>
      <c r="O643" s="177">
        <v>42080</v>
      </c>
      <c r="P643" s="179">
        <f t="shared" si="675"/>
        <v>4</v>
      </c>
      <c r="Q643" s="180" t="s">
        <v>2561</v>
      </c>
      <c r="R643" s="178" t="s">
        <v>17</v>
      </c>
      <c r="S643" s="178" t="s">
        <v>2562</v>
      </c>
      <c r="T643" s="183" t="s">
        <v>2563</v>
      </c>
      <c r="U643" s="181">
        <v>42080</v>
      </c>
      <c r="V643" s="178" t="s">
        <v>186</v>
      </c>
      <c r="W643" s="182">
        <f t="shared" si="676"/>
        <v>0</v>
      </c>
      <c r="X643" s="182" t="str">
        <f t="shared" si="677"/>
        <v>Correcto</v>
      </c>
    </row>
    <row r="644" spans="1:24" ht="18" customHeight="1" x14ac:dyDescent="0.25">
      <c r="A644" s="186">
        <v>635</v>
      </c>
      <c r="B644" s="173" t="s">
        <v>2564</v>
      </c>
      <c r="C644" s="174">
        <v>42076</v>
      </c>
      <c r="D644" s="175">
        <v>2</v>
      </c>
      <c r="E644" s="175" t="s">
        <v>93</v>
      </c>
      <c r="F644" s="176" t="s">
        <v>2206</v>
      </c>
      <c r="G644" s="175" t="s">
        <v>202</v>
      </c>
      <c r="H644" s="177">
        <v>42079</v>
      </c>
      <c r="I644" s="175" t="s">
        <v>187</v>
      </c>
      <c r="J644" s="175" t="s">
        <v>103</v>
      </c>
      <c r="K644" s="178" t="s">
        <v>2565</v>
      </c>
      <c r="L644" s="177">
        <v>42079</v>
      </c>
      <c r="M644" s="178" t="s">
        <v>1654</v>
      </c>
      <c r="N644" s="178" t="s">
        <v>185</v>
      </c>
      <c r="O644" s="177">
        <v>42080</v>
      </c>
      <c r="P644" s="179">
        <f t="shared" si="675"/>
        <v>4</v>
      </c>
      <c r="Q644" s="180" t="s">
        <v>2566</v>
      </c>
      <c r="R644" s="178" t="s">
        <v>17</v>
      </c>
      <c r="S644" s="178" t="s">
        <v>2567</v>
      </c>
      <c r="T644" s="183" t="s">
        <v>2568</v>
      </c>
      <c r="U644" s="181">
        <v>42080</v>
      </c>
      <c r="V644" s="178" t="s">
        <v>186</v>
      </c>
      <c r="W644" s="182">
        <f t="shared" si="676"/>
        <v>0</v>
      </c>
      <c r="X644" s="182" t="str">
        <f t="shared" si="677"/>
        <v>Correcto</v>
      </c>
    </row>
    <row r="645" spans="1:24" ht="18" customHeight="1" x14ac:dyDescent="0.25">
      <c r="A645" s="186">
        <v>636</v>
      </c>
      <c r="B645" s="173" t="s">
        <v>2569</v>
      </c>
      <c r="C645" s="174">
        <v>42076</v>
      </c>
      <c r="D645" s="175">
        <v>6</v>
      </c>
      <c r="E645" s="175" t="s">
        <v>93</v>
      </c>
      <c r="F645" s="176" t="s">
        <v>2206</v>
      </c>
      <c r="G645" s="175" t="s">
        <v>202</v>
      </c>
      <c r="H645" s="177">
        <v>42079</v>
      </c>
      <c r="I645" s="175" t="s">
        <v>187</v>
      </c>
      <c r="J645" s="175" t="s">
        <v>103</v>
      </c>
      <c r="K645" s="178" t="s">
        <v>2570</v>
      </c>
      <c r="L645" s="177">
        <v>42079</v>
      </c>
      <c r="M645" s="178" t="s">
        <v>1654</v>
      </c>
      <c r="N645" s="178" t="s">
        <v>185</v>
      </c>
      <c r="O645" s="177">
        <v>42080</v>
      </c>
      <c r="P645" s="179">
        <f t="shared" si="675"/>
        <v>4</v>
      </c>
      <c r="Q645" s="180" t="s">
        <v>2571</v>
      </c>
      <c r="R645" s="178" t="s">
        <v>17</v>
      </c>
      <c r="S645" s="178" t="s">
        <v>101</v>
      </c>
      <c r="T645" s="178" t="s">
        <v>1442</v>
      </c>
      <c r="U645" s="181">
        <v>42080</v>
      </c>
      <c r="V645" s="178" t="s">
        <v>186</v>
      </c>
      <c r="W645" s="182">
        <f t="shared" si="676"/>
        <v>0</v>
      </c>
      <c r="X645" s="182" t="str">
        <f t="shared" si="677"/>
        <v>Correcto</v>
      </c>
    </row>
    <row r="646" spans="1:24" ht="18" customHeight="1" x14ac:dyDescent="0.25">
      <c r="A646" s="186">
        <v>637</v>
      </c>
      <c r="B646" s="173" t="s">
        <v>2572</v>
      </c>
      <c r="C646" s="174">
        <v>42076</v>
      </c>
      <c r="D646" s="175">
        <v>2</v>
      </c>
      <c r="E646" s="175" t="s">
        <v>93</v>
      </c>
      <c r="F646" s="176" t="s">
        <v>2206</v>
      </c>
      <c r="G646" s="175" t="s">
        <v>202</v>
      </c>
      <c r="H646" s="177">
        <v>42079</v>
      </c>
      <c r="I646" s="175" t="s">
        <v>187</v>
      </c>
      <c r="J646" s="175" t="s">
        <v>103</v>
      </c>
      <c r="K646" s="178" t="s">
        <v>2573</v>
      </c>
      <c r="L646" s="177">
        <v>42079</v>
      </c>
      <c r="M646" s="178" t="s">
        <v>1654</v>
      </c>
      <c r="N646" s="178" t="s">
        <v>185</v>
      </c>
      <c r="O646" s="177">
        <v>42080</v>
      </c>
      <c r="P646" s="179">
        <f t="shared" si="675"/>
        <v>4</v>
      </c>
      <c r="Q646" s="180" t="s">
        <v>2574</v>
      </c>
      <c r="R646" s="178" t="s">
        <v>17</v>
      </c>
      <c r="S646" s="178" t="s">
        <v>101</v>
      </c>
      <c r="T646" s="178" t="s">
        <v>2575</v>
      </c>
      <c r="U646" s="181">
        <v>42080</v>
      </c>
      <c r="V646" s="178" t="s">
        <v>186</v>
      </c>
      <c r="W646" s="182">
        <f t="shared" si="676"/>
        <v>0</v>
      </c>
      <c r="X646" s="182" t="str">
        <f t="shared" si="677"/>
        <v>Correcto</v>
      </c>
    </row>
    <row r="647" spans="1:24" ht="18" customHeight="1" x14ac:dyDescent="0.25">
      <c r="A647" s="186">
        <v>638</v>
      </c>
      <c r="B647" s="173" t="s">
        <v>2576</v>
      </c>
      <c r="C647" s="174">
        <v>42076</v>
      </c>
      <c r="D647" s="175">
        <v>2</v>
      </c>
      <c r="E647" s="175" t="s">
        <v>93</v>
      </c>
      <c r="F647" s="176" t="s">
        <v>2206</v>
      </c>
      <c r="G647" s="175" t="s">
        <v>202</v>
      </c>
      <c r="H647" s="177">
        <v>42080</v>
      </c>
      <c r="I647" s="175" t="s">
        <v>187</v>
      </c>
      <c r="J647" s="175" t="s">
        <v>103</v>
      </c>
      <c r="K647" s="178" t="s">
        <v>2577</v>
      </c>
      <c r="L647" s="177">
        <v>42080</v>
      </c>
      <c r="M647" s="178" t="s">
        <v>1654</v>
      </c>
      <c r="N647" s="178" t="s">
        <v>185</v>
      </c>
      <c r="O647" s="177">
        <v>42081</v>
      </c>
      <c r="P647" s="179">
        <f t="shared" si="675"/>
        <v>5</v>
      </c>
      <c r="Q647" s="180" t="s">
        <v>2578</v>
      </c>
      <c r="R647" s="178" t="s">
        <v>17</v>
      </c>
      <c r="S647" s="178" t="s">
        <v>101</v>
      </c>
      <c r="T647" s="178" t="s">
        <v>953</v>
      </c>
      <c r="U647" s="181">
        <v>42083</v>
      </c>
      <c r="V647" s="178" t="s">
        <v>186</v>
      </c>
      <c r="W647" s="182">
        <f t="shared" si="676"/>
        <v>0</v>
      </c>
      <c r="X647" s="182" t="str">
        <f t="shared" si="677"/>
        <v>Correcto</v>
      </c>
    </row>
    <row r="648" spans="1:24" ht="18" customHeight="1" x14ac:dyDescent="0.25">
      <c r="A648" s="186">
        <v>639</v>
      </c>
      <c r="B648" s="173" t="s">
        <v>2579</v>
      </c>
      <c r="C648" s="174">
        <v>42076</v>
      </c>
      <c r="D648" s="175">
        <v>16</v>
      </c>
      <c r="E648" s="175" t="s">
        <v>93</v>
      </c>
      <c r="F648" s="176" t="s">
        <v>2206</v>
      </c>
      <c r="G648" s="175" t="s">
        <v>202</v>
      </c>
      <c r="H648" s="177">
        <v>42080</v>
      </c>
      <c r="I648" s="175" t="s">
        <v>187</v>
      </c>
      <c r="J648" s="175" t="s">
        <v>103</v>
      </c>
      <c r="K648" s="178" t="s">
        <v>2580</v>
      </c>
      <c r="L648" s="177">
        <v>42080</v>
      </c>
      <c r="M648" s="178" t="s">
        <v>1654</v>
      </c>
      <c r="N648" s="178" t="s">
        <v>185</v>
      </c>
      <c r="O648" s="177">
        <v>42081</v>
      </c>
      <c r="P648" s="179">
        <f t="shared" si="675"/>
        <v>5</v>
      </c>
      <c r="Q648" s="180" t="s">
        <v>2581</v>
      </c>
      <c r="R648" s="178" t="s">
        <v>17</v>
      </c>
      <c r="S648" s="178" t="s">
        <v>2481</v>
      </c>
      <c r="T648" s="183" t="s">
        <v>2582</v>
      </c>
      <c r="U648" s="181">
        <v>42081</v>
      </c>
      <c r="V648" s="178" t="s">
        <v>186</v>
      </c>
      <c r="W648" s="182">
        <f t="shared" si="676"/>
        <v>0</v>
      </c>
      <c r="X648" s="182" t="str">
        <f t="shared" si="677"/>
        <v>Correcto</v>
      </c>
    </row>
    <row r="649" spans="1:24" ht="18" customHeight="1" x14ac:dyDescent="0.25">
      <c r="A649" s="186">
        <v>640</v>
      </c>
      <c r="B649" s="173" t="s">
        <v>2583</v>
      </c>
      <c r="C649" s="174">
        <v>42076</v>
      </c>
      <c r="D649" s="175">
        <v>2</v>
      </c>
      <c r="E649" s="175" t="s">
        <v>93</v>
      </c>
      <c r="F649" s="176" t="s">
        <v>2206</v>
      </c>
      <c r="G649" s="175" t="s">
        <v>202</v>
      </c>
      <c r="H649" s="177">
        <v>42080</v>
      </c>
      <c r="I649" s="175" t="s">
        <v>187</v>
      </c>
      <c r="J649" s="175" t="s">
        <v>103</v>
      </c>
      <c r="K649" s="178" t="s">
        <v>2584</v>
      </c>
      <c r="L649" s="177">
        <v>42080</v>
      </c>
      <c r="M649" s="178" t="s">
        <v>1654</v>
      </c>
      <c r="N649" s="178" t="s">
        <v>185</v>
      </c>
      <c r="O649" s="177">
        <v>42081</v>
      </c>
      <c r="P649" s="179">
        <f t="shared" ref="P649:P712" si="678">O649-C649</f>
        <v>5</v>
      </c>
      <c r="Q649" s="180" t="s">
        <v>2585</v>
      </c>
      <c r="R649" s="178" t="s">
        <v>17</v>
      </c>
      <c r="S649" s="178" t="s">
        <v>2586</v>
      </c>
      <c r="T649" s="183" t="s">
        <v>2587</v>
      </c>
      <c r="U649" s="181">
        <v>42083</v>
      </c>
      <c r="V649" s="178" t="s">
        <v>186</v>
      </c>
      <c r="W649" s="182">
        <f t="shared" ref="W649:W712" si="679">COUNTBLANK(C649:V649)</f>
        <v>0</v>
      </c>
      <c r="X649" s="182" t="str">
        <f t="shared" ref="X649:X712" si="680">IF(W649=0,"Correcto","Incorrecto")</f>
        <v>Correcto</v>
      </c>
    </row>
    <row r="650" spans="1:24" ht="18" customHeight="1" x14ac:dyDescent="0.25">
      <c r="A650" s="186">
        <v>641</v>
      </c>
      <c r="B650" s="173" t="s">
        <v>2588</v>
      </c>
      <c r="C650" s="174">
        <v>42076</v>
      </c>
      <c r="D650" s="175">
        <v>2</v>
      </c>
      <c r="E650" s="175" t="s">
        <v>93</v>
      </c>
      <c r="F650" s="176" t="s">
        <v>2206</v>
      </c>
      <c r="G650" s="175" t="s">
        <v>202</v>
      </c>
      <c r="H650" s="177">
        <v>42080</v>
      </c>
      <c r="I650" s="175" t="s">
        <v>187</v>
      </c>
      <c r="J650" s="175" t="s">
        <v>103</v>
      </c>
      <c r="K650" s="178" t="s">
        <v>2589</v>
      </c>
      <c r="L650" s="177">
        <v>42080</v>
      </c>
      <c r="M650" s="178" t="s">
        <v>1654</v>
      </c>
      <c r="N650" s="178" t="s">
        <v>185</v>
      </c>
      <c r="O650" s="177">
        <v>42081</v>
      </c>
      <c r="P650" s="179">
        <f t="shared" si="678"/>
        <v>5</v>
      </c>
      <c r="Q650" s="180" t="s">
        <v>2590</v>
      </c>
      <c r="R650" s="178" t="s">
        <v>17</v>
      </c>
      <c r="S650" s="178" t="s">
        <v>1203</v>
      </c>
      <c r="T650" s="183" t="s">
        <v>2591</v>
      </c>
      <c r="U650" s="181">
        <v>42081</v>
      </c>
      <c r="V650" s="178" t="s">
        <v>186</v>
      </c>
      <c r="W650" s="182">
        <f t="shared" si="679"/>
        <v>0</v>
      </c>
      <c r="X650" s="182" t="str">
        <f t="shared" si="680"/>
        <v>Correcto</v>
      </c>
    </row>
    <row r="651" spans="1:24" ht="18" customHeight="1" x14ac:dyDescent="0.25">
      <c r="A651" s="186">
        <v>642</v>
      </c>
      <c r="B651" s="173" t="s">
        <v>2592</v>
      </c>
      <c r="C651" s="174">
        <v>42076</v>
      </c>
      <c r="D651" s="175">
        <v>19</v>
      </c>
      <c r="E651" s="175" t="s">
        <v>93</v>
      </c>
      <c r="F651" s="176" t="s">
        <v>2206</v>
      </c>
      <c r="G651" s="175" t="s">
        <v>202</v>
      </c>
      <c r="H651" s="177">
        <v>42080</v>
      </c>
      <c r="I651" s="175" t="s">
        <v>187</v>
      </c>
      <c r="J651" s="175" t="s">
        <v>103</v>
      </c>
      <c r="K651" s="178" t="s">
        <v>2593</v>
      </c>
      <c r="L651" s="177">
        <v>42080</v>
      </c>
      <c r="M651" s="178" t="s">
        <v>1654</v>
      </c>
      <c r="N651" s="178" t="s">
        <v>185</v>
      </c>
      <c r="O651" s="177">
        <v>42081</v>
      </c>
      <c r="P651" s="179">
        <f t="shared" si="678"/>
        <v>5</v>
      </c>
      <c r="Q651" s="180" t="s">
        <v>2594</v>
      </c>
      <c r="R651" s="178" t="s">
        <v>605</v>
      </c>
      <c r="S651" s="178" t="s">
        <v>1158</v>
      </c>
      <c r="T651" s="183" t="s">
        <v>2595</v>
      </c>
      <c r="U651" s="181">
        <v>42081</v>
      </c>
      <c r="V651" s="178" t="s">
        <v>186</v>
      </c>
      <c r="W651" s="182">
        <f t="shared" si="679"/>
        <v>0</v>
      </c>
      <c r="X651" s="182" t="str">
        <f t="shared" si="680"/>
        <v>Correcto</v>
      </c>
    </row>
    <row r="652" spans="1:24" ht="18" customHeight="1" x14ac:dyDescent="0.25">
      <c r="A652" s="186">
        <v>643</v>
      </c>
      <c r="B652" s="173" t="s">
        <v>2596</v>
      </c>
      <c r="C652" s="174">
        <v>42076</v>
      </c>
      <c r="D652" s="175">
        <v>2</v>
      </c>
      <c r="E652" s="175" t="s">
        <v>93</v>
      </c>
      <c r="F652" s="176" t="s">
        <v>2206</v>
      </c>
      <c r="G652" s="175" t="s">
        <v>202</v>
      </c>
      <c r="H652" s="177">
        <v>42080</v>
      </c>
      <c r="I652" s="175" t="s">
        <v>187</v>
      </c>
      <c r="J652" s="175" t="s">
        <v>103</v>
      </c>
      <c r="K652" s="178" t="s">
        <v>2597</v>
      </c>
      <c r="L652" s="177">
        <v>42080</v>
      </c>
      <c r="M652" s="178" t="s">
        <v>1654</v>
      </c>
      <c r="N652" s="178" t="s">
        <v>185</v>
      </c>
      <c r="O652" s="177">
        <v>42081</v>
      </c>
      <c r="P652" s="179">
        <f t="shared" si="678"/>
        <v>5</v>
      </c>
      <c r="Q652" s="180" t="s">
        <v>2598</v>
      </c>
      <c r="R652" s="178" t="s">
        <v>17</v>
      </c>
      <c r="S652" s="178" t="s">
        <v>101</v>
      </c>
      <c r="T652" s="178" t="s">
        <v>1391</v>
      </c>
      <c r="U652" s="181">
        <v>42083</v>
      </c>
      <c r="V652" s="178" t="s">
        <v>186</v>
      </c>
      <c r="W652" s="182">
        <f t="shared" si="679"/>
        <v>0</v>
      </c>
      <c r="X652" s="182" t="str">
        <f t="shared" si="680"/>
        <v>Correcto</v>
      </c>
    </row>
    <row r="653" spans="1:24" ht="18" customHeight="1" x14ac:dyDescent="0.25">
      <c r="A653" s="186">
        <v>644</v>
      </c>
      <c r="B653" s="173" t="s">
        <v>2599</v>
      </c>
      <c r="C653" s="174">
        <v>42076</v>
      </c>
      <c r="D653" s="175">
        <v>2</v>
      </c>
      <c r="E653" s="175" t="s">
        <v>93</v>
      </c>
      <c r="F653" s="176" t="s">
        <v>2206</v>
      </c>
      <c r="G653" s="175" t="s">
        <v>202</v>
      </c>
      <c r="H653" s="177">
        <v>42080</v>
      </c>
      <c r="I653" s="175" t="s">
        <v>187</v>
      </c>
      <c r="J653" s="175" t="s">
        <v>103</v>
      </c>
      <c r="K653" s="178" t="s">
        <v>2600</v>
      </c>
      <c r="L653" s="177">
        <v>42080</v>
      </c>
      <c r="M653" s="178" t="s">
        <v>1654</v>
      </c>
      <c r="N653" s="178" t="s">
        <v>185</v>
      </c>
      <c r="O653" s="177">
        <v>42081</v>
      </c>
      <c r="P653" s="179">
        <f t="shared" si="678"/>
        <v>5</v>
      </c>
      <c r="Q653" s="180" t="s">
        <v>2601</v>
      </c>
      <c r="R653" s="178" t="s">
        <v>17</v>
      </c>
      <c r="S653" s="178" t="s">
        <v>101</v>
      </c>
      <c r="T653" s="178" t="s">
        <v>1019</v>
      </c>
      <c r="U653" s="181">
        <v>42083</v>
      </c>
      <c r="V653" s="178" t="s">
        <v>186</v>
      </c>
      <c r="W653" s="182">
        <f t="shared" si="679"/>
        <v>0</v>
      </c>
      <c r="X653" s="182" t="str">
        <f t="shared" si="680"/>
        <v>Correcto</v>
      </c>
    </row>
    <row r="654" spans="1:24" ht="18" customHeight="1" x14ac:dyDescent="0.25">
      <c r="A654" s="186">
        <v>645</v>
      </c>
      <c r="B654" s="173" t="s">
        <v>2602</v>
      </c>
      <c r="C654" s="174">
        <v>42076</v>
      </c>
      <c r="D654" s="175">
        <v>2</v>
      </c>
      <c r="E654" s="175" t="s">
        <v>93</v>
      </c>
      <c r="F654" s="176" t="s">
        <v>2206</v>
      </c>
      <c r="G654" s="175" t="s">
        <v>202</v>
      </c>
      <c r="H654" s="177">
        <v>42080</v>
      </c>
      <c r="I654" s="175" t="s">
        <v>187</v>
      </c>
      <c r="J654" s="175" t="s">
        <v>103</v>
      </c>
      <c r="K654" s="178" t="s">
        <v>2603</v>
      </c>
      <c r="L654" s="177">
        <v>42080</v>
      </c>
      <c r="M654" s="178" t="s">
        <v>1654</v>
      </c>
      <c r="N654" s="178" t="s">
        <v>185</v>
      </c>
      <c r="O654" s="177">
        <v>42081</v>
      </c>
      <c r="P654" s="179">
        <f t="shared" si="678"/>
        <v>5</v>
      </c>
      <c r="Q654" s="180" t="s">
        <v>2604</v>
      </c>
      <c r="R654" s="178" t="s">
        <v>17</v>
      </c>
      <c r="S654" s="178" t="s">
        <v>101</v>
      </c>
      <c r="T654" s="178" t="s">
        <v>1011</v>
      </c>
      <c r="U654" s="181">
        <v>42083</v>
      </c>
      <c r="V654" s="178" t="s">
        <v>186</v>
      </c>
      <c r="W654" s="182">
        <f t="shared" si="679"/>
        <v>0</v>
      </c>
      <c r="X654" s="182" t="str">
        <f t="shared" si="680"/>
        <v>Correcto</v>
      </c>
    </row>
    <row r="655" spans="1:24" ht="18" customHeight="1" x14ac:dyDescent="0.25">
      <c r="A655" s="186">
        <v>646</v>
      </c>
      <c r="B655" s="173" t="s">
        <v>2605</v>
      </c>
      <c r="C655" s="174">
        <v>42076</v>
      </c>
      <c r="D655" s="175">
        <v>2</v>
      </c>
      <c r="E655" s="175" t="s">
        <v>93</v>
      </c>
      <c r="F655" s="176" t="s">
        <v>2206</v>
      </c>
      <c r="G655" s="175" t="s">
        <v>202</v>
      </c>
      <c r="H655" s="177">
        <v>42080</v>
      </c>
      <c r="I655" s="175" t="s">
        <v>187</v>
      </c>
      <c r="J655" s="175" t="s">
        <v>103</v>
      </c>
      <c r="K655" s="178" t="s">
        <v>2606</v>
      </c>
      <c r="L655" s="177">
        <v>42080</v>
      </c>
      <c r="M655" s="178" t="s">
        <v>1654</v>
      </c>
      <c r="N655" s="178" t="s">
        <v>185</v>
      </c>
      <c r="O655" s="177">
        <v>42081</v>
      </c>
      <c r="P655" s="179">
        <f t="shared" si="678"/>
        <v>5</v>
      </c>
      <c r="Q655" s="180" t="s">
        <v>2607</v>
      </c>
      <c r="R655" s="178" t="s">
        <v>17</v>
      </c>
      <c r="S655" s="178" t="s">
        <v>101</v>
      </c>
      <c r="T655" s="178" t="s">
        <v>1011</v>
      </c>
      <c r="U655" s="181">
        <v>42083</v>
      </c>
      <c r="V655" s="178" t="s">
        <v>186</v>
      </c>
      <c r="W655" s="182">
        <f t="shared" si="679"/>
        <v>0</v>
      </c>
      <c r="X655" s="182" t="str">
        <f t="shared" si="680"/>
        <v>Correcto</v>
      </c>
    </row>
    <row r="656" spans="1:24" ht="18" customHeight="1" x14ac:dyDescent="0.25">
      <c r="A656" s="186">
        <v>647</v>
      </c>
      <c r="B656" s="173" t="s">
        <v>2608</v>
      </c>
      <c r="C656" s="174">
        <v>42076</v>
      </c>
      <c r="D656" s="175">
        <v>2</v>
      </c>
      <c r="E656" s="175" t="s">
        <v>93</v>
      </c>
      <c r="F656" s="176" t="s">
        <v>2206</v>
      </c>
      <c r="G656" s="175" t="s">
        <v>202</v>
      </c>
      <c r="H656" s="177">
        <v>42080</v>
      </c>
      <c r="I656" s="175" t="s">
        <v>187</v>
      </c>
      <c r="J656" s="175" t="s">
        <v>103</v>
      </c>
      <c r="K656" s="178" t="s">
        <v>2609</v>
      </c>
      <c r="L656" s="177">
        <v>42080</v>
      </c>
      <c r="M656" s="178" t="s">
        <v>1654</v>
      </c>
      <c r="N656" s="178" t="s">
        <v>185</v>
      </c>
      <c r="O656" s="177">
        <v>42081</v>
      </c>
      <c r="P656" s="179">
        <f t="shared" si="678"/>
        <v>5</v>
      </c>
      <c r="Q656" s="180" t="s">
        <v>2610</v>
      </c>
      <c r="R656" s="178" t="s">
        <v>17</v>
      </c>
      <c r="S656" s="178" t="s">
        <v>101</v>
      </c>
      <c r="T656" s="178" t="s">
        <v>1011</v>
      </c>
      <c r="U656" s="181">
        <v>42083</v>
      </c>
      <c r="V656" s="178" t="s">
        <v>186</v>
      </c>
      <c r="W656" s="182">
        <f t="shared" si="679"/>
        <v>0</v>
      </c>
      <c r="X656" s="182" t="str">
        <f t="shared" si="680"/>
        <v>Correcto</v>
      </c>
    </row>
    <row r="657" spans="1:24" ht="18" customHeight="1" x14ac:dyDescent="0.25">
      <c r="A657" s="186">
        <v>648</v>
      </c>
      <c r="B657" s="173" t="s">
        <v>2611</v>
      </c>
      <c r="C657" s="174">
        <v>42079</v>
      </c>
      <c r="D657" s="175">
        <v>2</v>
      </c>
      <c r="E657" s="175" t="s">
        <v>93</v>
      </c>
      <c r="F657" s="176" t="s">
        <v>2206</v>
      </c>
      <c r="G657" s="175" t="s">
        <v>202</v>
      </c>
      <c r="H657" s="177">
        <v>42081</v>
      </c>
      <c r="I657" s="175" t="s">
        <v>187</v>
      </c>
      <c r="J657" s="175" t="s">
        <v>103</v>
      </c>
      <c r="K657" s="178" t="s">
        <v>2612</v>
      </c>
      <c r="L657" s="177">
        <v>42081</v>
      </c>
      <c r="M657" s="178" t="s">
        <v>1654</v>
      </c>
      <c r="N657" s="178" t="s">
        <v>185</v>
      </c>
      <c r="O657" s="177">
        <v>42081</v>
      </c>
      <c r="P657" s="179">
        <f t="shared" si="678"/>
        <v>2</v>
      </c>
      <c r="Q657" s="180" t="s">
        <v>2613</v>
      </c>
      <c r="R657" s="178" t="s">
        <v>17</v>
      </c>
      <c r="S657" s="178" t="s">
        <v>2614</v>
      </c>
      <c r="T657" s="183" t="s">
        <v>2615</v>
      </c>
      <c r="U657" s="181">
        <v>42081</v>
      </c>
      <c r="V657" s="178" t="s">
        <v>186</v>
      </c>
      <c r="W657" s="182">
        <f t="shared" si="679"/>
        <v>0</v>
      </c>
      <c r="X657" s="182" t="str">
        <f t="shared" si="680"/>
        <v>Correcto</v>
      </c>
    </row>
    <row r="658" spans="1:24" ht="18" customHeight="1" x14ac:dyDescent="0.25">
      <c r="A658" s="186">
        <v>649</v>
      </c>
      <c r="B658" s="173" t="s">
        <v>2616</v>
      </c>
      <c r="C658" s="174">
        <v>42079</v>
      </c>
      <c r="D658" s="175">
        <v>41</v>
      </c>
      <c r="E658" s="175" t="s">
        <v>93</v>
      </c>
      <c r="F658" s="176" t="s">
        <v>2206</v>
      </c>
      <c r="G658" s="175" t="s">
        <v>202</v>
      </c>
      <c r="H658" s="177">
        <v>42081</v>
      </c>
      <c r="I658" s="175" t="s">
        <v>187</v>
      </c>
      <c r="J658" s="175" t="s">
        <v>103</v>
      </c>
      <c r="K658" s="178" t="s">
        <v>2617</v>
      </c>
      <c r="L658" s="177">
        <v>42081</v>
      </c>
      <c r="M658" s="178" t="s">
        <v>1654</v>
      </c>
      <c r="N658" s="178" t="s">
        <v>185</v>
      </c>
      <c r="O658" s="177">
        <v>42083</v>
      </c>
      <c r="P658" s="179">
        <f t="shared" si="678"/>
        <v>4</v>
      </c>
      <c r="Q658" s="180" t="s">
        <v>2618</v>
      </c>
      <c r="R658" s="178" t="s">
        <v>17</v>
      </c>
      <c r="S658" s="178" t="s">
        <v>101</v>
      </c>
      <c r="T658" s="178" t="s">
        <v>1150</v>
      </c>
      <c r="U658" s="181">
        <v>42086</v>
      </c>
      <c r="V658" s="178" t="s">
        <v>186</v>
      </c>
      <c r="W658" s="182">
        <f t="shared" si="679"/>
        <v>0</v>
      </c>
      <c r="X658" s="182" t="str">
        <f t="shared" si="680"/>
        <v>Correcto</v>
      </c>
    </row>
    <row r="659" spans="1:24" ht="18" customHeight="1" x14ac:dyDescent="0.25">
      <c r="A659" s="186">
        <v>650</v>
      </c>
      <c r="B659" s="173" t="s">
        <v>2619</v>
      </c>
      <c r="C659" s="174">
        <v>42079</v>
      </c>
      <c r="D659" s="175">
        <v>2</v>
      </c>
      <c r="E659" s="175" t="s">
        <v>93</v>
      </c>
      <c r="F659" s="176" t="s">
        <v>2206</v>
      </c>
      <c r="G659" s="175" t="s">
        <v>202</v>
      </c>
      <c r="H659" s="177">
        <v>42082</v>
      </c>
      <c r="I659" s="175" t="s">
        <v>187</v>
      </c>
      <c r="J659" s="175" t="s">
        <v>103</v>
      </c>
      <c r="K659" s="178" t="s">
        <v>2620</v>
      </c>
      <c r="L659" s="177">
        <v>42082</v>
      </c>
      <c r="M659" s="178" t="s">
        <v>1654</v>
      </c>
      <c r="N659" s="178" t="s">
        <v>185</v>
      </c>
      <c r="O659" s="177">
        <v>42082</v>
      </c>
      <c r="P659" s="179">
        <f t="shared" si="678"/>
        <v>3</v>
      </c>
      <c r="Q659" s="180" t="s">
        <v>2621</v>
      </c>
      <c r="R659" s="178" t="s">
        <v>17</v>
      </c>
      <c r="S659" s="178" t="s">
        <v>101</v>
      </c>
      <c r="T659" s="178" t="s">
        <v>1150</v>
      </c>
      <c r="U659" s="181">
        <v>42083</v>
      </c>
      <c r="V659" s="178" t="s">
        <v>186</v>
      </c>
      <c r="W659" s="182">
        <f t="shared" si="679"/>
        <v>0</v>
      </c>
      <c r="X659" s="182" t="str">
        <f t="shared" si="680"/>
        <v>Correcto</v>
      </c>
    </row>
    <row r="660" spans="1:24" ht="18" customHeight="1" x14ac:dyDescent="0.25">
      <c r="A660" s="186">
        <v>651</v>
      </c>
      <c r="B660" s="173" t="s">
        <v>2622</v>
      </c>
      <c r="C660" s="174">
        <v>42079</v>
      </c>
      <c r="D660" s="175">
        <v>3</v>
      </c>
      <c r="E660" s="175" t="s">
        <v>93</v>
      </c>
      <c r="F660" s="176" t="s">
        <v>2206</v>
      </c>
      <c r="G660" s="175" t="s">
        <v>202</v>
      </c>
      <c r="H660" s="177">
        <v>42082</v>
      </c>
      <c r="I660" s="175" t="s">
        <v>187</v>
      </c>
      <c r="J660" s="175" t="s">
        <v>103</v>
      </c>
      <c r="K660" s="178" t="s">
        <v>2623</v>
      </c>
      <c r="L660" s="177">
        <v>42082</v>
      </c>
      <c r="M660" s="178" t="s">
        <v>1654</v>
      </c>
      <c r="N660" s="178" t="s">
        <v>185</v>
      </c>
      <c r="O660" s="177">
        <v>42083</v>
      </c>
      <c r="P660" s="179">
        <f t="shared" si="678"/>
        <v>4</v>
      </c>
      <c r="Q660" s="180" t="s">
        <v>2624</v>
      </c>
      <c r="R660" s="178" t="s">
        <v>17</v>
      </c>
      <c r="S660" s="178" t="s">
        <v>101</v>
      </c>
      <c r="T660" s="178" t="s">
        <v>1150</v>
      </c>
      <c r="U660" s="181">
        <v>42086</v>
      </c>
      <c r="V660" s="178" t="s">
        <v>186</v>
      </c>
      <c r="W660" s="182">
        <f t="shared" si="679"/>
        <v>0</v>
      </c>
      <c r="X660" s="182" t="str">
        <f t="shared" si="680"/>
        <v>Correcto</v>
      </c>
    </row>
    <row r="661" spans="1:24" ht="18" customHeight="1" x14ac:dyDescent="0.25">
      <c r="A661" s="186">
        <v>652</v>
      </c>
      <c r="B661" s="173" t="s">
        <v>2625</v>
      </c>
      <c r="C661" s="174">
        <v>42079</v>
      </c>
      <c r="D661" s="175">
        <v>3</v>
      </c>
      <c r="E661" s="175" t="s">
        <v>93</v>
      </c>
      <c r="F661" s="176" t="s">
        <v>2206</v>
      </c>
      <c r="G661" s="175" t="s">
        <v>202</v>
      </c>
      <c r="H661" s="177">
        <v>42082</v>
      </c>
      <c r="I661" s="175" t="s">
        <v>187</v>
      </c>
      <c r="J661" s="175" t="s">
        <v>103</v>
      </c>
      <c r="K661" s="178" t="s">
        <v>2626</v>
      </c>
      <c r="L661" s="177">
        <v>42082</v>
      </c>
      <c r="M661" s="178" t="s">
        <v>1654</v>
      </c>
      <c r="N661" s="178" t="s">
        <v>185</v>
      </c>
      <c r="O661" s="177">
        <v>42083</v>
      </c>
      <c r="P661" s="179">
        <f t="shared" si="678"/>
        <v>4</v>
      </c>
      <c r="Q661" s="180" t="s">
        <v>2627</v>
      </c>
      <c r="R661" s="178" t="s">
        <v>17</v>
      </c>
      <c r="S661" s="178" t="s">
        <v>101</v>
      </c>
      <c r="T661" s="178" t="s">
        <v>1150</v>
      </c>
      <c r="U661" s="181">
        <v>42086</v>
      </c>
      <c r="V661" s="178" t="s">
        <v>186</v>
      </c>
      <c r="W661" s="182">
        <f t="shared" si="679"/>
        <v>0</v>
      </c>
      <c r="X661" s="182" t="str">
        <f t="shared" si="680"/>
        <v>Correcto</v>
      </c>
    </row>
    <row r="662" spans="1:24" ht="18" customHeight="1" x14ac:dyDescent="0.25">
      <c r="A662" s="186">
        <v>653</v>
      </c>
      <c r="B662" s="173" t="s">
        <v>2628</v>
      </c>
      <c r="C662" s="174">
        <v>42079</v>
      </c>
      <c r="D662" s="175">
        <v>2</v>
      </c>
      <c r="E662" s="175" t="s">
        <v>93</v>
      </c>
      <c r="F662" s="176" t="s">
        <v>2206</v>
      </c>
      <c r="G662" s="175" t="s">
        <v>202</v>
      </c>
      <c r="H662" s="177">
        <v>42082</v>
      </c>
      <c r="I662" s="175" t="s">
        <v>187</v>
      </c>
      <c r="J662" s="175" t="s">
        <v>103</v>
      </c>
      <c r="K662" s="178" t="s">
        <v>2629</v>
      </c>
      <c r="L662" s="177">
        <v>42082</v>
      </c>
      <c r="M662" s="178" t="s">
        <v>1654</v>
      </c>
      <c r="N662" s="178" t="s">
        <v>185</v>
      </c>
      <c r="O662" s="177">
        <v>42083</v>
      </c>
      <c r="P662" s="179">
        <f t="shared" si="678"/>
        <v>4</v>
      </c>
      <c r="Q662" s="180" t="s">
        <v>2630</v>
      </c>
      <c r="R662" s="178" t="s">
        <v>17</v>
      </c>
      <c r="S662" s="178" t="s">
        <v>101</v>
      </c>
      <c r="T662" s="178" t="s">
        <v>1163</v>
      </c>
      <c r="U662" s="181">
        <v>42086</v>
      </c>
      <c r="V662" s="178" t="s">
        <v>186</v>
      </c>
      <c r="W662" s="182">
        <f t="shared" si="679"/>
        <v>0</v>
      </c>
      <c r="X662" s="182" t="str">
        <f t="shared" si="680"/>
        <v>Correcto</v>
      </c>
    </row>
    <row r="663" spans="1:24" ht="18" customHeight="1" x14ac:dyDescent="0.25">
      <c r="A663" s="186">
        <v>654</v>
      </c>
      <c r="B663" s="173" t="s">
        <v>2631</v>
      </c>
      <c r="C663" s="174">
        <v>42079</v>
      </c>
      <c r="D663" s="175">
        <v>3</v>
      </c>
      <c r="E663" s="175" t="s">
        <v>93</v>
      </c>
      <c r="F663" s="176" t="s">
        <v>2206</v>
      </c>
      <c r="G663" s="175" t="s">
        <v>202</v>
      </c>
      <c r="H663" s="177">
        <v>42082</v>
      </c>
      <c r="I663" s="175" t="s">
        <v>187</v>
      </c>
      <c r="J663" s="175" t="s">
        <v>103</v>
      </c>
      <c r="K663" s="178" t="s">
        <v>2632</v>
      </c>
      <c r="L663" s="177">
        <v>42082</v>
      </c>
      <c r="M663" s="178" t="s">
        <v>1654</v>
      </c>
      <c r="N663" s="178" t="s">
        <v>185</v>
      </c>
      <c r="O663" s="177">
        <v>42083</v>
      </c>
      <c r="P663" s="179">
        <f t="shared" si="678"/>
        <v>4</v>
      </c>
      <c r="Q663" s="180" t="s">
        <v>2633</v>
      </c>
      <c r="R663" s="178" t="s">
        <v>17</v>
      </c>
      <c r="S663" s="178" t="s">
        <v>101</v>
      </c>
      <c r="T663" s="178" t="s">
        <v>1150</v>
      </c>
      <c r="U663" s="181">
        <v>42086</v>
      </c>
      <c r="V663" s="178" t="s">
        <v>186</v>
      </c>
      <c r="W663" s="182">
        <f t="shared" si="679"/>
        <v>0</v>
      </c>
      <c r="X663" s="182" t="str">
        <f t="shared" si="680"/>
        <v>Correcto</v>
      </c>
    </row>
    <row r="664" spans="1:24" ht="18" customHeight="1" x14ac:dyDescent="0.25">
      <c r="A664" s="186">
        <v>655</v>
      </c>
      <c r="B664" s="173" t="s">
        <v>2634</v>
      </c>
      <c r="C664" s="174">
        <v>42079</v>
      </c>
      <c r="D664" s="175">
        <v>2</v>
      </c>
      <c r="E664" s="175" t="s">
        <v>93</v>
      </c>
      <c r="F664" s="176" t="s">
        <v>2206</v>
      </c>
      <c r="G664" s="175" t="s">
        <v>202</v>
      </c>
      <c r="H664" s="177">
        <v>42082</v>
      </c>
      <c r="I664" s="175" t="s">
        <v>187</v>
      </c>
      <c r="J664" s="175" t="s">
        <v>103</v>
      </c>
      <c r="K664" s="178" t="s">
        <v>2635</v>
      </c>
      <c r="L664" s="177">
        <v>42082</v>
      </c>
      <c r="M664" s="178" t="s">
        <v>1654</v>
      </c>
      <c r="N664" s="178" t="s">
        <v>185</v>
      </c>
      <c r="O664" s="177">
        <v>42083</v>
      </c>
      <c r="P664" s="179">
        <f t="shared" si="678"/>
        <v>4</v>
      </c>
      <c r="Q664" s="180" t="s">
        <v>2636</v>
      </c>
      <c r="R664" s="178" t="s">
        <v>17</v>
      </c>
      <c r="S664" s="178" t="s">
        <v>101</v>
      </c>
      <c r="T664" s="178" t="s">
        <v>1150</v>
      </c>
      <c r="U664" s="181">
        <v>42086</v>
      </c>
      <c r="V664" s="178" t="s">
        <v>186</v>
      </c>
      <c r="W664" s="182">
        <f t="shared" si="679"/>
        <v>0</v>
      </c>
      <c r="X664" s="182" t="str">
        <f t="shared" si="680"/>
        <v>Correcto</v>
      </c>
    </row>
    <row r="665" spans="1:24" ht="18" customHeight="1" x14ac:dyDescent="0.25">
      <c r="A665" s="186">
        <v>656</v>
      </c>
      <c r="B665" s="173" t="s">
        <v>2637</v>
      </c>
      <c r="C665" s="174">
        <v>42079</v>
      </c>
      <c r="D665" s="175">
        <v>2</v>
      </c>
      <c r="E665" s="175" t="s">
        <v>93</v>
      </c>
      <c r="F665" s="176" t="s">
        <v>2206</v>
      </c>
      <c r="G665" s="175" t="s">
        <v>202</v>
      </c>
      <c r="H665" s="177">
        <v>42082</v>
      </c>
      <c r="I665" s="175" t="s">
        <v>187</v>
      </c>
      <c r="J665" s="175" t="s">
        <v>103</v>
      </c>
      <c r="K665" s="178" t="s">
        <v>2638</v>
      </c>
      <c r="L665" s="177">
        <v>42082</v>
      </c>
      <c r="M665" s="178" t="s">
        <v>1654</v>
      </c>
      <c r="N665" s="178" t="s">
        <v>185</v>
      </c>
      <c r="O665" s="177">
        <v>42083</v>
      </c>
      <c r="P665" s="179">
        <f t="shared" si="678"/>
        <v>4</v>
      </c>
      <c r="Q665" s="180" t="s">
        <v>2639</v>
      </c>
      <c r="R665" s="178" t="s">
        <v>17</v>
      </c>
      <c r="S665" s="178" t="s">
        <v>101</v>
      </c>
      <c r="T665" s="178" t="s">
        <v>1011</v>
      </c>
      <c r="U665" s="181">
        <v>42086</v>
      </c>
      <c r="V665" s="178" t="s">
        <v>186</v>
      </c>
      <c r="W665" s="182">
        <f t="shared" si="679"/>
        <v>0</v>
      </c>
      <c r="X665" s="182" t="str">
        <f t="shared" si="680"/>
        <v>Correcto</v>
      </c>
    </row>
    <row r="666" spans="1:24" ht="18" customHeight="1" x14ac:dyDescent="0.25">
      <c r="A666" s="186">
        <v>657</v>
      </c>
      <c r="B666" s="173" t="s">
        <v>2640</v>
      </c>
      <c r="C666" s="174">
        <v>42079</v>
      </c>
      <c r="D666" s="175">
        <v>2</v>
      </c>
      <c r="E666" s="175" t="s">
        <v>93</v>
      </c>
      <c r="F666" s="176" t="s">
        <v>2206</v>
      </c>
      <c r="G666" s="175" t="s">
        <v>202</v>
      </c>
      <c r="H666" s="177">
        <v>42082</v>
      </c>
      <c r="I666" s="175" t="s">
        <v>187</v>
      </c>
      <c r="J666" s="175" t="s">
        <v>103</v>
      </c>
      <c r="K666" s="178" t="s">
        <v>2641</v>
      </c>
      <c r="L666" s="177">
        <v>42082</v>
      </c>
      <c r="M666" s="178" t="s">
        <v>1654</v>
      </c>
      <c r="N666" s="178" t="s">
        <v>185</v>
      </c>
      <c r="O666" s="177">
        <v>42083</v>
      </c>
      <c r="P666" s="179">
        <f t="shared" si="678"/>
        <v>4</v>
      </c>
      <c r="Q666" s="180" t="s">
        <v>2642</v>
      </c>
      <c r="R666" s="178" t="s">
        <v>17</v>
      </c>
      <c r="S666" s="178" t="s">
        <v>101</v>
      </c>
      <c r="T666" s="178" t="s">
        <v>1011</v>
      </c>
      <c r="U666" s="181">
        <v>42086</v>
      </c>
      <c r="V666" s="178" t="s">
        <v>186</v>
      </c>
      <c r="W666" s="182">
        <f t="shared" si="679"/>
        <v>0</v>
      </c>
      <c r="X666" s="182" t="str">
        <f t="shared" si="680"/>
        <v>Correcto</v>
      </c>
    </row>
    <row r="667" spans="1:24" ht="18" customHeight="1" x14ac:dyDescent="0.25">
      <c r="A667" s="186">
        <v>658</v>
      </c>
      <c r="B667" s="173" t="s">
        <v>2643</v>
      </c>
      <c r="C667" s="174">
        <v>42079</v>
      </c>
      <c r="D667" s="175">
        <v>2</v>
      </c>
      <c r="E667" s="175" t="s">
        <v>93</v>
      </c>
      <c r="F667" s="176" t="s">
        <v>2206</v>
      </c>
      <c r="G667" s="175" t="s">
        <v>202</v>
      </c>
      <c r="H667" s="177">
        <v>42081</v>
      </c>
      <c r="I667" s="175" t="s">
        <v>187</v>
      </c>
      <c r="J667" s="175" t="s">
        <v>103</v>
      </c>
      <c r="K667" s="178" t="s">
        <v>2644</v>
      </c>
      <c r="L667" s="177">
        <v>42081</v>
      </c>
      <c r="M667" s="178" t="s">
        <v>1654</v>
      </c>
      <c r="N667" s="178" t="s">
        <v>185</v>
      </c>
      <c r="O667" s="177">
        <v>42082</v>
      </c>
      <c r="P667" s="179">
        <f t="shared" si="678"/>
        <v>3</v>
      </c>
      <c r="Q667" s="180" t="s">
        <v>2645</v>
      </c>
      <c r="R667" s="178" t="s">
        <v>17</v>
      </c>
      <c r="S667" s="178" t="s">
        <v>101</v>
      </c>
      <c r="T667" s="178" t="s">
        <v>1011</v>
      </c>
      <c r="U667" s="181">
        <v>42083</v>
      </c>
      <c r="V667" s="178" t="s">
        <v>186</v>
      </c>
      <c r="W667" s="182">
        <f t="shared" si="679"/>
        <v>0</v>
      </c>
      <c r="X667" s="182" t="str">
        <f t="shared" si="680"/>
        <v>Correcto</v>
      </c>
    </row>
    <row r="668" spans="1:24" ht="18" customHeight="1" x14ac:dyDescent="0.25">
      <c r="A668" s="186">
        <v>659</v>
      </c>
      <c r="B668" s="173" t="s">
        <v>2646</v>
      </c>
      <c r="C668" s="174">
        <v>42079</v>
      </c>
      <c r="D668" s="175">
        <v>2</v>
      </c>
      <c r="E668" s="175" t="s">
        <v>93</v>
      </c>
      <c r="F668" s="176" t="s">
        <v>2206</v>
      </c>
      <c r="G668" s="175" t="s">
        <v>202</v>
      </c>
      <c r="H668" s="177">
        <v>42081</v>
      </c>
      <c r="I668" s="175" t="s">
        <v>187</v>
      </c>
      <c r="J668" s="175" t="s">
        <v>103</v>
      </c>
      <c r="K668" s="178" t="s">
        <v>2647</v>
      </c>
      <c r="L668" s="177">
        <v>42081</v>
      </c>
      <c r="M668" s="178" t="s">
        <v>1654</v>
      </c>
      <c r="N668" s="178" t="s">
        <v>185</v>
      </c>
      <c r="O668" s="177">
        <v>42081</v>
      </c>
      <c r="P668" s="179">
        <f t="shared" si="678"/>
        <v>2</v>
      </c>
      <c r="Q668" s="180" t="s">
        <v>2648</v>
      </c>
      <c r="R668" s="178" t="s">
        <v>17</v>
      </c>
      <c r="S668" s="178" t="s">
        <v>2649</v>
      </c>
      <c r="T668" s="183" t="s">
        <v>2650</v>
      </c>
      <c r="U668" s="181">
        <v>42081</v>
      </c>
      <c r="V668" s="178" t="s">
        <v>186</v>
      </c>
      <c r="W668" s="182">
        <f t="shared" si="679"/>
        <v>0</v>
      </c>
      <c r="X668" s="182" t="str">
        <f t="shared" si="680"/>
        <v>Correcto</v>
      </c>
    </row>
    <row r="669" spans="1:24" ht="18" customHeight="1" x14ac:dyDescent="0.25">
      <c r="A669" s="186">
        <v>660</v>
      </c>
      <c r="B669" s="173" t="s">
        <v>2651</v>
      </c>
      <c r="C669" s="174">
        <v>42079</v>
      </c>
      <c r="D669" s="175">
        <v>2</v>
      </c>
      <c r="E669" s="175" t="s">
        <v>93</v>
      </c>
      <c r="F669" s="176" t="s">
        <v>2206</v>
      </c>
      <c r="G669" s="175" t="s">
        <v>202</v>
      </c>
      <c r="H669" s="177">
        <v>42083</v>
      </c>
      <c r="I669" s="175" t="s">
        <v>187</v>
      </c>
      <c r="J669" s="175" t="s">
        <v>103</v>
      </c>
      <c r="K669" s="178" t="s">
        <v>2652</v>
      </c>
      <c r="L669" s="177">
        <v>42083</v>
      </c>
      <c r="M669" s="178" t="s">
        <v>1654</v>
      </c>
      <c r="N669" s="178" t="s">
        <v>185</v>
      </c>
      <c r="O669" s="177">
        <v>42083</v>
      </c>
      <c r="P669" s="179">
        <f t="shared" si="678"/>
        <v>4</v>
      </c>
      <c r="Q669" s="180" t="s">
        <v>2653</v>
      </c>
      <c r="R669" s="178" t="s">
        <v>17</v>
      </c>
      <c r="S669" s="178" t="s">
        <v>101</v>
      </c>
      <c r="T669" s="178" t="s">
        <v>1011</v>
      </c>
      <c r="U669" s="181">
        <v>42086</v>
      </c>
      <c r="V669" s="178" t="s">
        <v>186</v>
      </c>
      <c r="W669" s="182">
        <f t="shared" si="679"/>
        <v>0</v>
      </c>
      <c r="X669" s="182" t="str">
        <f t="shared" si="680"/>
        <v>Correcto</v>
      </c>
    </row>
    <row r="670" spans="1:24" ht="18" customHeight="1" x14ac:dyDescent="0.25">
      <c r="A670" s="186">
        <v>661</v>
      </c>
      <c r="B670" s="173" t="s">
        <v>2654</v>
      </c>
      <c r="C670" s="174">
        <v>42079</v>
      </c>
      <c r="D670" s="175">
        <v>2</v>
      </c>
      <c r="E670" s="175" t="s">
        <v>93</v>
      </c>
      <c r="F670" s="176" t="s">
        <v>2206</v>
      </c>
      <c r="G670" s="175" t="s">
        <v>202</v>
      </c>
      <c r="H670" s="177">
        <v>42081</v>
      </c>
      <c r="I670" s="175" t="s">
        <v>187</v>
      </c>
      <c r="J670" s="175" t="s">
        <v>103</v>
      </c>
      <c r="K670" s="178" t="s">
        <v>2655</v>
      </c>
      <c r="L670" s="177">
        <v>42081</v>
      </c>
      <c r="M670" s="178" t="s">
        <v>1654</v>
      </c>
      <c r="N670" s="178" t="s">
        <v>185</v>
      </c>
      <c r="O670" s="177">
        <v>42082</v>
      </c>
      <c r="P670" s="179">
        <f t="shared" si="678"/>
        <v>3</v>
      </c>
      <c r="Q670" s="180" t="s">
        <v>2656</v>
      </c>
      <c r="R670" s="178" t="s">
        <v>17</v>
      </c>
      <c r="S670" s="178" t="s">
        <v>101</v>
      </c>
      <c r="T670" s="178" t="s">
        <v>1011</v>
      </c>
      <c r="U670" s="181">
        <v>42083</v>
      </c>
      <c r="V670" s="178" t="s">
        <v>186</v>
      </c>
      <c r="W670" s="182">
        <f t="shared" si="679"/>
        <v>0</v>
      </c>
      <c r="X670" s="182" t="str">
        <f t="shared" si="680"/>
        <v>Correcto</v>
      </c>
    </row>
    <row r="671" spans="1:24" ht="18" customHeight="1" x14ac:dyDescent="0.25">
      <c r="A671" s="186">
        <v>662</v>
      </c>
      <c r="B671" s="173" t="s">
        <v>2657</v>
      </c>
      <c r="C671" s="174">
        <v>42079</v>
      </c>
      <c r="D671" s="175">
        <v>2</v>
      </c>
      <c r="E671" s="175" t="s">
        <v>93</v>
      </c>
      <c r="F671" s="176" t="s">
        <v>2206</v>
      </c>
      <c r="G671" s="175" t="s">
        <v>202</v>
      </c>
      <c r="H671" s="177">
        <v>42082</v>
      </c>
      <c r="I671" s="175" t="s">
        <v>187</v>
      </c>
      <c r="J671" s="175" t="s">
        <v>103</v>
      </c>
      <c r="K671" s="178" t="s">
        <v>2658</v>
      </c>
      <c r="L671" s="177">
        <v>42082</v>
      </c>
      <c r="M671" s="178" t="s">
        <v>1654</v>
      </c>
      <c r="N671" s="178" t="s">
        <v>185</v>
      </c>
      <c r="O671" s="177">
        <v>42083</v>
      </c>
      <c r="P671" s="179">
        <f t="shared" si="678"/>
        <v>4</v>
      </c>
      <c r="Q671" s="180" t="s">
        <v>2659</v>
      </c>
      <c r="R671" s="178" t="s">
        <v>17</v>
      </c>
      <c r="S671" s="178" t="s">
        <v>101</v>
      </c>
      <c r="T671" s="178" t="s">
        <v>1011</v>
      </c>
      <c r="U671" s="181">
        <v>42086</v>
      </c>
      <c r="V671" s="178" t="s">
        <v>186</v>
      </c>
      <c r="W671" s="182">
        <f t="shared" si="679"/>
        <v>0</v>
      </c>
      <c r="X671" s="182" t="str">
        <f t="shared" si="680"/>
        <v>Correcto</v>
      </c>
    </row>
    <row r="672" spans="1:24" ht="18" customHeight="1" x14ac:dyDescent="0.25">
      <c r="A672" s="186">
        <v>663</v>
      </c>
      <c r="B672" s="173" t="s">
        <v>2660</v>
      </c>
      <c r="C672" s="174">
        <v>42079</v>
      </c>
      <c r="D672" s="175">
        <v>2</v>
      </c>
      <c r="E672" s="175" t="s">
        <v>93</v>
      </c>
      <c r="F672" s="176" t="s">
        <v>2206</v>
      </c>
      <c r="G672" s="175" t="s">
        <v>202</v>
      </c>
      <c r="H672" s="177">
        <v>42081</v>
      </c>
      <c r="I672" s="175" t="s">
        <v>187</v>
      </c>
      <c r="J672" s="175" t="s">
        <v>103</v>
      </c>
      <c r="K672" s="178" t="s">
        <v>2661</v>
      </c>
      <c r="L672" s="177">
        <v>42081</v>
      </c>
      <c r="M672" s="178" t="s">
        <v>1654</v>
      </c>
      <c r="N672" s="178" t="s">
        <v>185</v>
      </c>
      <c r="O672" s="177">
        <v>42081</v>
      </c>
      <c r="P672" s="179">
        <f t="shared" si="678"/>
        <v>2</v>
      </c>
      <c r="Q672" s="180" t="s">
        <v>2662</v>
      </c>
      <c r="R672" s="178" t="s">
        <v>17</v>
      </c>
      <c r="S672" s="178" t="s">
        <v>2663</v>
      </c>
      <c r="T672" s="183" t="s">
        <v>2664</v>
      </c>
      <c r="U672" s="181">
        <v>42083</v>
      </c>
      <c r="V672" s="178" t="s">
        <v>186</v>
      </c>
      <c r="W672" s="182">
        <f t="shared" si="679"/>
        <v>0</v>
      </c>
      <c r="X672" s="182" t="str">
        <f t="shared" si="680"/>
        <v>Correcto</v>
      </c>
    </row>
    <row r="673" spans="1:24" ht="18" customHeight="1" x14ac:dyDescent="0.25">
      <c r="A673" s="186">
        <v>664</v>
      </c>
      <c r="B673" s="173" t="s">
        <v>2665</v>
      </c>
      <c r="C673" s="174">
        <v>42079</v>
      </c>
      <c r="D673" s="175">
        <v>16</v>
      </c>
      <c r="E673" s="175" t="s">
        <v>93</v>
      </c>
      <c r="F673" s="176" t="s">
        <v>2206</v>
      </c>
      <c r="G673" s="175" t="s">
        <v>202</v>
      </c>
      <c r="H673" s="177">
        <v>42081</v>
      </c>
      <c r="I673" s="175" t="s">
        <v>187</v>
      </c>
      <c r="J673" s="175" t="s">
        <v>103</v>
      </c>
      <c r="K673" s="178" t="s">
        <v>2666</v>
      </c>
      <c r="L673" s="177">
        <v>42081</v>
      </c>
      <c r="M673" s="178" t="s">
        <v>1654</v>
      </c>
      <c r="N673" s="178" t="s">
        <v>185</v>
      </c>
      <c r="O673" s="177">
        <v>42081</v>
      </c>
      <c r="P673" s="179">
        <f t="shared" si="678"/>
        <v>2</v>
      </c>
      <c r="Q673" s="180" t="s">
        <v>2667</v>
      </c>
      <c r="R673" s="178" t="s">
        <v>17</v>
      </c>
      <c r="S673" s="178" t="s">
        <v>2668</v>
      </c>
      <c r="T673" s="183" t="s">
        <v>2669</v>
      </c>
      <c r="U673" s="181">
        <v>42083</v>
      </c>
      <c r="V673" s="178" t="s">
        <v>186</v>
      </c>
      <c r="W673" s="182">
        <f t="shared" si="679"/>
        <v>0</v>
      </c>
      <c r="X673" s="182" t="str">
        <f t="shared" si="680"/>
        <v>Correcto</v>
      </c>
    </row>
    <row r="674" spans="1:24" ht="18" customHeight="1" x14ac:dyDescent="0.25">
      <c r="A674" s="186">
        <v>665</v>
      </c>
      <c r="B674" s="173" t="s">
        <v>2670</v>
      </c>
      <c r="C674" s="174">
        <v>42079</v>
      </c>
      <c r="D674" s="175">
        <v>2</v>
      </c>
      <c r="E674" s="175" t="s">
        <v>93</v>
      </c>
      <c r="F674" s="176" t="s">
        <v>2206</v>
      </c>
      <c r="G674" s="175" t="s">
        <v>202</v>
      </c>
      <c r="H674" s="177">
        <v>42083</v>
      </c>
      <c r="I674" s="175" t="s">
        <v>187</v>
      </c>
      <c r="J674" s="175" t="s">
        <v>103</v>
      </c>
      <c r="K674" s="178" t="s">
        <v>2671</v>
      </c>
      <c r="L674" s="177">
        <v>42083</v>
      </c>
      <c r="M674" s="178" t="s">
        <v>1654</v>
      </c>
      <c r="N674" s="178" t="s">
        <v>185</v>
      </c>
      <c r="O674" s="177">
        <v>42083</v>
      </c>
      <c r="P674" s="179">
        <f t="shared" si="678"/>
        <v>4</v>
      </c>
      <c r="Q674" s="180" t="s">
        <v>2672</v>
      </c>
      <c r="R674" s="178" t="s">
        <v>17</v>
      </c>
      <c r="S674" s="178" t="s">
        <v>101</v>
      </c>
      <c r="T674" s="178" t="s">
        <v>1011</v>
      </c>
      <c r="U674" s="181">
        <v>42086</v>
      </c>
      <c r="V674" s="178" t="s">
        <v>186</v>
      </c>
      <c r="W674" s="182">
        <f t="shared" si="679"/>
        <v>0</v>
      </c>
      <c r="X674" s="182" t="str">
        <f t="shared" si="680"/>
        <v>Correcto</v>
      </c>
    </row>
    <row r="675" spans="1:24" ht="18" customHeight="1" x14ac:dyDescent="0.25">
      <c r="A675" s="186">
        <v>666</v>
      </c>
      <c r="B675" s="173" t="s">
        <v>2673</v>
      </c>
      <c r="C675" s="174">
        <v>42079</v>
      </c>
      <c r="D675" s="175">
        <v>7</v>
      </c>
      <c r="E675" s="175" t="s">
        <v>93</v>
      </c>
      <c r="F675" s="176" t="s">
        <v>825</v>
      </c>
      <c r="G675" s="175" t="s">
        <v>202</v>
      </c>
      <c r="H675" s="177">
        <v>42081</v>
      </c>
      <c r="I675" s="175" t="s">
        <v>187</v>
      </c>
      <c r="J675" s="175" t="s">
        <v>103</v>
      </c>
      <c r="K675" s="178" t="s">
        <v>2674</v>
      </c>
      <c r="L675" s="177">
        <v>42081</v>
      </c>
      <c r="M675" s="178" t="s">
        <v>1654</v>
      </c>
      <c r="N675" s="178" t="s">
        <v>185</v>
      </c>
      <c r="O675" s="177">
        <v>42081</v>
      </c>
      <c r="P675" s="179">
        <f t="shared" si="678"/>
        <v>2</v>
      </c>
      <c r="Q675" s="180" t="s">
        <v>2674</v>
      </c>
      <c r="R675" s="178" t="s">
        <v>17</v>
      </c>
      <c r="S675" s="178" t="s">
        <v>2675</v>
      </c>
      <c r="T675" s="183" t="s">
        <v>2676</v>
      </c>
      <c r="U675" s="181">
        <v>42086</v>
      </c>
      <c r="V675" s="178" t="s">
        <v>186</v>
      </c>
      <c r="W675" s="182">
        <f t="shared" si="679"/>
        <v>0</v>
      </c>
      <c r="X675" s="182" t="str">
        <f t="shared" si="680"/>
        <v>Correcto</v>
      </c>
    </row>
    <row r="676" spans="1:24" ht="18" customHeight="1" x14ac:dyDescent="0.25">
      <c r="A676" s="186">
        <v>667</v>
      </c>
      <c r="B676" s="173" t="s">
        <v>2677</v>
      </c>
      <c r="C676" s="174">
        <v>42079</v>
      </c>
      <c r="D676" s="175">
        <v>2</v>
      </c>
      <c r="E676" s="175" t="s">
        <v>93</v>
      </c>
      <c r="F676" s="176" t="s">
        <v>2206</v>
      </c>
      <c r="G676" s="175" t="s">
        <v>202</v>
      </c>
      <c r="H676" s="177">
        <v>42081</v>
      </c>
      <c r="I676" s="175" t="s">
        <v>187</v>
      </c>
      <c r="J676" s="175" t="s">
        <v>103</v>
      </c>
      <c r="K676" s="178" t="s">
        <v>2678</v>
      </c>
      <c r="L676" s="177">
        <v>42081</v>
      </c>
      <c r="M676" s="178" t="s">
        <v>1654</v>
      </c>
      <c r="N676" s="178" t="s">
        <v>185</v>
      </c>
      <c r="O676" s="177">
        <v>42082</v>
      </c>
      <c r="P676" s="179">
        <f t="shared" si="678"/>
        <v>3</v>
      </c>
      <c r="Q676" s="180" t="s">
        <v>2679</v>
      </c>
      <c r="R676" s="178" t="s">
        <v>17</v>
      </c>
      <c r="S676" s="178" t="s">
        <v>101</v>
      </c>
      <c r="T676" s="178" t="s">
        <v>1010</v>
      </c>
      <c r="U676" s="181">
        <v>42083</v>
      </c>
      <c r="V676" s="178" t="s">
        <v>186</v>
      </c>
      <c r="W676" s="182">
        <f t="shared" si="679"/>
        <v>0</v>
      </c>
      <c r="X676" s="182" t="str">
        <f t="shared" si="680"/>
        <v>Correcto</v>
      </c>
    </row>
    <row r="677" spans="1:24" ht="18" customHeight="1" x14ac:dyDescent="0.25">
      <c r="A677" s="186">
        <v>668</v>
      </c>
      <c r="B677" s="173" t="s">
        <v>2680</v>
      </c>
      <c r="C677" s="174">
        <v>42079</v>
      </c>
      <c r="D677" s="175">
        <v>2</v>
      </c>
      <c r="E677" s="175" t="s">
        <v>93</v>
      </c>
      <c r="F677" s="176" t="s">
        <v>2206</v>
      </c>
      <c r="G677" s="175" t="s">
        <v>202</v>
      </c>
      <c r="H677" s="177">
        <v>42081</v>
      </c>
      <c r="I677" s="175" t="s">
        <v>187</v>
      </c>
      <c r="J677" s="175" t="s">
        <v>103</v>
      </c>
      <c r="K677" s="178" t="s">
        <v>2681</v>
      </c>
      <c r="L677" s="177">
        <v>42081</v>
      </c>
      <c r="M677" s="178" t="s">
        <v>1654</v>
      </c>
      <c r="N677" s="178" t="s">
        <v>185</v>
      </c>
      <c r="O677" s="177">
        <v>42082</v>
      </c>
      <c r="P677" s="179">
        <f t="shared" si="678"/>
        <v>3</v>
      </c>
      <c r="Q677" s="180" t="s">
        <v>2682</v>
      </c>
      <c r="R677" s="178" t="s">
        <v>17</v>
      </c>
      <c r="S677" s="178" t="s">
        <v>101</v>
      </c>
      <c r="T677" s="178" t="s">
        <v>1010</v>
      </c>
      <c r="U677" s="185">
        <v>42083</v>
      </c>
      <c r="V677" s="178" t="s">
        <v>186</v>
      </c>
      <c r="W677" s="182">
        <f t="shared" si="679"/>
        <v>0</v>
      </c>
      <c r="X677" s="182" t="str">
        <f t="shared" si="680"/>
        <v>Correcto</v>
      </c>
    </row>
    <row r="678" spans="1:24" ht="18" customHeight="1" x14ac:dyDescent="0.25">
      <c r="A678" s="186">
        <v>669</v>
      </c>
      <c r="B678" s="173" t="s">
        <v>2683</v>
      </c>
      <c r="C678" s="174">
        <v>42079</v>
      </c>
      <c r="D678" s="175">
        <v>2</v>
      </c>
      <c r="E678" s="175" t="s">
        <v>93</v>
      </c>
      <c r="F678" s="176" t="s">
        <v>2206</v>
      </c>
      <c r="G678" s="175" t="s">
        <v>202</v>
      </c>
      <c r="H678" s="177">
        <v>42081</v>
      </c>
      <c r="I678" s="175" t="s">
        <v>187</v>
      </c>
      <c r="J678" s="175" t="s">
        <v>103</v>
      </c>
      <c r="K678" s="178" t="s">
        <v>2684</v>
      </c>
      <c r="L678" s="177">
        <v>42081</v>
      </c>
      <c r="M678" s="178" t="s">
        <v>1654</v>
      </c>
      <c r="N678" s="178" t="s">
        <v>185</v>
      </c>
      <c r="O678" s="177">
        <v>42081</v>
      </c>
      <c r="P678" s="179">
        <f t="shared" si="678"/>
        <v>2</v>
      </c>
      <c r="Q678" s="180" t="s">
        <v>2685</v>
      </c>
      <c r="R678" s="178" t="s">
        <v>17</v>
      </c>
      <c r="S678" s="178" t="s">
        <v>2686</v>
      </c>
      <c r="T678" s="183" t="s">
        <v>2687</v>
      </c>
      <c r="U678" s="181">
        <v>42081</v>
      </c>
      <c r="V678" s="178" t="s">
        <v>186</v>
      </c>
      <c r="W678" s="182">
        <f t="shared" si="679"/>
        <v>0</v>
      </c>
      <c r="X678" s="182" t="str">
        <f t="shared" si="680"/>
        <v>Correcto</v>
      </c>
    </row>
    <row r="679" spans="1:24" ht="18" customHeight="1" x14ac:dyDescent="0.25">
      <c r="A679" s="186">
        <v>670</v>
      </c>
      <c r="B679" s="173" t="s">
        <v>2688</v>
      </c>
      <c r="C679" s="174">
        <v>42079</v>
      </c>
      <c r="D679" s="175">
        <v>2</v>
      </c>
      <c r="E679" s="175" t="s">
        <v>93</v>
      </c>
      <c r="F679" s="176" t="s">
        <v>2206</v>
      </c>
      <c r="G679" s="175" t="s">
        <v>202</v>
      </c>
      <c r="H679" s="177">
        <v>42081</v>
      </c>
      <c r="I679" s="175" t="s">
        <v>187</v>
      </c>
      <c r="J679" s="175" t="s">
        <v>103</v>
      </c>
      <c r="K679" s="178" t="s">
        <v>2689</v>
      </c>
      <c r="L679" s="177">
        <v>42081</v>
      </c>
      <c r="M679" s="178" t="s">
        <v>1654</v>
      </c>
      <c r="N679" s="178" t="s">
        <v>185</v>
      </c>
      <c r="O679" s="177">
        <v>42081</v>
      </c>
      <c r="P679" s="179">
        <f t="shared" si="678"/>
        <v>2</v>
      </c>
      <c r="Q679" s="180" t="s">
        <v>2690</v>
      </c>
      <c r="R679" s="178" t="s">
        <v>17</v>
      </c>
      <c r="S679" s="178" t="s">
        <v>2691</v>
      </c>
      <c r="T679" s="183" t="s">
        <v>2692</v>
      </c>
      <c r="U679" s="181">
        <v>42088</v>
      </c>
      <c r="V679" s="178" t="s">
        <v>186</v>
      </c>
      <c r="W679" s="182">
        <f t="shared" si="679"/>
        <v>0</v>
      </c>
      <c r="X679" s="182" t="str">
        <f t="shared" si="680"/>
        <v>Correcto</v>
      </c>
    </row>
    <row r="680" spans="1:24" ht="18" customHeight="1" x14ac:dyDescent="0.25">
      <c r="A680" s="186">
        <v>671</v>
      </c>
      <c r="B680" s="173" t="s">
        <v>2693</v>
      </c>
      <c r="C680" s="174">
        <v>42079</v>
      </c>
      <c r="D680" s="175">
        <v>2</v>
      </c>
      <c r="E680" s="175" t="s">
        <v>93</v>
      </c>
      <c r="F680" s="176" t="s">
        <v>2206</v>
      </c>
      <c r="G680" s="175" t="s">
        <v>202</v>
      </c>
      <c r="H680" s="177">
        <v>42081</v>
      </c>
      <c r="I680" s="175" t="s">
        <v>187</v>
      </c>
      <c r="J680" s="175" t="s">
        <v>103</v>
      </c>
      <c r="K680" s="178" t="s">
        <v>2694</v>
      </c>
      <c r="L680" s="177">
        <v>42081</v>
      </c>
      <c r="M680" s="178" t="s">
        <v>1654</v>
      </c>
      <c r="N680" s="178" t="s">
        <v>185</v>
      </c>
      <c r="O680" s="177">
        <v>42082</v>
      </c>
      <c r="P680" s="179">
        <f t="shared" si="678"/>
        <v>3</v>
      </c>
      <c r="Q680" s="180" t="s">
        <v>2695</v>
      </c>
      <c r="R680" s="178" t="s">
        <v>17</v>
      </c>
      <c r="S680" s="178" t="s">
        <v>2696</v>
      </c>
      <c r="T680" s="183" t="s">
        <v>2697</v>
      </c>
      <c r="U680" s="181">
        <v>42086</v>
      </c>
      <c r="V680" s="178" t="s">
        <v>186</v>
      </c>
      <c r="W680" s="182">
        <f t="shared" si="679"/>
        <v>0</v>
      </c>
      <c r="X680" s="182" t="str">
        <f t="shared" si="680"/>
        <v>Correcto</v>
      </c>
    </row>
    <row r="681" spans="1:24" ht="18" customHeight="1" x14ac:dyDescent="0.25">
      <c r="A681" s="186">
        <v>672</v>
      </c>
      <c r="B681" s="173" t="s">
        <v>2698</v>
      </c>
      <c r="C681" s="174">
        <v>42079</v>
      </c>
      <c r="D681" s="175">
        <v>3</v>
      </c>
      <c r="E681" s="175" t="s">
        <v>93</v>
      </c>
      <c r="F681" s="176" t="s">
        <v>2206</v>
      </c>
      <c r="G681" s="175" t="s">
        <v>202</v>
      </c>
      <c r="H681" s="177">
        <v>42082</v>
      </c>
      <c r="I681" s="175" t="s">
        <v>187</v>
      </c>
      <c r="J681" s="175" t="s">
        <v>103</v>
      </c>
      <c r="K681" s="178" t="s">
        <v>2699</v>
      </c>
      <c r="L681" s="177">
        <v>42082</v>
      </c>
      <c r="M681" s="178" t="s">
        <v>1654</v>
      </c>
      <c r="N681" s="178" t="s">
        <v>185</v>
      </c>
      <c r="O681" s="177">
        <v>42083</v>
      </c>
      <c r="P681" s="179">
        <f t="shared" si="678"/>
        <v>4</v>
      </c>
      <c r="Q681" s="180" t="s">
        <v>2700</v>
      </c>
      <c r="R681" s="178" t="s">
        <v>17</v>
      </c>
      <c r="S681" s="178" t="s">
        <v>101</v>
      </c>
      <c r="T681" s="178" t="s">
        <v>1150</v>
      </c>
      <c r="U681" s="181">
        <v>42086</v>
      </c>
      <c r="V681" s="178" t="s">
        <v>186</v>
      </c>
      <c r="W681" s="182">
        <f t="shared" si="679"/>
        <v>0</v>
      </c>
      <c r="X681" s="182" t="str">
        <f t="shared" si="680"/>
        <v>Correcto</v>
      </c>
    </row>
    <row r="682" spans="1:24" ht="18" customHeight="1" x14ac:dyDescent="0.25">
      <c r="A682" s="186">
        <v>673</v>
      </c>
      <c r="B682" s="173" t="s">
        <v>2701</v>
      </c>
      <c r="C682" s="174">
        <v>42079</v>
      </c>
      <c r="D682" s="175">
        <v>2</v>
      </c>
      <c r="E682" s="175" t="s">
        <v>93</v>
      </c>
      <c r="F682" s="176" t="s">
        <v>825</v>
      </c>
      <c r="G682" s="175" t="s">
        <v>202</v>
      </c>
      <c r="H682" s="177">
        <v>42087</v>
      </c>
      <c r="I682" s="175" t="s">
        <v>187</v>
      </c>
      <c r="J682" s="175" t="s">
        <v>103</v>
      </c>
      <c r="K682" s="178" t="s">
        <v>2702</v>
      </c>
      <c r="L682" s="177">
        <v>42087</v>
      </c>
      <c r="M682" s="178" t="s">
        <v>1654</v>
      </c>
      <c r="N682" s="178" t="s">
        <v>185</v>
      </c>
      <c r="O682" s="177">
        <v>42087</v>
      </c>
      <c r="P682" s="179">
        <f t="shared" si="678"/>
        <v>8</v>
      </c>
      <c r="Q682" s="180" t="s">
        <v>2703</v>
      </c>
      <c r="R682" s="178" t="s">
        <v>17</v>
      </c>
      <c r="S682" s="178" t="s">
        <v>101</v>
      </c>
      <c r="T682" s="178" t="s">
        <v>1150</v>
      </c>
      <c r="U682" s="181">
        <v>42088</v>
      </c>
      <c r="V682" s="178" t="s">
        <v>186</v>
      </c>
      <c r="W682" s="182">
        <f t="shared" si="679"/>
        <v>0</v>
      </c>
      <c r="X682" s="182" t="str">
        <f t="shared" si="680"/>
        <v>Correcto</v>
      </c>
    </row>
    <row r="683" spans="1:24" ht="18" customHeight="1" x14ac:dyDescent="0.25">
      <c r="A683" s="186">
        <v>674</v>
      </c>
      <c r="B683" s="173" t="s">
        <v>2704</v>
      </c>
      <c r="C683" s="174">
        <v>42079</v>
      </c>
      <c r="D683" s="175">
        <v>2</v>
      </c>
      <c r="E683" s="175" t="s">
        <v>93</v>
      </c>
      <c r="F683" s="176" t="s">
        <v>2206</v>
      </c>
      <c r="G683" s="175" t="s">
        <v>202</v>
      </c>
      <c r="H683" s="177">
        <v>42082</v>
      </c>
      <c r="I683" s="175" t="s">
        <v>187</v>
      </c>
      <c r="J683" s="175" t="s">
        <v>103</v>
      </c>
      <c r="K683" s="178" t="s">
        <v>2705</v>
      </c>
      <c r="L683" s="177">
        <v>42082</v>
      </c>
      <c r="M683" s="178" t="s">
        <v>1654</v>
      </c>
      <c r="N683" s="178" t="s">
        <v>185</v>
      </c>
      <c r="O683" s="177">
        <v>42083</v>
      </c>
      <c r="P683" s="179">
        <f t="shared" si="678"/>
        <v>4</v>
      </c>
      <c r="Q683" s="180" t="s">
        <v>2706</v>
      </c>
      <c r="R683" s="178" t="s">
        <v>17</v>
      </c>
      <c r="S683" s="178" t="s">
        <v>101</v>
      </c>
      <c r="T683" s="178" t="s">
        <v>1011</v>
      </c>
      <c r="U683" s="181">
        <v>42086</v>
      </c>
      <c r="V683" s="178" t="s">
        <v>186</v>
      </c>
      <c r="W683" s="182">
        <f t="shared" si="679"/>
        <v>0</v>
      </c>
      <c r="X683" s="182" t="str">
        <f t="shared" si="680"/>
        <v>Correcto</v>
      </c>
    </row>
    <row r="684" spans="1:24" ht="18" customHeight="1" x14ac:dyDescent="0.25">
      <c r="A684" s="186">
        <v>675</v>
      </c>
      <c r="B684" s="173" t="s">
        <v>2707</v>
      </c>
      <c r="C684" s="174">
        <v>42080</v>
      </c>
      <c r="D684" s="175">
        <v>2</v>
      </c>
      <c r="E684" s="175" t="s">
        <v>93</v>
      </c>
      <c r="F684" s="176" t="s">
        <v>825</v>
      </c>
      <c r="G684" s="175" t="s">
        <v>202</v>
      </c>
      <c r="H684" s="177">
        <v>42083</v>
      </c>
      <c r="I684" s="175" t="s">
        <v>187</v>
      </c>
      <c r="J684" s="175" t="s">
        <v>103</v>
      </c>
      <c r="K684" s="178" t="s">
        <v>2708</v>
      </c>
      <c r="L684" s="177">
        <v>42083</v>
      </c>
      <c r="M684" s="178" t="s">
        <v>1654</v>
      </c>
      <c r="N684" s="178" t="s">
        <v>185</v>
      </c>
      <c r="O684" s="177">
        <v>42087</v>
      </c>
      <c r="P684" s="179">
        <f t="shared" si="678"/>
        <v>7</v>
      </c>
      <c r="Q684" s="180" t="s">
        <v>2709</v>
      </c>
      <c r="R684" s="178" t="s">
        <v>17</v>
      </c>
      <c r="S684" s="178" t="s">
        <v>101</v>
      </c>
      <c r="T684" s="178" t="s">
        <v>953</v>
      </c>
      <c r="U684" s="181">
        <v>42088</v>
      </c>
      <c r="V684" s="178" t="s">
        <v>186</v>
      </c>
      <c r="W684" s="182">
        <f t="shared" si="679"/>
        <v>0</v>
      </c>
      <c r="X684" s="182" t="str">
        <f t="shared" si="680"/>
        <v>Correcto</v>
      </c>
    </row>
    <row r="685" spans="1:24" ht="18" customHeight="1" x14ac:dyDescent="0.25">
      <c r="A685" s="186">
        <v>676</v>
      </c>
      <c r="B685" s="173" t="s">
        <v>2710</v>
      </c>
      <c r="C685" s="174">
        <v>42080</v>
      </c>
      <c r="D685" s="175">
        <v>2</v>
      </c>
      <c r="E685" s="175" t="s">
        <v>93</v>
      </c>
      <c r="F685" s="176" t="s">
        <v>825</v>
      </c>
      <c r="G685" s="175" t="s">
        <v>202</v>
      </c>
      <c r="H685" s="177">
        <v>42083</v>
      </c>
      <c r="I685" s="175" t="s">
        <v>187</v>
      </c>
      <c r="J685" s="175" t="s">
        <v>103</v>
      </c>
      <c r="K685" s="178" t="s">
        <v>2711</v>
      </c>
      <c r="L685" s="177">
        <v>42083</v>
      </c>
      <c r="M685" s="178" t="s">
        <v>1654</v>
      </c>
      <c r="N685" s="178" t="s">
        <v>185</v>
      </c>
      <c r="O685" s="177">
        <v>42087</v>
      </c>
      <c r="P685" s="179">
        <f t="shared" si="678"/>
        <v>7</v>
      </c>
      <c r="Q685" s="180" t="s">
        <v>2712</v>
      </c>
      <c r="R685" s="178" t="s">
        <v>17</v>
      </c>
      <c r="S685" s="178" t="s">
        <v>101</v>
      </c>
      <c r="T685" s="178" t="s">
        <v>953</v>
      </c>
      <c r="U685" s="181">
        <v>42088</v>
      </c>
      <c r="V685" s="178" t="s">
        <v>186</v>
      </c>
      <c r="W685" s="182">
        <f t="shared" si="679"/>
        <v>0</v>
      </c>
      <c r="X685" s="182" t="str">
        <f t="shared" si="680"/>
        <v>Correcto</v>
      </c>
    </row>
    <row r="686" spans="1:24" ht="18" customHeight="1" x14ac:dyDescent="0.25">
      <c r="A686" s="186">
        <v>677</v>
      </c>
      <c r="B686" s="173" t="s">
        <v>2713</v>
      </c>
      <c r="C686" s="174">
        <v>42080</v>
      </c>
      <c r="D686" s="175">
        <v>2</v>
      </c>
      <c r="E686" s="175" t="s">
        <v>93</v>
      </c>
      <c r="F686" s="176" t="s">
        <v>825</v>
      </c>
      <c r="G686" s="175" t="s">
        <v>202</v>
      </c>
      <c r="H686" s="177">
        <v>42083</v>
      </c>
      <c r="I686" s="175" t="s">
        <v>187</v>
      </c>
      <c r="J686" s="175" t="s">
        <v>103</v>
      </c>
      <c r="K686" s="178" t="s">
        <v>2714</v>
      </c>
      <c r="L686" s="177">
        <v>42083</v>
      </c>
      <c r="M686" s="178" t="s">
        <v>1654</v>
      </c>
      <c r="N686" s="178" t="s">
        <v>185</v>
      </c>
      <c r="O686" s="177">
        <v>42087</v>
      </c>
      <c r="P686" s="179">
        <f t="shared" si="678"/>
        <v>7</v>
      </c>
      <c r="Q686" s="180" t="s">
        <v>2715</v>
      </c>
      <c r="R686" s="178" t="s">
        <v>17</v>
      </c>
      <c r="S686" s="178" t="s">
        <v>101</v>
      </c>
      <c r="T686" s="178" t="s">
        <v>996</v>
      </c>
      <c r="U686" s="181">
        <v>42088</v>
      </c>
      <c r="V686" s="178" t="s">
        <v>186</v>
      </c>
      <c r="W686" s="182">
        <f t="shared" si="679"/>
        <v>0</v>
      </c>
      <c r="X686" s="182" t="str">
        <f t="shared" si="680"/>
        <v>Correcto</v>
      </c>
    </row>
    <row r="687" spans="1:24" ht="18" customHeight="1" x14ac:dyDescent="0.25">
      <c r="A687" s="186">
        <v>678</v>
      </c>
      <c r="B687" s="173" t="s">
        <v>2716</v>
      </c>
      <c r="C687" s="174">
        <v>42080</v>
      </c>
      <c r="D687" s="175">
        <v>2</v>
      </c>
      <c r="E687" s="175" t="s">
        <v>93</v>
      </c>
      <c r="F687" s="176" t="s">
        <v>825</v>
      </c>
      <c r="G687" s="175" t="s">
        <v>202</v>
      </c>
      <c r="H687" s="177">
        <v>42083</v>
      </c>
      <c r="I687" s="175" t="s">
        <v>187</v>
      </c>
      <c r="J687" s="175" t="s">
        <v>103</v>
      </c>
      <c r="K687" s="178" t="s">
        <v>2717</v>
      </c>
      <c r="L687" s="177">
        <v>42083</v>
      </c>
      <c r="M687" s="178" t="s">
        <v>1654</v>
      </c>
      <c r="N687" s="178" t="s">
        <v>185</v>
      </c>
      <c r="O687" s="177">
        <v>42087</v>
      </c>
      <c r="P687" s="179">
        <f t="shared" si="678"/>
        <v>7</v>
      </c>
      <c r="Q687" s="180" t="s">
        <v>2718</v>
      </c>
      <c r="R687" s="178" t="s">
        <v>17</v>
      </c>
      <c r="S687" s="178" t="s">
        <v>101</v>
      </c>
      <c r="T687" s="178" t="s">
        <v>996</v>
      </c>
      <c r="U687" s="181">
        <v>42088</v>
      </c>
      <c r="V687" s="178" t="s">
        <v>186</v>
      </c>
      <c r="W687" s="182">
        <f t="shared" si="679"/>
        <v>0</v>
      </c>
      <c r="X687" s="182" t="str">
        <f t="shared" si="680"/>
        <v>Correcto</v>
      </c>
    </row>
    <row r="688" spans="1:24" ht="18" customHeight="1" x14ac:dyDescent="0.25">
      <c r="A688" s="186">
        <v>679</v>
      </c>
      <c r="B688" s="173" t="s">
        <v>2719</v>
      </c>
      <c r="C688" s="174">
        <v>42080</v>
      </c>
      <c r="D688" s="175">
        <v>2</v>
      </c>
      <c r="E688" s="175" t="s">
        <v>93</v>
      </c>
      <c r="F688" s="176" t="s">
        <v>1914</v>
      </c>
      <c r="G688" s="175" t="s">
        <v>202</v>
      </c>
      <c r="H688" s="177">
        <v>42083</v>
      </c>
      <c r="I688" s="175" t="s">
        <v>187</v>
      </c>
      <c r="J688" s="175" t="s">
        <v>103</v>
      </c>
      <c r="K688" s="178" t="s">
        <v>2720</v>
      </c>
      <c r="L688" s="177">
        <v>42083</v>
      </c>
      <c r="M688" s="178" t="s">
        <v>1654</v>
      </c>
      <c r="N688" s="178" t="s">
        <v>185</v>
      </c>
      <c r="O688" s="177">
        <v>42086</v>
      </c>
      <c r="P688" s="179">
        <f t="shared" si="678"/>
        <v>6</v>
      </c>
      <c r="Q688" s="180" t="s">
        <v>2721</v>
      </c>
      <c r="R688" s="178" t="s">
        <v>17</v>
      </c>
      <c r="S688" s="178" t="s">
        <v>2722</v>
      </c>
      <c r="T688" s="178" t="s">
        <v>2723</v>
      </c>
      <c r="U688" s="181">
        <v>42088</v>
      </c>
      <c r="V688" s="178" t="s">
        <v>186</v>
      </c>
      <c r="W688" s="182">
        <f t="shared" si="679"/>
        <v>0</v>
      </c>
      <c r="X688" s="182" t="str">
        <f t="shared" si="680"/>
        <v>Correcto</v>
      </c>
    </row>
    <row r="689" spans="1:24" ht="18" customHeight="1" x14ac:dyDescent="0.25">
      <c r="A689" s="186">
        <v>680</v>
      </c>
      <c r="B689" s="173" t="s">
        <v>2724</v>
      </c>
      <c r="C689" s="174">
        <v>42080</v>
      </c>
      <c r="D689" s="175">
        <v>2</v>
      </c>
      <c r="E689" s="175" t="s">
        <v>93</v>
      </c>
      <c r="F689" s="176" t="s">
        <v>1914</v>
      </c>
      <c r="G689" s="175" t="s">
        <v>202</v>
      </c>
      <c r="H689" s="177">
        <v>42086</v>
      </c>
      <c r="I689" s="175" t="s">
        <v>187</v>
      </c>
      <c r="J689" s="175" t="s">
        <v>103</v>
      </c>
      <c r="K689" s="180" t="s">
        <v>2725</v>
      </c>
      <c r="L689" s="177">
        <v>42086</v>
      </c>
      <c r="M689" s="178" t="s">
        <v>1654</v>
      </c>
      <c r="N689" s="178" t="s">
        <v>185</v>
      </c>
      <c r="O689" s="177">
        <v>42086</v>
      </c>
      <c r="P689" s="179">
        <f t="shared" si="678"/>
        <v>6</v>
      </c>
      <c r="Q689" s="180" t="s">
        <v>2725</v>
      </c>
      <c r="R689" s="178" t="s">
        <v>17</v>
      </c>
      <c r="S689" s="178" t="s">
        <v>2726</v>
      </c>
      <c r="T689" s="178">
        <v>1103569263</v>
      </c>
      <c r="U689" s="181">
        <v>42086</v>
      </c>
      <c r="V689" s="178" t="s">
        <v>186</v>
      </c>
      <c r="W689" s="182">
        <f t="shared" si="679"/>
        <v>0</v>
      </c>
      <c r="X689" s="182" t="str">
        <f t="shared" si="680"/>
        <v>Correcto</v>
      </c>
    </row>
    <row r="690" spans="1:24" ht="18" customHeight="1" x14ac:dyDescent="0.25">
      <c r="A690" s="186">
        <v>681</v>
      </c>
      <c r="B690" s="173" t="s">
        <v>2727</v>
      </c>
      <c r="C690" s="174">
        <v>42080</v>
      </c>
      <c r="D690" s="175">
        <v>2</v>
      </c>
      <c r="E690" s="175" t="s">
        <v>93</v>
      </c>
      <c r="F690" s="176" t="s">
        <v>825</v>
      </c>
      <c r="G690" s="175" t="s">
        <v>202</v>
      </c>
      <c r="H690" s="177">
        <v>42086</v>
      </c>
      <c r="I690" s="175" t="s">
        <v>187</v>
      </c>
      <c r="J690" s="175" t="s">
        <v>103</v>
      </c>
      <c r="K690" s="178" t="s">
        <v>2728</v>
      </c>
      <c r="L690" s="177">
        <v>42086</v>
      </c>
      <c r="M690" s="178" t="s">
        <v>1654</v>
      </c>
      <c r="N690" s="178" t="s">
        <v>185</v>
      </c>
      <c r="O690" s="177">
        <v>42087</v>
      </c>
      <c r="P690" s="179">
        <f t="shared" si="678"/>
        <v>7</v>
      </c>
      <c r="Q690" s="180" t="s">
        <v>2729</v>
      </c>
      <c r="R690" s="178" t="s">
        <v>17</v>
      </c>
      <c r="S690" s="178" t="s">
        <v>101</v>
      </c>
      <c r="T690" s="178" t="s">
        <v>2730</v>
      </c>
      <c r="U690" s="181">
        <v>42088</v>
      </c>
      <c r="V690" s="178" t="s">
        <v>186</v>
      </c>
      <c r="W690" s="182">
        <f t="shared" si="679"/>
        <v>0</v>
      </c>
      <c r="X690" s="182" t="str">
        <f t="shared" si="680"/>
        <v>Correcto</v>
      </c>
    </row>
    <row r="691" spans="1:24" ht="18" customHeight="1" x14ac:dyDescent="0.25">
      <c r="A691" s="186">
        <v>682</v>
      </c>
      <c r="B691" s="173" t="s">
        <v>2731</v>
      </c>
      <c r="C691" s="174">
        <v>42080</v>
      </c>
      <c r="D691" s="175">
        <v>2</v>
      </c>
      <c r="E691" s="175" t="s">
        <v>93</v>
      </c>
      <c r="F691" s="176" t="s">
        <v>825</v>
      </c>
      <c r="G691" s="175" t="s">
        <v>202</v>
      </c>
      <c r="H691" s="177">
        <v>42086</v>
      </c>
      <c r="I691" s="175" t="s">
        <v>187</v>
      </c>
      <c r="J691" s="175" t="s">
        <v>103</v>
      </c>
      <c r="K691" s="178" t="s">
        <v>2732</v>
      </c>
      <c r="L691" s="177">
        <v>42086</v>
      </c>
      <c r="M691" s="178" t="s">
        <v>1654</v>
      </c>
      <c r="N691" s="178" t="s">
        <v>185</v>
      </c>
      <c r="O691" s="177">
        <v>42087</v>
      </c>
      <c r="P691" s="179">
        <f t="shared" si="678"/>
        <v>7</v>
      </c>
      <c r="Q691" s="180" t="s">
        <v>2733</v>
      </c>
      <c r="R691" s="178" t="s">
        <v>17</v>
      </c>
      <c r="S691" s="178" t="s">
        <v>101</v>
      </c>
      <c r="T691" s="178" t="s">
        <v>2730</v>
      </c>
      <c r="U691" s="181">
        <v>42088</v>
      </c>
      <c r="V691" s="178" t="s">
        <v>186</v>
      </c>
      <c r="W691" s="182">
        <f t="shared" si="679"/>
        <v>0</v>
      </c>
      <c r="X691" s="182" t="str">
        <f t="shared" si="680"/>
        <v>Correcto</v>
      </c>
    </row>
    <row r="692" spans="1:24" ht="18" customHeight="1" x14ac:dyDescent="0.25">
      <c r="A692" s="186">
        <v>683</v>
      </c>
      <c r="B692" s="173" t="s">
        <v>2734</v>
      </c>
      <c r="C692" s="174">
        <v>42080</v>
      </c>
      <c r="D692" s="175">
        <v>2</v>
      </c>
      <c r="E692" s="175" t="s">
        <v>93</v>
      </c>
      <c r="F692" s="176" t="s">
        <v>825</v>
      </c>
      <c r="G692" s="175" t="s">
        <v>202</v>
      </c>
      <c r="H692" s="177">
        <v>42086</v>
      </c>
      <c r="I692" s="175" t="s">
        <v>187</v>
      </c>
      <c r="J692" s="175" t="s">
        <v>103</v>
      </c>
      <c r="K692" s="178" t="s">
        <v>2735</v>
      </c>
      <c r="L692" s="177">
        <v>42086</v>
      </c>
      <c r="M692" s="178" t="s">
        <v>1654</v>
      </c>
      <c r="N692" s="178" t="s">
        <v>185</v>
      </c>
      <c r="O692" s="177">
        <v>42087</v>
      </c>
      <c r="P692" s="179">
        <f t="shared" si="678"/>
        <v>7</v>
      </c>
      <c r="Q692" s="180" t="s">
        <v>2736</v>
      </c>
      <c r="R692" s="178" t="s">
        <v>17</v>
      </c>
      <c r="S692" s="178" t="s">
        <v>101</v>
      </c>
      <c r="T692" s="178" t="s">
        <v>1007</v>
      </c>
      <c r="U692" s="181">
        <v>42088</v>
      </c>
      <c r="V692" s="178" t="s">
        <v>186</v>
      </c>
      <c r="W692" s="182">
        <f t="shared" si="679"/>
        <v>0</v>
      </c>
      <c r="X692" s="182" t="str">
        <f t="shared" si="680"/>
        <v>Correcto</v>
      </c>
    </row>
    <row r="693" spans="1:24" ht="18" customHeight="1" x14ac:dyDescent="0.25">
      <c r="A693" s="186">
        <v>684</v>
      </c>
      <c r="B693" s="173" t="s">
        <v>2737</v>
      </c>
      <c r="C693" s="174">
        <v>42080</v>
      </c>
      <c r="D693" s="175">
        <v>2</v>
      </c>
      <c r="E693" s="175" t="s">
        <v>93</v>
      </c>
      <c r="F693" s="176" t="s">
        <v>825</v>
      </c>
      <c r="G693" s="175" t="s">
        <v>202</v>
      </c>
      <c r="H693" s="177">
        <v>42086</v>
      </c>
      <c r="I693" s="175" t="s">
        <v>187</v>
      </c>
      <c r="J693" s="175" t="s">
        <v>103</v>
      </c>
      <c r="K693" s="178" t="s">
        <v>2738</v>
      </c>
      <c r="L693" s="177">
        <v>42086</v>
      </c>
      <c r="M693" s="178" t="s">
        <v>1654</v>
      </c>
      <c r="N693" s="178" t="s">
        <v>185</v>
      </c>
      <c r="O693" s="177">
        <v>42087</v>
      </c>
      <c r="P693" s="179">
        <f t="shared" si="678"/>
        <v>7</v>
      </c>
      <c r="Q693" s="180" t="s">
        <v>2739</v>
      </c>
      <c r="R693" s="178" t="s">
        <v>17</v>
      </c>
      <c r="S693" s="178" t="s">
        <v>101</v>
      </c>
      <c r="T693" s="178" t="s">
        <v>2458</v>
      </c>
      <c r="U693" s="181">
        <v>42088</v>
      </c>
      <c r="V693" s="178" t="s">
        <v>186</v>
      </c>
      <c r="W693" s="182">
        <f t="shared" si="679"/>
        <v>0</v>
      </c>
      <c r="X693" s="182" t="str">
        <f t="shared" si="680"/>
        <v>Correcto</v>
      </c>
    </row>
    <row r="694" spans="1:24" ht="18" customHeight="1" x14ac:dyDescent="0.25">
      <c r="A694" s="186">
        <v>685</v>
      </c>
      <c r="B694" s="173" t="s">
        <v>2740</v>
      </c>
      <c r="C694" s="174">
        <v>42080</v>
      </c>
      <c r="D694" s="175">
        <v>2</v>
      </c>
      <c r="E694" s="175" t="s">
        <v>93</v>
      </c>
      <c r="F694" s="176" t="s">
        <v>825</v>
      </c>
      <c r="G694" s="175" t="s">
        <v>202</v>
      </c>
      <c r="H694" s="177">
        <v>42086</v>
      </c>
      <c r="I694" s="175" t="s">
        <v>187</v>
      </c>
      <c r="J694" s="175" t="s">
        <v>103</v>
      </c>
      <c r="K694" s="178" t="s">
        <v>2741</v>
      </c>
      <c r="L694" s="177">
        <v>42086</v>
      </c>
      <c r="M694" s="178" t="s">
        <v>1654</v>
      </c>
      <c r="N694" s="178" t="s">
        <v>185</v>
      </c>
      <c r="O694" s="177">
        <v>42087</v>
      </c>
      <c r="P694" s="179">
        <f t="shared" si="678"/>
        <v>7</v>
      </c>
      <c r="Q694" s="180" t="s">
        <v>2742</v>
      </c>
      <c r="R694" s="178" t="s">
        <v>17</v>
      </c>
      <c r="S694" s="178" t="s">
        <v>101</v>
      </c>
      <c r="T694" s="178" t="s">
        <v>953</v>
      </c>
      <c r="U694" s="181">
        <v>42088</v>
      </c>
      <c r="V694" s="178" t="s">
        <v>186</v>
      </c>
      <c r="W694" s="182">
        <f t="shared" si="679"/>
        <v>0</v>
      </c>
      <c r="X694" s="182" t="str">
        <f t="shared" si="680"/>
        <v>Correcto</v>
      </c>
    </row>
    <row r="695" spans="1:24" ht="18" customHeight="1" x14ac:dyDescent="0.25">
      <c r="A695" s="186">
        <v>686</v>
      </c>
      <c r="B695" s="173" t="s">
        <v>2743</v>
      </c>
      <c r="C695" s="174">
        <v>42080</v>
      </c>
      <c r="D695" s="175">
        <v>2</v>
      </c>
      <c r="E695" s="175" t="s">
        <v>93</v>
      </c>
      <c r="F695" s="176" t="s">
        <v>825</v>
      </c>
      <c r="G695" s="175" t="s">
        <v>202</v>
      </c>
      <c r="H695" s="177">
        <v>42086</v>
      </c>
      <c r="I695" s="175" t="s">
        <v>187</v>
      </c>
      <c r="J695" s="175" t="s">
        <v>103</v>
      </c>
      <c r="K695" s="178" t="s">
        <v>2744</v>
      </c>
      <c r="L695" s="177">
        <v>42088</v>
      </c>
      <c r="M695" s="178" t="s">
        <v>2745</v>
      </c>
      <c r="N695" s="178" t="s">
        <v>2746</v>
      </c>
      <c r="O695" s="177">
        <v>42088</v>
      </c>
      <c r="P695" s="179">
        <f t="shared" si="678"/>
        <v>8</v>
      </c>
      <c r="Q695" s="180" t="s">
        <v>2747</v>
      </c>
      <c r="R695" s="178" t="s">
        <v>17</v>
      </c>
      <c r="S695" s="178" t="s">
        <v>101</v>
      </c>
      <c r="T695" s="178" t="s">
        <v>1286</v>
      </c>
      <c r="U695" s="181">
        <v>42094</v>
      </c>
      <c r="V695" s="178" t="s">
        <v>186</v>
      </c>
      <c r="W695" s="182">
        <f t="shared" si="679"/>
        <v>0</v>
      </c>
      <c r="X695" s="182" t="str">
        <f t="shared" si="680"/>
        <v>Correcto</v>
      </c>
    </row>
    <row r="696" spans="1:24" ht="18" customHeight="1" x14ac:dyDescent="0.25">
      <c r="A696" s="186">
        <v>687</v>
      </c>
      <c r="B696" s="173" t="s">
        <v>2748</v>
      </c>
      <c r="C696" s="174">
        <v>42080</v>
      </c>
      <c r="D696" s="175">
        <v>15</v>
      </c>
      <c r="E696" s="175" t="s">
        <v>93</v>
      </c>
      <c r="F696" s="176" t="s">
        <v>825</v>
      </c>
      <c r="G696" s="175" t="s">
        <v>202</v>
      </c>
      <c r="H696" s="177">
        <v>42093</v>
      </c>
      <c r="I696" s="175" t="s">
        <v>187</v>
      </c>
      <c r="J696" s="175" t="s">
        <v>103</v>
      </c>
      <c r="K696" s="178" t="s">
        <v>2749</v>
      </c>
      <c r="L696" s="177">
        <v>42093</v>
      </c>
      <c r="M696" s="178" t="s">
        <v>1654</v>
      </c>
      <c r="N696" s="178" t="s">
        <v>185</v>
      </c>
      <c r="O696" s="177">
        <v>42095</v>
      </c>
      <c r="P696" s="179">
        <f t="shared" si="678"/>
        <v>15</v>
      </c>
      <c r="Q696" s="180" t="s">
        <v>2750</v>
      </c>
      <c r="R696" s="178" t="s">
        <v>17</v>
      </c>
      <c r="S696" s="178" t="s">
        <v>101</v>
      </c>
      <c r="T696" s="178" t="s">
        <v>1286</v>
      </c>
      <c r="U696" s="181">
        <v>42101</v>
      </c>
      <c r="V696" s="178" t="s">
        <v>186</v>
      </c>
      <c r="W696" s="182">
        <f t="shared" si="679"/>
        <v>0</v>
      </c>
      <c r="X696" s="182" t="str">
        <f t="shared" si="680"/>
        <v>Correcto</v>
      </c>
    </row>
    <row r="697" spans="1:24" ht="18" customHeight="1" x14ac:dyDescent="0.25">
      <c r="A697" s="186">
        <v>688</v>
      </c>
      <c r="B697" s="173" t="s">
        <v>2751</v>
      </c>
      <c r="C697" s="174">
        <v>42080</v>
      </c>
      <c r="D697" s="175">
        <v>2</v>
      </c>
      <c r="E697" s="175" t="s">
        <v>93</v>
      </c>
      <c r="F697" s="176" t="s">
        <v>825</v>
      </c>
      <c r="G697" s="175" t="s">
        <v>202</v>
      </c>
      <c r="H697" s="177">
        <v>42147</v>
      </c>
      <c r="I697" s="175" t="s">
        <v>187</v>
      </c>
      <c r="J697" s="175" t="s">
        <v>103</v>
      </c>
      <c r="K697" s="178" t="s">
        <v>2744</v>
      </c>
      <c r="L697" s="177">
        <v>42147</v>
      </c>
      <c r="M697" s="178" t="s">
        <v>2745</v>
      </c>
      <c r="N697" s="178" t="s">
        <v>2746</v>
      </c>
      <c r="O697" s="177">
        <v>42088</v>
      </c>
      <c r="P697" s="179">
        <f t="shared" si="678"/>
        <v>8</v>
      </c>
      <c r="Q697" s="180" t="s">
        <v>2752</v>
      </c>
      <c r="R697" s="178" t="s">
        <v>17</v>
      </c>
      <c r="S697" s="178" t="s">
        <v>101</v>
      </c>
      <c r="T697" s="178" t="s">
        <v>1286</v>
      </c>
      <c r="U697" s="181">
        <v>42094</v>
      </c>
      <c r="V697" s="178" t="s">
        <v>186</v>
      </c>
      <c r="W697" s="182">
        <f t="shared" si="679"/>
        <v>0</v>
      </c>
      <c r="X697" s="182" t="str">
        <f t="shared" si="680"/>
        <v>Correcto</v>
      </c>
    </row>
    <row r="698" spans="1:24" ht="18" customHeight="1" x14ac:dyDescent="0.25">
      <c r="A698" s="186">
        <v>689</v>
      </c>
      <c r="B698" s="173" t="s">
        <v>2753</v>
      </c>
      <c r="C698" s="174">
        <v>42080</v>
      </c>
      <c r="D698" s="175">
        <v>2</v>
      </c>
      <c r="E698" s="175" t="s">
        <v>93</v>
      </c>
      <c r="F698" s="176" t="s">
        <v>825</v>
      </c>
      <c r="G698" s="175" t="s">
        <v>202</v>
      </c>
      <c r="H698" s="177">
        <v>42147</v>
      </c>
      <c r="I698" s="175" t="s">
        <v>187</v>
      </c>
      <c r="J698" s="175" t="s">
        <v>103</v>
      </c>
      <c r="K698" s="178" t="s">
        <v>2744</v>
      </c>
      <c r="L698" s="177">
        <v>42147</v>
      </c>
      <c r="M698" s="178" t="s">
        <v>2745</v>
      </c>
      <c r="N698" s="178" t="s">
        <v>2746</v>
      </c>
      <c r="O698" s="177">
        <v>42088</v>
      </c>
      <c r="P698" s="179">
        <f t="shared" si="678"/>
        <v>8</v>
      </c>
      <c r="Q698" s="180" t="s">
        <v>2754</v>
      </c>
      <c r="R698" s="178" t="s">
        <v>17</v>
      </c>
      <c r="S698" s="178" t="s">
        <v>101</v>
      </c>
      <c r="T698" s="178" t="s">
        <v>1286</v>
      </c>
      <c r="U698" s="181">
        <v>42094</v>
      </c>
      <c r="V698" s="178" t="s">
        <v>186</v>
      </c>
      <c r="W698" s="182">
        <f t="shared" si="679"/>
        <v>0</v>
      </c>
      <c r="X698" s="182" t="str">
        <f t="shared" si="680"/>
        <v>Correcto</v>
      </c>
    </row>
    <row r="699" spans="1:24" ht="18" customHeight="1" x14ac:dyDescent="0.25">
      <c r="A699" s="186">
        <v>690</v>
      </c>
      <c r="B699" s="173" t="s">
        <v>2755</v>
      </c>
      <c r="C699" s="174">
        <v>42080</v>
      </c>
      <c r="D699" s="175">
        <v>2</v>
      </c>
      <c r="E699" s="175" t="s">
        <v>93</v>
      </c>
      <c r="F699" s="176" t="s">
        <v>825</v>
      </c>
      <c r="G699" s="175" t="s">
        <v>202</v>
      </c>
      <c r="H699" s="177">
        <v>42086</v>
      </c>
      <c r="I699" s="175" t="s">
        <v>187</v>
      </c>
      <c r="J699" s="175" t="s">
        <v>103</v>
      </c>
      <c r="K699" s="178" t="s">
        <v>2756</v>
      </c>
      <c r="L699" s="177">
        <v>42086</v>
      </c>
      <c r="M699" s="178" t="s">
        <v>1654</v>
      </c>
      <c r="N699" s="178" t="s">
        <v>185</v>
      </c>
      <c r="O699" s="177">
        <v>42087</v>
      </c>
      <c r="P699" s="179">
        <f t="shared" si="678"/>
        <v>7</v>
      </c>
      <c r="Q699" s="180" t="s">
        <v>2757</v>
      </c>
      <c r="R699" s="178" t="s">
        <v>17</v>
      </c>
      <c r="S699" s="178" t="s">
        <v>101</v>
      </c>
      <c r="T699" s="178" t="s">
        <v>996</v>
      </c>
      <c r="U699" s="181">
        <v>42088</v>
      </c>
      <c r="V699" s="178" t="s">
        <v>186</v>
      </c>
      <c r="W699" s="182">
        <f t="shared" si="679"/>
        <v>0</v>
      </c>
      <c r="X699" s="182" t="str">
        <f t="shared" si="680"/>
        <v>Correcto</v>
      </c>
    </row>
    <row r="700" spans="1:24" ht="18" customHeight="1" x14ac:dyDescent="0.25">
      <c r="A700" s="186">
        <v>691</v>
      </c>
      <c r="B700" s="173" t="s">
        <v>2758</v>
      </c>
      <c r="C700" s="174">
        <v>42080</v>
      </c>
      <c r="D700" s="175">
        <v>2</v>
      </c>
      <c r="E700" s="175" t="s">
        <v>93</v>
      </c>
      <c r="F700" s="176" t="s">
        <v>825</v>
      </c>
      <c r="G700" s="175" t="s">
        <v>202</v>
      </c>
      <c r="H700" s="177">
        <v>42094</v>
      </c>
      <c r="I700" s="175" t="s">
        <v>187</v>
      </c>
      <c r="J700" s="175" t="s">
        <v>103</v>
      </c>
      <c r="K700" s="178" t="s">
        <v>2759</v>
      </c>
      <c r="L700" s="177">
        <v>42094</v>
      </c>
      <c r="M700" s="178" t="s">
        <v>1654</v>
      </c>
      <c r="N700" s="178" t="s">
        <v>185</v>
      </c>
      <c r="O700" s="177">
        <v>42095</v>
      </c>
      <c r="P700" s="179">
        <f t="shared" si="678"/>
        <v>15</v>
      </c>
      <c r="Q700" s="180" t="s">
        <v>2760</v>
      </c>
      <c r="R700" s="178" t="s">
        <v>17</v>
      </c>
      <c r="S700" s="178" t="s">
        <v>101</v>
      </c>
      <c r="T700" s="178" t="s">
        <v>1150</v>
      </c>
      <c r="U700" s="181">
        <v>42095</v>
      </c>
      <c r="V700" s="178" t="s">
        <v>186</v>
      </c>
      <c r="W700" s="182">
        <f t="shared" si="679"/>
        <v>0</v>
      </c>
      <c r="X700" s="182" t="str">
        <f t="shared" si="680"/>
        <v>Correcto</v>
      </c>
    </row>
    <row r="701" spans="1:24" ht="18" customHeight="1" x14ac:dyDescent="0.25">
      <c r="A701" s="186">
        <v>692</v>
      </c>
      <c r="B701" s="173" t="s">
        <v>2761</v>
      </c>
      <c r="C701" s="174">
        <v>42080</v>
      </c>
      <c r="D701" s="175">
        <v>2</v>
      </c>
      <c r="E701" s="175" t="s">
        <v>93</v>
      </c>
      <c r="F701" s="176" t="s">
        <v>825</v>
      </c>
      <c r="G701" s="175" t="s">
        <v>202</v>
      </c>
      <c r="H701" s="177">
        <v>42083</v>
      </c>
      <c r="I701" s="175" t="s">
        <v>187</v>
      </c>
      <c r="J701" s="175" t="s">
        <v>103</v>
      </c>
      <c r="K701" s="178" t="s">
        <v>2762</v>
      </c>
      <c r="L701" s="177">
        <v>42083</v>
      </c>
      <c r="M701" s="178" t="s">
        <v>1654</v>
      </c>
      <c r="N701" s="178" t="s">
        <v>185</v>
      </c>
      <c r="O701" s="177">
        <v>42086</v>
      </c>
      <c r="P701" s="179">
        <f t="shared" si="678"/>
        <v>6</v>
      </c>
      <c r="Q701" s="180" t="s">
        <v>2763</v>
      </c>
      <c r="R701" s="178" t="s">
        <v>17</v>
      </c>
      <c r="S701" s="178" t="s">
        <v>101</v>
      </c>
      <c r="T701" s="178" t="s">
        <v>996</v>
      </c>
      <c r="U701" s="181">
        <v>42088</v>
      </c>
      <c r="V701" s="178" t="s">
        <v>186</v>
      </c>
      <c r="W701" s="182">
        <f t="shared" si="679"/>
        <v>0</v>
      </c>
      <c r="X701" s="182" t="str">
        <f t="shared" si="680"/>
        <v>Correcto</v>
      </c>
    </row>
    <row r="702" spans="1:24" ht="18" customHeight="1" x14ac:dyDescent="0.25">
      <c r="A702" s="186">
        <v>693</v>
      </c>
      <c r="B702" s="173" t="s">
        <v>2764</v>
      </c>
      <c r="C702" s="174">
        <v>42080</v>
      </c>
      <c r="D702" s="175">
        <v>2</v>
      </c>
      <c r="E702" s="175" t="s">
        <v>93</v>
      </c>
      <c r="F702" s="176" t="s">
        <v>825</v>
      </c>
      <c r="G702" s="175" t="s">
        <v>202</v>
      </c>
      <c r="H702" s="177">
        <v>42086</v>
      </c>
      <c r="I702" s="175" t="s">
        <v>187</v>
      </c>
      <c r="J702" s="175" t="s">
        <v>103</v>
      </c>
      <c r="K702" s="178" t="s">
        <v>2765</v>
      </c>
      <c r="L702" s="177">
        <v>42086</v>
      </c>
      <c r="M702" s="178" t="s">
        <v>1654</v>
      </c>
      <c r="N702" s="178" t="s">
        <v>185</v>
      </c>
      <c r="O702" s="177">
        <v>42087</v>
      </c>
      <c r="P702" s="179">
        <f t="shared" si="678"/>
        <v>7</v>
      </c>
      <c r="Q702" s="180" t="s">
        <v>2766</v>
      </c>
      <c r="R702" s="178" t="s">
        <v>17</v>
      </c>
      <c r="S702" s="178" t="s">
        <v>101</v>
      </c>
      <c r="T702" s="178" t="s">
        <v>2458</v>
      </c>
      <c r="U702" s="181">
        <v>42088</v>
      </c>
      <c r="V702" s="178" t="s">
        <v>186</v>
      </c>
      <c r="W702" s="182">
        <f t="shared" si="679"/>
        <v>0</v>
      </c>
      <c r="X702" s="182" t="str">
        <f t="shared" si="680"/>
        <v>Correcto</v>
      </c>
    </row>
    <row r="703" spans="1:24" ht="18" customHeight="1" x14ac:dyDescent="0.25">
      <c r="A703" s="186">
        <v>694</v>
      </c>
      <c r="B703" s="173" t="s">
        <v>2767</v>
      </c>
      <c r="C703" s="174">
        <v>42080</v>
      </c>
      <c r="D703" s="175">
        <v>2</v>
      </c>
      <c r="E703" s="175" t="s">
        <v>93</v>
      </c>
      <c r="F703" s="176" t="s">
        <v>1914</v>
      </c>
      <c r="G703" s="175" t="s">
        <v>202</v>
      </c>
      <c r="H703" s="177">
        <v>42086</v>
      </c>
      <c r="I703" s="175" t="s">
        <v>187</v>
      </c>
      <c r="J703" s="175" t="s">
        <v>103</v>
      </c>
      <c r="K703" s="180" t="s">
        <v>2768</v>
      </c>
      <c r="L703" s="177">
        <v>42086</v>
      </c>
      <c r="M703" s="178" t="s">
        <v>1654</v>
      </c>
      <c r="N703" s="178" t="s">
        <v>185</v>
      </c>
      <c r="O703" s="177">
        <v>42086</v>
      </c>
      <c r="P703" s="179">
        <f t="shared" si="678"/>
        <v>6</v>
      </c>
      <c r="Q703" s="180" t="s">
        <v>2768</v>
      </c>
      <c r="R703" s="178" t="s">
        <v>17</v>
      </c>
      <c r="S703" s="178" t="s">
        <v>2769</v>
      </c>
      <c r="T703" s="178">
        <v>1103709463</v>
      </c>
      <c r="U703" s="181">
        <v>42086</v>
      </c>
      <c r="V703" s="178" t="s">
        <v>186</v>
      </c>
      <c r="W703" s="182">
        <f t="shared" si="679"/>
        <v>0</v>
      </c>
      <c r="X703" s="182" t="str">
        <f t="shared" si="680"/>
        <v>Correcto</v>
      </c>
    </row>
    <row r="704" spans="1:24" ht="18" customHeight="1" x14ac:dyDescent="0.25">
      <c r="A704" s="186">
        <v>695</v>
      </c>
      <c r="B704" s="173" t="s">
        <v>2770</v>
      </c>
      <c r="C704" s="174">
        <v>42080</v>
      </c>
      <c r="D704" s="175">
        <v>2</v>
      </c>
      <c r="E704" s="175" t="s">
        <v>93</v>
      </c>
      <c r="F704" s="176" t="s">
        <v>825</v>
      </c>
      <c r="G704" s="175" t="s">
        <v>202</v>
      </c>
      <c r="H704" s="177">
        <v>42086</v>
      </c>
      <c r="I704" s="175" t="s">
        <v>187</v>
      </c>
      <c r="J704" s="175" t="s">
        <v>103</v>
      </c>
      <c r="K704" s="178" t="s">
        <v>2771</v>
      </c>
      <c r="L704" s="177">
        <v>42086</v>
      </c>
      <c r="M704" s="178" t="s">
        <v>1654</v>
      </c>
      <c r="N704" s="178" t="s">
        <v>185</v>
      </c>
      <c r="O704" s="177">
        <v>42087</v>
      </c>
      <c r="P704" s="179">
        <f t="shared" si="678"/>
        <v>7</v>
      </c>
      <c r="Q704" s="180" t="s">
        <v>2772</v>
      </c>
      <c r="R704" s="178" t="s">
        <v>17</v>
      </c>
      <c r="S704" s="178" t="s">
        <v>101</v>
      </c>
      <c r="T704" s="178" t="s">
        <v>1011</v>
      </c>
      <c r="U704" s="181">
        <v>42088</v>
      </c>
      <c r="V704" s="178" t="s">
        <v>186</v>
      </c>
      <c r="W704" s="182">
        <f t="shared" si="679"/>
        <v>0</v>
      </c>
      <c r="X704" s="182" t="str">
        <f t="shared" si="680"/>
        <v>Correcto</v>
      </c>
    </row>
    <row r="705" spans="1:24" ht="18" customHeight="1" x14ac:dyDescent="0.25">
      <c r="A705" s="186">
        <v>696</v>
      </c>
      <c r="B705" s="173" t="s">
        <v>2773</v>
      </c>
      <c r="C705" s="174">
        <v>42081</v>
      </c>
      <c r="D705" s="175">
        <v>2</v>
      </c>
      <c r="E705" s="175" t="s">
        <v>93</v>
      </c>
      <c r="F705" s="176" t="s">
        <v>825</v>
      </c>
      <c r="G705" s="175" t="s">
        <v>202</v>
      </c>
      <c r="H705" s="177">
        <v>42086</v>
      </c>
      <c r="I705" s="175" t="s">
        <v>187</v>
      </c>
      <c r="J705" s="175" t="s">
        <v>103</v>
      </c>
      <c r="K705" s="178" t="s">
        <v>2774</v>
      </c>
      <c r="L705" s="177">
        <v>42086</v>
      </c>
      <c r="M705" s="178" t="s">
        <v>1654</v>
      </c>
      <c r="N705" s="178" t="s">
        <v>185</v>
      </c>
      <c r="O705" s="177">
        <v>42087</v>
      </c>
      <c r="P705" s="179">
        <f t="shared" si="678"/>
        <v>6</v>
      </c>
      <c r="Q705" s="180" t="s">
        <v>2775</v>
      </c>
      <c r="R705" s="178" t="s">
        <v>17</v>
      </c>
      <c r="S705" s="178" t="s">
        <v>101</v>
      </c>
      <c r="T705" s="178" t="s">
        <v>2776</v>
      </c>
      <c r="U705" s="181">
        <v>42088</v>
      </c>
      <c r="V705" s="178" t="s">
        <v>186</v>
      </c>
      <c r="W705" s="182">
        <f t="shared" si="679"/>
        <v>0</v>
      </c>
      <c r="X705" s="182" t="str">
        <f t="shared" si="680"/>
        <v>Correcto</v>
      </c>
    </row>
    <row r="706" spans="1:24" ht="18" customHeight="1" x14ac:dyDescent="0.25">
      <c r="A706" s="186">
        <v>697</v>
      </c>
      <c r="B706" s="173" t="s">
        <v>2777</v>
      </c>
      <c r="C706" s="174">
        <v>42081</v>
      </c>
      <c r="D706" s="175">
        <v>2</v>
      </c>
      <c r="E706" s="175" t="s">
        <v>93</v>
      </c>
      <c r="F706" s="176" t="s">
        <v>825</v>
      </c>
      <c r="G706" s="175" t="s">
        <v>202</v>
      </c>
      <c r="H706" s="177">
        <v>42086</v>
      </c>
      <c r="I706" s="175" t="s">
        <v>187</v>
      </c>
      <c r="J706" s="175" t="s">
        <v>103</v>
      </c>
      <c r="K706" s="178" t="s">
        <v>2778</v>
      </c>
      <c r="L706" s="177">
        <v>42086</v>
      </c>
      <c r="M706" s="178" t="s">
        <v>1654</v>
      </c>
      <c r="N706" s="178" t="s">
        <v>185</v>
      </c>
      <c r="O706" s="177">
        <v>42087</v>
      </c>
      <c r="P706" s="179">
        <f t="shared" si="678"/>
        <v>6</v>
      </c>
      <c r="Q706" s="180" t="s">
        <v>2779</v>
      </c>
      <c r="R706" s="178" t="s">
        <v>17</v>
      </c>
      <c r="S706" s="178" t="s">
        <v>101</v>
      </c>
      <c r="T706" s="178" t="s">
        <v>2776</v>
      </c>
      <c r="U706" s="181">
        <v>42088</v>
      </c>
      <c r="V706" s="178" t="s">
        <v>186</v>
      </c>
      <c r="W706" s="182">
        <f t="shared" si="679"/>
        <v>0</v>
      </c>
      <c r="X706" s="182" t="str">
        <f t="shared" si="680"/>
        <v>Correcto</v>
      </c>
    </row>
    <row r="707" spans="1:24" ht="18" customHeight="1" x14ac:dyDescent="0.25">
      <c r="A707" s="186">
        <v>698</v>
      </c>
      <c r="B707" s="173" t="s">
        <v>2780</v>
      </c>
      <c r="C707" s="174">
        <v>42082</v>
      </c>
      <c r="D707" s="175">
        <v>2</v>
      </c>
      <c r="E707" s="175" t="s">
        <v>93</v>
      </c>
      <c r="F707" s="176" t="s">
        <v>1914</v>
      </c>
      <c r="G707" s="175" t="s">
        <v>202</v>
      </c>
      <c r="H707" s="177">
        <v>42086</v>
      </c>
      <c r="I707" s="175" t="s">
        <v>187</v>
      </c>
      <c r="J707" s="175" t="s">
        <v>103</v>
      </c>
      <c r="K707" s="180" t="s">
        <v>2781</v>
      </c>
      <c r="L707" s="177">
        <v>42086</v>
      </c>
      <c r="M707" s="178" t="s">
        <v>1654</v>
      </c>
      <c r="N707" s="178" t="s">
        <v>185</v>
      </c>
      <c r="O707" s="177">
        <v>42086</v>
      </c>
      <c r="P707" s="179">
        <f t="shared" si="678"/>
        <v>4</v>
      </c>
      <c r="Q707" s="180" t="s">
        <v>2781</v>
      </c>
      <c r="R707" s="178" t="s">
        <v>17</v>
      </c>
      <c r="S707" s="178" t="s">
        <v>2782</v>
      </c>
      <c r="T707" s="178">
        <v>1103343131</v>
      </c>
      <c r="U707" s="181">
        <v>42087</v>
      </c>
      <c r="V707" s="178" t="s">
        <v>186</v>
      </c>
      <c r="W707" s="182">
        <f t="shared" si="679"/>
        <v>0</v>
      </c>
      <c r="X707" s="182" t="str">
        <f t="shared" si="680"/>
        <v>Correcto</v>
      </c>
    </row>
    <row r="708" spans="1:24" ht="18" customHeight="1" x14ac:dyDescent="0.25">
      <c r="A708" s="186">
        <v>699</v>
      </c>
      <c r="B708" s="173" t="s">
        <v>2783</v>
      </c>
      <c r="C708" s="174">
        <v>42082</v>
      </c>
      <c r="D708" s="175">
        <v>2</v>
      </c>
      <c r="E708" s="175" t="s">
        <v>93</v>
      </c>
      <c r="F708" s="176" t="s">
        <v>1914</v>
      </c>
      <c r="G708" s="175" t="s">
        <v>202</v>
      </c>
      <c r="H708" s="177">
        <v>42086</v>
      </c>
      <c r="I708" s="175" t="s">
        <v>187</v>
      </c>
      <c r="J708" s="175" t="s">
        <v>103</v>
      </c>
      <c r="K708" s="180" t="s">
        <v>2784</v>
      </c>
      <c r="L708" s="177">
        <v>42086</v>
      </c>
      <c r="M708" s="178" t="s">
        <v>1654</v>
      </c>
      <c r="N708" s="178" t="s">
        <v>185</v>
      </c>
      <c r="O708" s="177">
        <v>42086</v>
      </c>
      <c r="P708" s="179">
        <f t="shared" si="678"/>
        <v>4</v>
      </c>
      <c r="Q708" s="180" t="s">
        <v>2784</v>
      </c>
      <c r="R708" s="178" t="s">
        <v>17</v>
      </c>
      <c r="S708" s="178" t="s">
        <v>2785</v>
      </c>
      <c r="T708" s="178">
        <v>1105890824</v>
      </c>
      <c r="U708" s="181">
        <v>42087</v>
      </c>
      <c r="V708" s="178" t="s">
        <v>186</v>
      </c>
      <c r="W708" s="182">
        <f t="shared" si="679"/>
        <v>0</v>
      </c>
      <c r="X708" s="182" t="str">
        <f t="shared" si="680"/>
        <v>Correcto</v>
      </c>
    </row>
    <row r="709" spans="1:24" ht="18" customHeight="1" x14ac:dyDescent="0.25">
      <c r="A709" s="186">
        <v>700</v>
      </c>
      <c r="B709" s="173" t="s">
        <v>2786</v>
      </c>
      <c r="C709" s="174">
        <v>42082</v>
      </c>
      <c r="D709" s="175">
        <v>2</v>
      </c>
      <c r="E709" s="175" t="s">
        <v>93</v>
      </c>
      <c r="F709" s="176" t="s">
        <v>825</v>
      </c>
      <c r="G709" s="175" t="s">
        <v>202</v>
      </c>
      <c r="H709" s="177">
        <v>42087</v>
      </c>
      <c r="I709" s="175" t="s">
        <v>187</v>
      </c>
      <c r="J709" s="175" t="s">
        <v>103</v>
      </c>
      <c r="K709" s="180" t="s">
        <v>2787</v>
      </c>
      <c r="L709" s="177">
        <v>42087</v>
      </c>
      <c r="M709" s="178" t="s">
        <v>100</v>
      </c>
      <c r="N709" s="178" t="s">
        <v>1079</v>
      </c>
      <c r="O709" s="177">
        <v>42095</v>
      </c>
      <c r="P709" s="179">
        <f t="shared" si="678"/>
        <v>13</v>
      </c>
      <c r="Q709" s="180" t="s">
        <v>2788</v>
      </c>
      <c r="R709" s="178" t="s">
        <v>17</v>
      </c>
      <c r="S709" s="178" t="s">
        <v>2789</v>
      </c>
      <c r="T709" s="178">
        <v>1102549795</v>
      </c>
      <c r="U709" s="181">
        <v>42098</v>
      </c>
      <c r="V709" s="178" t="s">
        <v>186</v>
      </c>
      <c r="W709" s="182">
        <f t="shared" si="679"/>
        <v>0</v>
      </c>
      <c r="X709" s="182" t="str">
        <f t="shared" si="680"/>
        <v>Correcto</v>
      </c>
    </row>
    <row r="710" spans="1:24" ht="18" customHeight="1" x14ac:dyDescent="0.25">
      <c r="A710" s="186">
        <v>701</v>
      </c>
      <c r="B710" s="173" t="s">
        <v>2790</v>
      </c>
      <c r="C710" s="174">
        <v>42082</v>
      </c>
      <c r="D710" s="175">
        <v>8</v>
      </c>
      <c r="E710" s="175" t="s">
        <v>93</v>
      </c>
      <c r="F710" s="176" t="s">
        <v>1914</v>
      </c>
      <c r="G710" s="175" t="s">
        <v>202</v>
      </c>
      <c r="H710" s="177">
        <v>42086</v>
      </c>
      <c r="I710" s="175" t="s">
        <v>187</v>
      </c>
      <c r="J710" s="175" t="s">
        <v>103</v>
      </c>
      <c r="K710" s="180" t="s">
        <v>2791</v>
      </c>
      <c r="L710" s="177">
        <v>42086</v>
      </c>
      <c r="M710" s="178" t="s">
        <v>1654</v>
      </c>
      <c r="N710" s="178" t="s">
        <v>185</v>
      </c>
      <c r="O710" s="177">
        <v>42086</v>
      </c>
      <c r="P710" s="179">
        <f t="shared" si="678"/>
        <v>4</v>
      </c>
      <c r="Q710" s="180" t="s">
        <v>2791</v>
      </c>
      <c r="R710" s="178" t="s">
        <v>17</v>
      </c>
      <c r="S710" s="178" t="s">
        <v>2792</v>
      </c>
      <c r="T710" s="178">
        <v>1103804819</v>
      </c>
      <c r="U710" s="181">
        <v>42087</v>
      </c>
      <c r="V710" s="178" t="s">
        <v>186</v>
      </c>
      <c r="W710" s="182">
        <f t="shared" si="679"/>
        <v>0</v>
      </c>
      <c r="X710" s="182" t="str">
        <f t="shared" si="680"/>
        <v>Correcto</v>
      </c>
    </row>
    <row r="711" spans="1:24" ht="18" customHeight="1" x14ac:dyDescent="0.25">
      <c r="A711" s="186">
        <v>702</v>
      </c>
      <c r="B711" s="173" t="s">
        <v>2793</v>
      </c>
      <c r="C711" s="174">
        <v>42082</v>
      </c>
      <c r="D711" s="175">
        <v>2</v>
      </c>
      <c r="E711" s="175" t="s">
        <v>93</v>
      </c>
      <c r="F711" s="176" t="s">
        <v>825</v>
      </c>
      <c r="G711" s="175" t="s">
        <v>202</v>
      </c>
      <c r="H711" s="177">
        <v>42086</v>
      </c>
      <c r="I711" s="175" t="s">
        <v>187</v>
      </c>
      <c r="J711" s="175" t="s">
        <v>103</v>
      </c>
      <c r="K711" s="178" t="s">
        <v>2794</v>
      </c>
      <c r="L711" s="177">
        <v>42086</v>
      </c>
      <c r="M711" s="178" t="s">
        <v>1654</v>
      </c>
      <c r="N711" s="178" t="s">
        <v>185</v>
      </c>
      <c r="O711" s="177">
        <v>42087</v>
      </c>
      <c r="P711" s="179">
        <f t="shared" si="678"/>
        <v>5</v>
      </c>
      <c r="Q711" s="180" t="s">
        <v>2795</v>
      </c>
      <c r="R711" s="178" t="s">
        <v>17</v>
      </c>
      <c r="S711" s="178" t="s">
        <v>101</v>
      </c>
      <c r="T711" s="178" t="s">
        <v>953</v>
      </c>
      <c r="U711" s="181">
        <v>42088</v>
      </c>
      <c r="V711" s="178" t="s">
        <v>186</v>
      </c>
      <c r="W711" s="182">
        <f t="shared" si="679"/>
        <v>0</v>
      </c>
      <c r="X711" s="182" t="str">
        <f t="shared" si="680"/>
        <v>Correcto</v>
      </c>
    </row>
    <row r="712" spans="1:24" ht="18" customHeight="1" x14ac:dyDescent="0.25">
      <c r="A712" s="186">
        <v>703</v>
      </c>
      <c r="B712" s="173" t="s">
        <v>2796</v>
      </c>
      <c r="C712" s="174">
        <v>42082</v>
      </c>
      <c r="D712" s="175">
        <v>2</v>
      </c>
      <c r="E712" s="175" t="s">
        <v>93</v>
      </c>
      <c r="F712" s="176" t="s">
        <v>825</v>
      </c>
      <c r="G712" s="175" t="s">
        <v>202</v>
      </c>
      <c r="H712" s="177">
        <v>42086</v>
      </c>
      <c r="I712" s="175" t="s">
        <v>187</v>
      </c>
      <c r="J712" s="175" t="s">
        <v>103</v>
      </c>
      <c r="K712" s="178" t="s">
        <v>2797</v>
      </c>
      <c r="L712" s="177">
        <v>42086</v>
      </c>
      <c r="M712" s="178" t="s">
        <v>1654</v>
      </c>
      <c r="N712" s="178" t="s">
        <v>185</v>
      </c>
      <c r="O712" s="177">
        <v>42087</v>
      </c>
      <c r="P712" s="179">
        <f t="shared" si="678"/>
        <v>5</v>
      </c>
      <c r="Q712" s="180" t="s">
        <v>2798</v>
      </c>
      <c r="R712" s="178" t="s">
        <v>17</v>
      </c>
      <c r="S712" s="178" t="s">
        <v>101</v>
      </c>
      <c r="T712" s="178" t="s">
        <v>996</v>
      </c>
      <c r="U712" s="181">
        <v>42088</v>
      </c>
      <c r="V712" s="178" t="s">
        <v>186</v>
      </c>
      <c r="W712" s="182">
        <f t="shared" si="679"/>
        <v>0</v>
      </c>
      <c r="X712" s="182" t="str">
        <f t="shared" si="680"/>
        <v>Correcto</v>
      </c>
    </row>
    <row r="713" spans="1:24" ht="18" customHeight="1" x14ac:dyDescent="0.25">
      <c r="A713" s="186">
        <v>704</v>
      </c>
      <c r="B713" s="173" t="s">
        <v>2799</v>
      </c>
      <c r="C713" s="174">
        <v>42082</v>
      </c>
      <c r="D713" s="175">
        <v>2</v>
      </c>
      <c r="E713" s="175" t="s">
        <v>93</v>
      </c>
      <c r="F713" s="176" t="s">
        <v>825</v>
      </c>
      <c r="G713" s="175" t="s">
        <v>202</v>
      </c>
      <c r="H713" s="177">
        <v>42088</v>
      </c>
      <c r="I713" s="175" t="s">
        <v>187</v>
      </c>
      <c r="J713" s="175" t="s">
        <v>103</v>
      </c>
      <c r="K713" s="180" t="s">
        <v>2800</v>
      </c>
      <c r="L713" s="177">
        <v>42088</v>
      </c>
      <c r="M713" s="178" t="s">
        <v>1654</v>
      </c>
      <c r="N713" s="178" t="s">
        <v>185</v>
      </c>
      <c r="O713" s="177">
        <v>42088</v>
      </c>
      <c r="P713" s="179">
        <f t="shared" ref="P713:P776" si="681">O713-C713</f>
        <v>6</v>
      </c>
      <c r="Q713" s="180" t="s">
        <v>2800</v>
      </c>
      <c r="R713" s="178" t="s">
        <v>17</v>
      </c>
      <c r="S713" s="178" t="s">
        <v>101</v>
      </c>
      <c r="T713" s="178" t="s">
        <v>1226</v>
      </c>
      <c r="U713" s="181">
        <v>42094</v>
      </c>
      <c r="V713" s="178" t="s">
        <v>186</v>
      </c>
      <c r="W713" s="182">
        <f t="shared" ref="W713:W776" si="682">COUNTBLANK(C713:V713)</f>
        <v>0</v>
      </c>
      <c r="X713" s="182" t="str">
        <f t="shared" ref="X713:X776" si="683">IF(W713=0,"Correcto","Incorrecto")</f>
        <v>Correcto</v>
      </c>
    </row>
    <row r="714" spans="1:24" ht="18" customHeight="1" x14ac:dyDescent="0.25">
      <c r="A714" s="186">
        <v>705</v>
      </c>
      <c r="B714" s="173" t="s">
        <v>2801</v>
      </c>
      <c r="C714" s="174">
        <v>42082</v>
      </c>
      <c r="D714" s="175">
        <v>2</v>
      </c>
      <c r="E714" s="175" t="s">
        <v>93</v>
      </c>
      <c r="F714" s="176" t="s">
        <v>825</v>
      </c>
      <c r="G714" s="175" t="s">
        <v>202</v>
      </c>
      <c r="H714" s="177">
        <v>42086</v>
      </c>
      <c r="I714" s="175" t="s">
        <v>187</v>
      </c>
      <c r="J714" s="175" t="s">
        <v>103</v>
      </c>
      <c r="K714" s="178" t="s">
        <v>2802</v>
      </c>
      <c r="L714" s="177">
        <v>42086</v>
      </c>
      <c r="M714" s="178" t="s">
        <v>1654</v>
      </c>
      <c r="N714" s="178" t="s">
        <v>185</v>
      </c>
      <c r="O714" s="177">
        <v>42087</v>
      </c>
      <c r="P714" s="179">
        <f t="shared" si="681"/>
        <v>5</v>
      </c>
      <c r="Q714" s="180" t="s">
        <v>2803</v>
      </c>
      <c r="R714" s="178" t="s">
        <v>17</v>
      </c>
      <c r="S714" s="178" t="s">
        <v>101</v>
      </c>
      <c r="T714" s="178" t="s">
        <v>1226</v>
      </c>
      <c r="U714" s="181">
        <v>42088</v>
      </c>
      <c r="V714" s="178" t="s">
        <v>186</v>
      </c>
      <c r="W714" s="182">
        <f t="shared" si="682"/>
        <v>0</v>
      </c>
      <c r="X714" s="182" t="str">
        <f t="shared" si="683"/>
        <v>Correcto</v>
      </c>
    </row>
    <row r="715" spans="1:24" ht="18" customHeight="1" x14ac:dyDescent="0.25">
      <c r="A715" s="186">
        <v>706</v>
      </c>
      <c r="B715" s="173" t="s">
        <v>2804</v>
      </c>
      <c r="C715" s="174">
        <v>42082</v>
      </c>
      <c r="D715" s="175">
        <v>2</v>
      </c>
      <c r="E715" s="175" t="s">
        <v>93</v>
      </c>
      <c r="F715" s="176" t="s">
        <v>1914</v>
      </c>
      <c r="G715" s="175" t="s">
        <v>202</v>
      </c>
      <c r="H715" s="177">
        <v>42086</v>
      </c>
      <c r="I715" s="175" t="s">
        <v>187</v>
      </c>
      <c r="J715" s="175" t="s">
        <v>103</v>
      </c>
      <c r="K715" s="180" t="s">
        <v>2805</v>
      </c>
      <c r="L715" s="177">
        <v>42086</v>
      </c>
      <c r="M715" s="178" t="s">
        <v>1654</v>
      </c>
      <c r="N715" s="178" t="s">
        <v>185</v>
      </c>
      <c r="O715" s="177">
        <v>42086</v>
      </c>
      <c r="P715" s="179">
        <f t="shared" si="681"/>
        <v>4</v>
      </c>
      <c r="Q715" s="180" t="s">
        <v>2805</v>
      </c>
      <c r="R715" s="178" t="s">
        <v>17</v>
      </c>
      <c r="S715" s="178" t="s">
        <v>2806</v>
      </c>
      <c r="T715" s="178">
        <v>1103431423</v>
      </c>
      <c r="U715" s="181">
        <v>42087</v>
      </c>
      <c r="V715" s="178" t="s">
        <v>186</v>
      </c>
      <c r="W715" s="182">
        <f t="shared" si="682"/>
        <v>0</v>
      </c>
      <c r="X715" s="182" t="str">
        <f t="shared" si="683"/>
        <v>Correcto</v>
      </c>
    </row>
    <row r="716" spans="1:24" ht="18" customHeight="1" x14ac:dyDescent="0.25">
      <c r="A716" s="186">
        <v>707</v>
      </c>
      <c r="B716" s="173" t="s">
        <v>2807</v>
      </c>
      <c r="C716" s="174">
        <v>42082</v>
      </c>
      <c r="D716" s="175">
        <v>2</v>
      </c>
      <c r="E716" s="175" t="s">
        <v>93</v>
      </c>
      <c r="F716" s="176" t="s">
        <v>1914</v>
      </c>
      <c r="G716" s="175" t="s">
        <v>202</v>
      </c>
      <c r="H716" s="177">
        <v>42087</v>
      </c>
      <c r="I716" s="175" t="s">
        <v>187</v>
      </c>
      <c r="J716" s="175" t="s">
        <v>103</v>
      </c>
      <c r="K716" s="180" t="s">
        <v>2808</v>
      </c>
      <c r="L716" s="177">
        <v>42087</v>
      </c>
      <c r="M716" s="178" t="s">
        <v>1654</v>
      </c>
      <c r="N716" s="178" t="s">
        <v>185</v>
      </c>
      <c r="O716" s="177">
        <v>42087</v>
      </c>
      <c r="P716" s="179">
        <f t="shared" si="681"/>
        <v>5</v>
      </c>
      <c r="Q716" s="180" t="s">
        <v>2808</v>
      </c>
      <c r="R716" s="178" t="s">
        <v>17</v>
      </c>
      <c r="S716" s="178" t="s">
        <v>2809</v>
      </c>
      <c r="T716" s="178">
        <v>1104323192</v>
      </c>
      <c r="U716" s="181">
        <v>42087</v>
      </c>
      <c r="V716" s="178" t="s">
        <v>186</v>
      </c>
      <c r="W716" s="182">
        <f t="shared" si="682"/>
        <v>0</v>
      </c>
      <c r="X716" s="182" t="str">
        <f t="shared" si="683"/>
        <v>Correcto</v>
      </c>
    </row>
    <row r="717" spans="1:24" ht="18" customHeight="1" x14ac:dyDescent="0.25">
      <c r="A717" s="186">
        <v>708</v>
      </c>
      <c r="B717" s="173" t="s">
        <v>2810</v>
      </c>
      <c r="C717" s="174">
        <v>42082</v>
      </c>
      <c r="D717" s="175">
        <v>5</v>
      </c>
      <c r="E717" s="175" t="s">
        <v>93</v>
      </c>
      <c r="F717" s="176" t="s">
        <v>825</v>
      </c>
      <c r="G717" s="175" t="s">
        <v>202</v>
      </c>
      <c r="H717" s="177">
        <v>42088</v>
      </c>
      <c r="I717" s="175" t="s">
        <v>187</v>
      </c>
      <c r="J717" s="175" t="s">
        <v>103</v>
      </c>
      <c r="K717" s="178" t="s">
        <v>2811</v>
      </c>
      <c r="L717" s="177">
        <v>42088</v>
      </c>
      <c r="M717" s="178" t="s">
        <v>1654</v>
      </c>
      <c r="N717" s="178" t="s">
        <v>185</v>
      </c>
      <c r="O717" s="177">
        <v>42088</v>
      </c>
      <c r="P717" s="179">
        <f t="shared" si="681"/>
        <v>6</v>
      </c>
      <c r="Q717" s="180" t="s">
        <v>2812</v>
      </c>
      <c r="R717" s="178" t="s">
        <v>2438</v>
      </c>
      <c r="S717" s="178" t="s">
        <v>101</v>
      </c>
      <c r="T717" s="178">
        <v>1102981725</v>
      </c>
      <c r="U717" s="181">
        <v>42090</v>
      </c>
      <c r="V717" s="178" t="s">
        <v>186</v>
      </c>
      <c r="W717" s="182">
        <f t="shared" si="682"/>
        <v>0</v>
      </c>
      <c r="X717" s="182" t="str">
        <f t="shared" si="683"/>
        <v>Correcto</v>
      </c>
    </row>
    <row r="718" spans="1:24" ht="18" customHeight="1" x14ac:dyDescent="0.25">
      <c r="A718" s="186">
        <v>709</v>
      </c>
      <c r="B718" s="173" t="s">
        <v>2813</v>
      </c>
      <c r="C718" s="174">
        <v>42082</v>
      </c>
      <c r="D718" s="175">
        <v>5</v>
      </c>
      <c r="E718" s="175" t="s">
        <v>93</v>
      </c>
      <c r="F718" s="176" t="s">
        <v>825</v>
      </c>
      <c r="G718" s="175" t="s">
        <v>202</v>
      </c>
      <c r="H718" s="177">
        <v>42088</v>
      </c>
      <c r="I718" s="175" t="s">
        <v>187</v>
      </c>
      <c r="J718" s="175" t="s">
        <v>103</v>
      </c>
      <c r="K718" s="178" t="s">
        <v>2814</v>
      </c>
      <c r="L718" s="177">
        <v>42088</v>
      </c>
      <c r="M718" s="178" t="s">
        <v>1654</v>
      </c>
      <c r="N718" s="178" t="s">
        <v>185</v>
      </c>
      <c r="O718" s="177">
        <v>42088</v>
      </c>
      <c r="P718" s="179">
        <f t="shared" si="681"/>
        <v>6</v>
      </c>
      <c r="Q718" s="180" t="s">
        <v>2815</v>
      </c>
      <c r="R718" s="178" t="s">
        <v>2438</v>
      </c>
      <c r="S718" s="178" t="s">
        <v>101</v>
      </c>
      <c r="T718" s="178">
        <v>1102981725</v>
      </c>
      <c r="U718" s="181">
        <v>42090</v>
      </c>
      <c r="V718" s="178" t="s">
        <v>186</v>
      </c>
      <c r="W718" s="182">
        <f t="shared" si="682"/>
        <v>0</v>
      </c>
      <c r="X718" s="182" t="str">
        <f t="shared" si="683"/>
        <v>Correcto</v>
      </c>
    </row>
    <row r="719" spans="1:24" ht="18" customHeight="1" x14ac:dyDescent="0.25">
      <c r="A719" s="186">
        <v>710</v>
      </c>
      <c r="B719" s="173" t="s">
        <v>2816</v>
      </c>
      <c r="C719" s="174">
        <v>42082</v>
      </c>
      <c r="D719" s="175">
        <v>2</v>
      </c>
      <c r="E719" s="175" t="s">
        <v>93</v>
      </c>
      <c r="F719" s="176" t="s">
        <v>1914</v>
      </c>
      <c r="G719" s="175" t="s">
        <v>202</v>
      </c>
      <c r="H719" s="177">
        <v>42087</v>
      </c>
      <c r="I719" s="175" t="s">
        <v>187</v>
      </c>
      <c r="J719" s="175" t="s">
        <v>103</v>
      </c>
      <c r="K719" s="180" t="s">
        <v>2817</v>
      </c>
      <c r="L719" s="177">
        <v>42087</v>
      </c>
      <c r="M719" s="178" t="s">
        <v>1654</v>
      </c>
      <c r="N719" s="178" t="s">
        <v>185</v>
      </c>
      <c r="O719" s="177">
        <v>42087</v>
      </c>
      <c r="P719" s="179">
        <f t="shared" si="681"/>
        <v>5</v>
      </c>
      <c r="Q719" s="180" t="s">
        <v>2817</v>
      </c>
      <c r="R719" s="178" t="s">
        <v>17</v>
      </c>
      <c r="S719" s="178" t="s">
        <v>2818</v>
      </c>
      <c r="T719" s="178">
        <v>1105909913</v>
      </c>
      <c r="U719" s="181">
        <v>42087</v>
      </c>
      <c r="V719" s="178" t="s">
        <v>186</v>
      </c>
      <c r="W719" s="182">
        <f t="shared" si="682"/>
        <v>0</v>
      </c>
      <c r="X719" s="182" t="str">
        <f t="shared" si="683"/>
        <v>Correcto</v>
      </c>
    </row>
    <row r="720" spans="1:24" ht="18" customHeight="1" x14ac:dyDescent="0.25">
      <c r="A720" s="186">
        <v>711</v>
      </c>
      <c r="B720" s="173" t="s">
        <v>2819</v>
      </c>
      <c r="C720" s="174">
        <v>42083</v>
      </c>
      <c r="D720" s="175">
        <v>2</v>
      </c>
      <c r="E720" s="175" t="s">
        <v>93</v>
      </c>
      <c r="F720" s="176" t="s">
        <v>825</v>
      </c>
      <c r="G720" s="175" t="s">
        <v>202</v>
      </c>
      <c r="H720" s="177">
        <v>42087</v>
      </c>
      <c r="I720" s="175" t="s">
        <v>187</v>
      </c>
      <c r="J720" s="175" t="s">
        <v>103</v>
      </c>
      <c r="K720" s="178" t="s">
        <v>2820</v>
      </c>
      <c r="L720" s="177">
        <v>42087</v>
      </c>
      <c r="M720" s="178" t="s">
        <v>1654</v>
      </c>
      <c r="N720" s="178" t="s">
        <v>185</v>
      </c>
      <c r="O720" s="177">
        <v>42088</v>
      </c>
      <c r="P720" s="179">
        <f t="shared" si="681"/>
        <v>5</v>
      </c>
      <c r="Q720" s="180" t="s">
        <v>2821</v>
      </c>
      <c r="R720" s="178" t="s">
        <v>17</v>
      </c>
      <c r="S720" s="178" t="s">
        <v>101</v>
      </c>
      <c r="T720" s="178" t="s">
        <v>953</v>
      </c>
      <c r="U720" s="181">
        <v>42094</v>
      </c>
      <c r="V720" s="178" t="s">
        <v>186</v>
      </c>
      <c r="W720" s="182">
        <f t="shared" si="682"/>
        <v>0</v>
      </c>
      <c r="X720" s="182" t="str">
        <f t="shared" si="683"/>
        <v>Correcto</v>
      </c>
    </row>
    <row r="721" spans="1:24" ht="18" customHeight="1" x14ac:dyDescent="0.25">
      <c r="A721" s="186">
        <v>712</v>
      </c>
      <c r="B721" s="173" t="s">
        <v>2822</v>
      </c>
      <c r="C721" s="174">
        <v>42083</v>
      </c>
      <c r="D721" s="175">
        <v>87</v>
      </c>
      <c r="E721" s="175" t="s">
        <v>93</v>
      </c>
      <c r="F721" s="176" t="s">
        <v>2206</v>
      </c>
      <c r="G721" s="175" t="s">
        <v>202</v>
      </c>
      <c r="H721" s="177">
        <v>42107</v>
      </c>
      <c r="I721" s="175" t="s">
        <v>187</v>
      </c>
      <c r="J721" s="175" t="s">
        <v>103</v>
      </c>
      <c r="K721" s="178" t="s">
        <v>2823</v>
      </c>
      <c r="L721" s="177">
        <v>42107</v>
      </c>
      <c r="M721" s="178" t="s">
        <v>2824</v>
      </c>
      <c r="N721" s="178" t="s">
        <v>2825</v>
      </c>
      <c r="O721" s="177">
        <v>42109</v>
      </c>
      <c r="P721" s="179">
        <f t="shared" si="681"/>
        <v>26</v>
      </c>
      <c r="Q721" s="180" t="s">
        <v>2826</v>
      </c>
      <c r="R721" s="178" t="s">
        <v>20</v>
      </c>
      <c r="S721" s="178" t="s">
        <v>101</v>
      </c>
      <c r="T721" s="178" t="s">
        <v>2827</v>
      </c>
      <c r="U721" s="181">
        <v>42109</v>
      </c>
      <c r="V721" s="178" t="s">
        <v>186</v>
      </c>
      <c r="W721" s="182">
        <f t="shared" si="682"/>
        <v>0</v>
      </c>
      <c r="X721" s="182" t="str">
        <f t="shared" si="683"/>
        <v>Correcto</v>
      </c>
    </row>
    <row r="722" spans="1:24" ht="18" customHeight="1" x14ac:dyDescent="0.25">
      <c r="A722" s="186">
        <v>713</v>
      </c>
      <c r="B722" s="173" t="s">
        <v>2828</v>
      </c>
      <c r="C722" s="174">
        <v>42083</v>
      </c>
      <c r="D722" s="175">
        <v>2</v>
      </c>
      <c r="E722" s="175" t="s">
        <v>93</v>
      </c>
      <c r="F722" s="176" t="s">
        <v>1914</v>
      </c>
      <c r="G722" s="175" t="s">
        <v>202</v>
      </c>
      <c r="H722" s="177">
        <v>42089</v>
      </c>
      <c r="I722" s="175" t="s">
        <v>187</v>
      </c>
      <c r="J722" s="175" t="s">
        <v>103</v>
      </c>
      <c r="K722" s="180" t="s">
        <v>2829</v>
      </c>
      <c r="L722" s="177">
        <v>42089</v>
      </c>
      <c r="M722" s="178" t="s">
        <v>1654</v>
      </c>
      <c r="N722" s="178" t="s">
        <v>185</v>
      </c>
      <c r="O722" s="177">
        <v>42089</v>
      </c>
      <c r="P722" s="179">
        <f t="shared" si="681"/>
        <v>6</v>
      </c>
      <c r="Q722" s="180" t="s">
        <v>2829</v>
      </c>
      <c r="R722" s="178" t="s">
        <v>17</v>
      </c>
      <c r="S722" s="178" t="s">
        <v>2830</v>
      </c>
      <c r="T722" s="178">
        <v>1103808455</v>
      </c>
      <c r="U722" s="181">
        <v>42089</v>
      </c>
      <c r="V722" s="178" t="s">
        <v>186</v>
      </c>
      <c r="W722" s="182">
        <f t="shared" si="682"/>
        <v>0</v>
      </c>
      <c r="X722" s="182" t="str">
        <f t="shared" si="683"/>
        <v>Correcto</v>
      </c>
    </row>
    <row r="723" spans="1:24" ht="18" customHeight="1" x14ac:dyDescent="0.25">
      <c r="A723" s="186">
        <v>714</v>
      </c>
      <c r="B723" s="173" t="s">
        <v>2831</v>
      </c>
      <c r="C723" s="174">
        <v>42083</v>
      </c>
      <c r="D723" s="175">
        <v>2</v>
      </c>
      <c r="E723" s="175" t="s">
        <v>93</v>
      </c>
      <c r="F723" s="176" t="s">
        <v>1914</v>
      </c>
      <c r="G723" s="175" t="s">
        <v>202</v>
      </c>
      <c r="H723" s="177">
        <v>42087</v>
      </c>
      <c r="I723" s="175" t="s">
        <v>187</v>
      </c>
      <c r="J723" s="175" t="s">
        <v>103</v>
      </c>
      <c r="K723" s="180" t="s">
        <v>2832</v>
      </c>
      <c r="L723" s="177">
        <v>42087</v>
      </c>
      <c r="M723" s="178" t="s">
        <v>1654</v>
      </c>
      <c r="N723" s="178" t="s">
        <v>185</v>
      </c>
      <c r="O723" s="177">
        <v>42087</v>
      </c>
      <c r="P723" s="179">
        <f t="shared" si="681"/>
        <v>4</v>
      </c>
      <c r="Q723" s="180" t="s">
        <v>2832</v>
      </c>
      <c r="R723" s="178" t="s">
        <v>17</v>
      </c>
      <c r="S723" s="178" t="s">
        <v>2833</v>
      </c>
      <c r="T723" s="178">
        <v>1103583728</v>
      </c>
      <c r="U723" s="181">
        <v>42087</v>
      </c>
      <c r="V723" s="178" t="s">
        <v>186</v>
      </c>
      <c r="W723" s="182">
        <f t="shared" si="682"/>
        <v>0</v>
      </c>
      <c r="X723" s="182" t="str">
        <f t="shared" si="683"/>
        <v>Correcto</v>
      </c>
    </row>
    <row r="724" spans="1:24" ht="18" customHeight="1" x14ac:dyDescent="0.25">
      <c r="A724" s="186">
        <v>715</v>
      </c>
      <c r="B724" s="173" t="s">
        <v>2834</v>
      </c>
      <c r="C724" s="174">
        <v>42083</v>
      </c>
      <c r="D724" s="175">
        <v>5</v>
      </c>
      <c r="E724" s="175" t="s">
        <v>93</v>
      </c>
      <c r="F724" s="176" t="s">
        <v>825</v>
      </c>
      <c r="G724" s="175" t="s">
        <v>202</v>
      </c>
      <c r="H724" s="177">
        <v>42088</v>
      </c>
      <c r="I724" s="175" t="s">
        <v>187</v>
      </c>
      <c r="J724" s="175" t="s">
        <v>103</v>
      </c>
      <c r="K724" s="178" t="s">
        <v>2835</v>
      </c>
      <c r="L724" s="177">
        <v>42088</v>
      </c>
      <c r="M724" s="178" t="s">
        <v>1654</v>
      </c>
      <c r="N724" s="178" t="s">
        <v>185</v>
      </c>
      <c r="O724" s="177">
        <v>42088</v>
      </c>
      <c r="P724" s="179">
        <f t="shared" si="681"/>
        <v>5</v>
      </c>
      <c r="Q724" s="180" t="s">
        <v>2836</v>
      </c>
      <c r="R724" s="178" t="s">
        <v>17</v>
      </c>
      <c r="S724" s="178" t="s">
        <v>101</v>
      </c>
      <c r="T724" s="178">
        <v>1102981725</v>
      </c>
      <c r="U724" s="181">
        <v>42090</v>
      </c>
      <c r="V724" s="178" t="s">
        <v>186</v>
      </c>
      <c r="W724" s="182">
        <f t="shared" si="682"/>
        <v>0</v>
      </c>
      <c r="X724" s="182" t="str">
        <f t="shared" si="683"/>
        <v>Correcto</v>
      </c>
    </row>
    <row r="725" spans="1:24" ht="18" customHeight="1" x14ac:dyDescent="0.25">
      <c r="A725" s="186">
        <v>716</v>
      </c>
      <c r="B725" s="173" t="s">
        <v>2837</v>
      </c>
      <c r="C725" s="174">
        <v>42083</v>
      </c>
      <c r="D725" s="175">
        <v>2</v>
      </c>
      <c r="E725" s="175" t="s">
        <v>93</v>
      </c>
      <c r="F725" s="176" t="s">
        <v>1914</v>
      </c>
      <c r="G725" s="175" t="s">
        <v>202</v>
      </c>
      <c r="H725" s="177">
        <v>42087</v>
      </c>
      <c r="I725" s="175" t="s">
        <v>187</v>
      </c>
      <c r="J725" s="175" t="s">
        <v>103</v>
      </c>
      <c r="K725" s="180" t="s">
        <v>2838</v>
      </c>
      <c r="L725" s="177">
        <v>42087</v>
      </c>
      <c r="M725" s="178" t="s">
        <v>1654</v>
      </c>
      <c r="N725" s="178" t="s">
        <v>185</v>
      </c>
      <c r="O725" s="177">
        <v>42087</v>
      </c>
      <c r="P725" s="179">
        <f t="shared" si="681"/>
        <v>4</v>
      </c>
      <c r="Q725" s="180" t="s">
        <v>2838</v>
      </c>
      <c r="R725" s="178" t="s">
        <v>17</v>
      </c>
      <c r="S725" s="178" t="s">
        <v>2839</v>
      </c>
      <c r="T725" s="178">
        <v>1900329770</v>
      </c>
      <c r="U725" s="181">
        <v>42087</v>
      </c>
      <c r="V725" s="178" t="s">
        <v>186</v>
      </c>
      <c r="W725" s="182">
        <f t="shared" si="682"/>
        <v>0</v>
      </c>
      <c r="X725" s="182" t="str">
        <f t="shared" si="683"/>
        <v>Correcto</v>
      </c>
    </row>
    <row r="726" spans="1:24" ht="18" customHeight="1" x14ac:dyDescent="0.25">
      <c r="A726" s="186">
        <v>717</v>
      </c>
      <c r="B726" s="173" t="s">
        <v>2840</v>
      </c>
      <c r="C726" s="174">
        <v>42083</v>
      </c>
      <c r="D726" s="175">
        <v>2</v>
      </c>
      <c r="E726" s="175" t="s">
        <v>93</v>
      </c>
      <c r="F726" s="176" t="s">
        <v>825</v>
      </c>
      <c r="G726" s="175" t="s">
        <v>202</v>
      </c>
      <c r="H726" s="177">
        <v>42093</v>
      </c>
      <c r="I726" s="175" t="s">
        <v>187</v>
      </c>
      <c r="J726" s="175" t="s">
        <v>103</v>
      </c>
      <c r="K726" s="178" t="s">
        <v>2841</v>
      </c>
      <c r="L726" s="177">
        <v>42093</v>
      </c>
      <c r="M726" s="178" t="s">
        <v>1654</v>
      </c>
      <c r="N726" s="178" t="s">
        <v>185</v>
      </c>
      <c r="O726" s="177">
        <v>42094</v>
      </c>
      <c r="P726" s="179">
        <f t="shared" si="681"/>
        <v>11</v>
      </c>
      <c r="Q726" s="180" t="s">
        <v>2842</v>
      </c>
      <c r="R726" s="178" t="s">
        <v>2438</v>
      </c>
      <c r="S726" s="178" t="s">
        <v>2843</v>
      </c>
      <c r="T726" s="178" t="s">
        <v>2844</v>
      </c>
      <c r="U726" s="181">
        <v>42096</v>
      </c>
      <c r="V726" s="178" t="s">
        <v>186</v>
      </c>
      <c r="W726" s="182">
        <f t="shared" si="682"/>
        <v>0</v>
      </c>
      <c r="X726" s="182" t="str">
        <f t="shared" si="683"/>
        <v>Correcto</v>
      </c>
    </row>
    <row r="727" spans="1:24" ht="18" customHeight="1" x14ac:dyDescent="0.25">
      <c r="A727" s="186">
        <v>718</v>
      </c>
      <c r="B727" s="173" t="s">
        <v>2845</v>
      </c>
      <c r="C727" s="174">
        <v>42083</v>
      </c>
      <c r="D727" s="175">
        <v>11</v>
      </c>
      <c r="E727" s="175" t="s">
        <v>93</v>
      </c>
      <c r="F727" s="176" t="s">
        <v>825</v>
      </c>
      <c r="G727" s="175" t="s">
        <v>202</v>
      </c>
      <c r="H727" s="177">
        <v>42088</v>
      </c>
      <c r="I727" s="175" t="s">
        <v>187</v>
      </c>
      <c r="J727" s="175" t="s">
        <v>103</v>
      </c>
      <c r="K727" s="178" t="s">
        <v>2846</v>
      </c>
      <c r="L727" s="177">
        <v>42088</v>
      </c>
      <c r="M727" s="178" t="s">
        <v>1654</v>
      </c>
      <c r="N727" s="178" t="s">
        <v>185</v>
      </c>
      <c r="O727" s="177">
        <v>42088</v>
      </c>
      <c r="P727" s="179">
        <f t="shared" si="681"/>
        <v>5</v>
      </c>
      <c r="Q727" s="180" t="s">
        <v>2847</v>
      </c>
      <c r="R727" s="178" t="s">
        <v>2438</v>
      </c>
      <c r="S727" s="178" t="s">
        <v>2843</v>
      </c>
      <c r="T727" s="178" t="s">
        <v>2844</v>
      </c>
      <c r="U727" s="181">
        <v>42096</v>
      </c>
      <c r="V727" s="178" t="s">
        <v>186</v>
      </c>
      <c r="W727" s="182">
        <f t="shared" si="682"/>
        <v>0</v>
      </c>
      <c r="X727" s="182" t="str">
        <f t="shared" si="683"/>
        <v>Correcto</v>
      </c>
    </row>
    <row r="728" spans="1:24" ht="18" customHeight="1" x14ac:dyDescent="0.25">
      <c r="A728" s="186">
        <v>719</v>
      </c>
      <c r="B728" s="173" t="s">
        <v>2848</v>
      </c>
      <c r="C728" s="174">
        <v>42083</v>
      </c>
      <c r="D728" s="175">
        <v>2</v>
      </c>
      <c r="E728" s="175" t="s">
        <v>93</v>
      </c>
      <c r="F728" s="176" t="s">
        <v>825</v>
      </c>
      <c r="G728" s="175" t="s">
        <v>202</v>
      </c>
      <c r="H728" s="177">
        <v>42088</v>
      </c>
      <c r="I728" s="175" t="s">
        <v>187</v>
      </c>
      <c r="J728" s="175" t="s">
        <v>103</v>
      </c>
      <c r="K728" s="178" t="s">
        <v>2849</v>
      </c>
      <c r="L728" s="177">
        <v>42088</v>
      </c>
      <c r="M728" s="178" t="s">
        <v>1654</v>
      </c>
      <c r="N728" s="178" t="s">
        <v>185</v>
      </c>
      <c r="O728" s="177">
        <v>42088</v>
      </c>
      <c r="P728" s="179">
        <f t="shared" si="681"/>
        <v>5</v>
      </c>
      <c r="Q728" s="180" t="s">
        <v>2850</v>
      </c>
      <c r="R728" s="178" t="s">
        <v>2438</v>
      </c>
      <c r="S728" s="178" t="s">
        <v>2843</v>
      </c>
      <c r="T728" s="178" t="s">
        <v>2844</v>
      </c>
      <c r="U728" s="181">
        <v>42096</v>
      </c>
      <c r="V728" s="178" t="s">
        <v>186</v>
      </c>
      <c r="W728" s="182">
        <f t="shared" si="682"/>
        <v>0</v>
      </c>
      <c r="X728" s="182" t="str">
        <f t="shared" si="683"/>
        <v>Correcto</v>
      </c>
    </row>
    <row r="729" spans="1:24" ht="18" customHeight="1" x14ac:dyDescent="0.25">
      <c r="A729" s="186">
        <v>720</v>
      </c>
      <c r="B729" s="173" t="s">
        <v>2851</v>
      </c>
      <c r="C729" s="174">
        <v>42083</v>
      </c>
      <c r="D729" s="175">
        <v>2</v>
      </c>
      <c r="E729" s="175" t="s">
        <v>93</v>
      </c>
      <c r="F729" s="176" t="s">
        <v>825</v>
      </c>
      <c r="G729" s="175" t="s">
        <v>202</v>
      </c>
      <c r="H729" s="177">
        <v>42088</v>
      </c>
      <c r="I729" s="175" t="s">
        <v>187</v>
      </c>
      <c r="J729" s="175" t="s">
        <v>103</v>
      </c>
      <c r="K729" s="178" t="s">
        <v>2852</v>
      </c>
      <c r="L729" s="177">
        <v>42088</v>
      </c>
      <c r="M729" s="178" t="s">
        <v>1654</v>
      </c>
      <c r="N729" s="178" t="s">
        <v>185</v>
      </c>
      <c r="O729" s="177">
        <v>42088</v>
      </c>
      <c r="P729" s="179">
        <f t="shared" si="681"/>
        <v>5</v>
      </c>
      <c r="Q729" s="180" t="s">
        <v>2853</v>
      </c>
      <c r="R729" s="178" t="s">
        <v>2438</v>
      </c>
      <c r="S729" s="178" t="s">
        <v>2843</v>
      </c>
      <c r="T729" s="178" t="s">
        <v>2844</v>
      </c>
      <c r="U729" s="181">
        <v>42096</v>
      </c>
      <c r="V729" s="178" t="s">
        <v>186</v>
      </c>
      <c r="W729" s="182">
        <f t="shared" si="682"/>
        <v>0</v>
      </c>
      <c r="X729" s="182" t="str">
        <f t="shared" si="683"/>
        <v>Correcto</v>
      </c>
    </row>
    <row r="730" spans="1:24" ht="18" customHeight="1" x14ac:dyDescent="0.25">
      <c r="A730" s="186">
        <v>721</v>
      </c>
      <c r="B730" s="173" t="s">
        <v>2854</v>
      </c>
      <c r="C730" s="174">
        <v>42083</v>
      </c>
      <c r="D730" s="175">
        <v>2</v>
      </c>
      <c r="E730" s="175" t="s">
        <v>93</v>
      </c>
      <c r="F730" s="176" t="s">
        <v>825</v>
      </c>
      <c r="G730" s="175" t="s">
        <v>202</v>
      </c>
      <c r="H730" s="177">
        <v>42087</v>
      </c>
      <c r="I730" s="175" t="s">
        <v>187</v>
      </c>
      <c r="J730" s="175" t="s">
        <v>103</v>
      </c>
      <c r="K730" s="178" t="s">
        <v>2855</v>
      </c>
      <c r="L730" s="177">
        <v>42087</v>
      </c>
      <c r="M730" s="178" t="s">
        <v>1654</v>
      </c>
      <c r="N730" s="178" t="s">
        <v>185</v>
      </c>
      <c r="O730" s="177">
        <v>42088</v>
      </c>
      <c r="P730" s="179">
        <f t="shared" si="681"/>
        <v>5</v>
      </c>
      <c r="Q730" s="180" t="s">
        <v>2856</v>
      </c>
      <c r="R730" s="178" t="s">
        <v>2438</v>
      </c>
      <c r="S730" s="178" t="s">
        <v>2843</v>
      </c>
      <c r="T730" s="178" t="s">
        <v>2844</v>
      </c>
      <c r="U730" s="181">
        <v>42096</v>
      </c>
      <c r="V730" s="178" t="s">
        <v>186</v>
      </c>
      <c r="W730" s="182">
        <f t="shared" si="682"/>
        <v>0</v>
      </c>
      <c r="X730" s="182" t="str">
        <f t="shared" si="683"/>
        <v>Correcto</v>
      </c>
    </row>
    <row r="731" spans="1:24" ht="18" customHeight="1" x14ac:dyDescent="0.25">
      <c r="A731" s="186">
        <v>722</v>
      </c>
      <c r="B731" s="173" t="s">
        <v>2857</v>
      </c>
      <c r="C731" s="174">
        <v>42083</v>
      </c>
      <c r="D731" s="175">
        <v>11</v>
      </c>
      <c r="E731" s="175" t="s">
        <v>93</v>
      </c>
      <c r="F731" s="176" t="s">
        <v>825</v>
      </c>
      <c r="G731" s="175" t="s">
        <v>202</v>
      </c>
      <c r="H731" s="177">
        <v>42087</v>
      </c>
      <c r="I731" s="175" t="s">
        <v>187</v>
      </c>
      <c r="J731" s="175" t="s">
        <v>103</v>
      </c>
      <c r="K731" s="178" t="s">
        <v>2858</v>
      </c>
      <c r="L731" s="177">
        <v>42087</v>
      </c>
      <c r="M731" s="178" t="s">
        <v>1654</v>
      </c>
      <c r="N731" s="178" t="s">
        <v>185</v>
      </c>
      <c r="O731" s="177">
        <v>42088</v>
      </c>
      <c r="P731" s="179">
        <f t="shared" si="681"/>
        <v>5</v>
      </c>
      <c r="Q731" s="180" t="s">
        <v>2859</v>
      </c>
      <c r="R731" s="178" t="s">
        <v>2438</v>
      </c>
      <c r="S731" s="178" t="s">
        <v>2843</v>
      </c>
      <c r="T731" s="178" t="s">
        <v>2844</v>
      </c>
      <c r="U731" s="181">
        <v>42096</v>
      </c>
      <c r="V731" s="178" t="s">
        <v>186</v>
      </c>
      <c r="W731" s="182">
        <f t="shared" si="682"/>
        <v>0</v>
      </c>
      <c r="X731" s="182" t="str">
        <f t="shared" si="683"/>
        <v>Correcto</v>
      </c>
    </row>
    <row r="732" spans="1:24" ht="18" customHeight="1" x14ac:dyDescent="0.25">
      <c r="A732" s="186">
        <v>723</v>
      </c>
      <c r="B732" s="173" t="s">
        <v>2860</v>
      </c>
      <c r="C732" s="174">
        <v>42083</v>
      </c>
      <c r="D732" s="175">
        <v>11</v>
      </c>
      <c r="E732" s="175" t="s">
        <v>93</v>
      </c>
      <c r="F732" s="176" t="s">
        <v>825</v>
      </c>
      <c r="G732" s="175" t="s">
        <v>202</v>
      </c>
      <c r="H732" s="177">
        <v>42088</v>
      </c>
      <c r="I732" s="175" t="s">
        <v>187</v>
      </c>
      <c r="J732" s="175" t="s">
        <v>103</v>
      </c>
      <c r="K732" s="178" t="s">
        <v>2861</v>
      </c>
      <c r="L732" s="177">
        <v>42088</v>
      </c>
      <c r="M732" s="178" t="s">
        <v>1654</v>
      </c>
      <c r="N732" s="178" t="s">
        <v>185</v>
      </c>
      <c r="O732" s="177">
        <v>42090</v>
      </c>
      <c r="P732" s="179">
        <f t="shared" si="681"/>
        <v>7</v>
      </c>
      <c r="Q732" s="180" t="s">
        <v>2862</v>
      </c>
      <c r="R732" s="178" t="s">
        <v>1175</v>
      </c>
      <c r="S732" s="178" t="s">
        <v>101</v>
      </c>
      <c r="T732" s="178" t="s">
        <v>2863</v>
      </c>
      <c r="U732" s="181">
        <v>42094</v>
      </c>
      <c r="V732" s="178" t="s">
        <v>186</v>
      </c>
      <c r="W732" s="182">
        <f t="shared" si="682"/>
        <v>0</v>
      </c>
      <c r="X732" s="182" t="str">
        <f t="shared" si="683"/>
        <v>Correcto</v>
      </c>
    </row>
    <row r="733" spans="1:24" ht="18" customHeight="1" x14ac:dyDescent="0.25">
      <c r="A733" s="186">
        <v>724</v>
      </c>
      <c r="B733" s="173" t="s">
        <v>2864</v>
      </c>
      <c r="C733" s="174">
        <v>42083</v>
      </c>
      <c r="D733" s="175">
        <v>4</v>
      </c>
      <c r="E733" s="175" t="s">
        <v>93</v>
      </c>
      <c r="F733" s="176" t="s">
        <v>1914</v>
      </c>
      <c r="G733" s="175" t="s">
        <v>202</v>
      </c>
      <c r="H733" s="177">
        <v>42087</v>
      </c>
      <c r="I733" s="175" t="s">
        <v>187</v>
      </c>
      <c r="J733" s="175" t="s">
        <v>103</v>
      </c>
      <c r="K733" s="180" t="s">
        <v>2865</v>
      </c>
      <c r="L733" s="177">
        <v>42087</v>
      </c>
      <c r="M733" s="178" t="s">
        <v>1654</v>
      </c>
      <c r="N733" s="178" t="s">
        <v>185</v>
      </c>
      <c r="O733" s="177">
        <v>42087</v>
      </c>
      <c r="P733" s="179">
        <f t="shared" si="681"/>
        <v>4</v>
      </c>
      <c r="Q733" s="180" t="s">
        <v>2865</v>
      </c>
      <c r="R733" s="178" t="s">
        <v>17</v>
      </c>
      <c r="S733" s="178" t="s">
        <v>2866</v>
      </c>
      <c r="T733" s="178">
        <v>1101662094</v>
      </c>
      <c r="U733" s="181">
        <v>42087</v>
      </c>
      <c r="V733" s="178" t="s">
        <v>186</v>
      </c>
      <c r="W733" s="182">
        <f t="shared" si="682"/>
        <v>0</v>
      </c>
      <c r="X733" s="182" t="str">
        <f t="shared" si="683"/>
        <v>Correcto</v>
      </c>
    </row>
    <row r="734" spans="1:24" ht="18" customHeight="1" x14ac:dyDescent="0.25">
      <c r="A734" s="186">
        <v>725</v>
      </c>
      <c r="B734" s="173" t="s">
        <v>2867</v>
      </c>
      <c r="C734" s="174">
        <v>42086</v>
      </c>
      <c r="D734" s="175">
        <v>2</v>
      </c>
      <c r="E734" s="175" t="s">
        <v>93</v>
      </c>
      <c r="F734" s="176" t="s">
        <v>825</v>
      </c>
      <c r="G734" s="175" t="s">
        <v>202</v>
      </c>
      <c r="H734" s="177">
        <v>42093</v>
      </c>
      <c r="I734" s="175" t="s">
        <v>187</v>
      </c>
      <c r="J734" s="175" t="s">
        <v>103</v>
      </c>
      <c r="K734" s="178" t="s">
        <v>2868</v>
      </c>
      <c r="L734" s="177">
        <v>42093</v>
      </c>
      <c r="M734" s="178" t="s">
        <v>1654</v>
      </c>
      <c r="N734" s="178" t="s">
        <v>185</v>
      </c>
      <c r="O734" s="177">
        <v>42095</v>
      </c>
      <c r="P734" s="179">
        <f t="shared" si="681"/>
        <v>9</v>
      </c>
      <c r="Q734" s="180" t="s">
        <v>2869</v>
      </c>
      <c r="R734" s="178" t="s">
        <v>17</v>
      </c>
      <c r="S734" s="178" t="s">
        <v>101</v>
      </c>
      <c r="T734" s="178" t="s">
        <v>1011</v>
      </c>
      <c r="U734" s="181">
        <v>42101</v>
      </c>
      <c r="V734" s="178" t="s">
        <v>186</v>
      </c>
      <c r="W734" s="182">
        <f t="shared" si="682"/>
        <v>0</v>
      </c>
      <c r="X734" s="182" t="str">
        <f t="shared" si="683"/>
        <v>Correcto</v>
      </c>
    </row>
    <row r="735" spans="1:24" ht="18" customHeight="1" x14ac:dyDescent="0.25">
      <c r="A735" s="186">
        <v>726</v>
      </c>
      <c r="B735" s="173" t="s">
        <v>2870</v>
      </c>
      <c r="C735" s="174">
        <v>42086</v>
      </c>
      <c r="D735" s="175">
        <v>2</v>
      </c>
      <c r="E735" s="175" t="s">
        <v>93</v>
      </c>
      <c r="F735" s="176" t="s">
        <v>825</v>
      </c>
      <c r="G735" s="175" t="s">
        <v>202</v>
      </c>
      <c r="H735" s="177">
        <v>42093</v>
      </c>
      <c r="I735" s="175" t="s">
        <v>187</v>
      </c>
      <c r="J735" s="175" t="s">
        <v>103</v>
      </c>
      <c r="K735" s="178" t="s">
        <v>2871</v>
      </c>
      <c r="L735" s="177">
        <v>42093</v>
      </c>
      <c r="M735" s="178" t="s">
        <v>1654</v>
      </c>
      <c r="N735" s="178" t="s">
        <v>185</v>
      </c>
      <c r="O735" s="177">
        <v>42095</v>
      </c>
      <c r="P735" s="179">
        <f t="shared" si="681"/>
        <v>9</v>
      </c>
      <c r="Q735" s="180" t="s">
        <v>2872</v>
      </c>
      <c r="R735" s="178" t="s">
        <v>17</v>
      </c>
      <c r="S735" s="178" t="s">
        <v>101</v>
      </c>
      <c r="T735" s="178" t="s">
        <v>996</v>
      </c>
      <c r="U735" s="181">
        <v>42095</v>
      </c>
      <c r="V735" s="178" t="s">
        <v>186</v>
      </c>
      <c r="W735" s="182">
        <f t="shared" si="682"/>
        <v>0</v>
      </c>
      <c r="X735" s="182" t="str">
        <f t="shared" si="683"/>
        <v>Correcto</v>
      </c>
    </row>
    <row r="736" spans="1:24" ht="18" customHeight="1" x14ac:dyDescent="0.25">
      <c r="A736" s="186">
        <v>727</v>
      </c>
      <c r="B736" s="173" t="s">
        <v>2873</v>
      </c>
      <c r="C736" s="174">
        <v>42086</v>
      </c>
      <c r="D736" s="175">
        <v>14</v>
      </c>
      <c r="E736" s="175" t="s">
        <v>93</v>
      </c>
      <c r="F736" s="176" t="s">
        <v>825</v>
      </c>
      <c r="G736" s="175" t="s">
        <v>202</v>
      </c>
      <c r="H736" s="177">
        <v>42093</v>
      </c>
      <c r="I736" s="175" t="s">
        <v>187</v>
      </c>
      <c r="J736" s="175" t="s">
        <v>103</v>
      </c>
      <c r="K736" s="178" t="s">
        <v>2874</v>
      </c>
      <c r="L736" s="177">
        <v>42093</v>
      </c>
      <c r="M736" s="178" t="s">
        <v>1654</v>
      </c>
      <c r="N736" s="178" t="s">
        <v>185</v>
      </c>
      <c r="O736" s="177">
        <v>42095</v>
      </c>
      <c r="P736" s="179">
        <f t="shared" si="681"/>
        <v>9</v>
      </c>
      <c r="Q736" s="180" t="s">
        <v>2875</v>
      </c>
      <c r="R736" s="178" t="s">
        <v>17</v>
      </c>
      <c r="S736" s="178" t="s">
        <v>101</v>
      </c>
      <c r="T736" s="178" t="s">
        <v>1150</v>
      </c>
      <c r="U736" s="181">
        <v>42101</v>
      </c>
      <c r="V736" s="178" t="s">
        <v>186</v>
      </c>
      <c r="W736" s="182">
        <f t="shared" si="682"/>
        <v>0</v>
      </c>
      <c r="X736" s="182" t="str">
        <f t="shared" si="683"/>
        <v>Correcto</v>
      </c>
    </row>
    <row r="737" spans="1:24" ht="18" customHeight="1" x14ac:dyDescent="0.25">
      <c r="A737" s="186">
        <v>728</v>
      </c>
      <c r="B737" s="173" t="s">
        <v>2876</v>
      </c>
      <c r="C737" s="174">
        <v>42086</v>
      </c>
      <c r="D737" s="175">
        <v>2</v>
      </c>
      <c r="E737" s="175" t="s">
        <v>93</v>
      </c>
      <c r="F737" s="176" t="s">
        <v>825</v>
      </c>
      <c r="G737" s="175" t="s">
        <v>202</v>
      </c>
      <c r="H737" s="177">
        <v>42090</v>
      </c>
      <c r="I737" s="175" t="s">
        <v>187</v>
      </c>
      <c r="J737" s="175" t="s">
        <v>103</v>
      </c>
      <c r="K737" s="178" t="s">
        <v>2877</v>
      </c>
      <c r="L737" s="177">
        <v>42090</v>
      </c>
      <c r="M737" s="178" t="s">
        <v>1654</v>
      </c>
      <c r="N737" s="178" t="s">
        <v>185</v>
      </c>
      <c r="O737" s="177">
        <v>42095</v>
      </c>
      <c r="P737" s="179">
        <f t="shared" si="681"/>
        <v>9</v>
      </c>
      <c r="Q737" s="180" t="s">
        <v>2878</v>
      </c>
      <c r="R737" s="178" t="s">
        <v>17</v>
      </c>
      <c r="S737" s="178" t="s">
        <v>101</v>
      </c>
      <c r="T737" s="178" t="s">
        <v>2258</v>
      </c>
      <c r="U737" s="181">
        <v>42095</v>
      </c>
      <c r="V737" s="178" t="s">
        <v>186</v>
      </c>
      <c r="W737" s="182">
        <f t="shared" si="682"/>
        <v>0</v>
      </c>
      <c r="X737" s="182" t="str">
        <f t="shared" si="683"/>
        <v>Correcto</v>
      </c>
    </row>
    <row r="738" spans="1:24" ht="18" customHeight="1" x14ac:dyDescent="0.25">
      <c r="A738" s="186">
        <v>729</v>
      </c>
      <c r="B738" s="173" t="s">
        <v>2879</v>
      </c>
      <c r="C738" s="174">
        <v>42086</v>
      </c>
      <c r="D738" s="175">
        <v>2</v>
      </c>
      <c r="E738" s="175" t="s">
        <v>93</v>
      </c>
      <c r="F738" s="176" t="s">
        <v>825</v>
      </c>
      <c r="G738" s="175" t="s">
        <v>202</v>
      </c>
      <c r="H738" s="177">
        <v>42090</v>
      </c>
      <c r="I738" s="175" t="s">
        <v>187</v>
      </c>
      <c r="J738" s="175" t="s">
        <v>103</v>
      </c>
      <c r="K738" s="178" t="s">
        <v>2880</v>
      </c>
      <c r="L738" s="177">
        <v>42090</v>
      </c>
      <c r="M738" s="178" t="s">
        <v>1654</v>
      </c>
      <c r="N738" s="178" t="s">
        <v>185</v>
      </c>
      <c r="O738" s="177">
        <v>42095</v>
      </c>
      <c r="P738" s="179">
        <f t="shared" si="681"/>
        <v>9</v>
      </c>
      <c r="Q738" s="180" t="s">
        <v>2881</v>
      </c>
      <c r="R738" s="178" t="s">
        <v>17</v>
      </c>
      <c r="S738" s="178" t="s">
        <v>101</v>
      </c>
      <c r="T738" s="178" t="s">
        <v>1012</v>
      </c>
      <c r="U738" s="181">
        <v>42095</v>
      </c>
      <c r="V738" s="178" t="s">
        <v>186</v>
      </c>
      <c r="W738" s="182">
        <f t="shared" si="682"/>
        <v>0</v>
      </c>
      <c r="X738" s="182" t="str">
        <f t="shared" si="683"/>
        <v>Correcto</v>
      </c>
    </row>
    <row r="739" spans="1:24" ht="18" customHeight="1" x14ac:dyDescent="0.25">
      <c r="A739" s="186">
        <v>730</v>
      </c>
      <c r="B739" s="173" t="s">
        <v>2882</v>
      </c>
      <c r="C739" s="174">
        <v>42086</v>
      </c>
      <c r="D739" s="175">
        <v>2</v>
      </c>
      <c r="E739" s="175" t="s">
        <v>93</v>
      </c>
      <c r="F739" s="176" t="s">
        <v>825</v>
      </c>
      <c r="G739" s="175" t="s">
        <v>202</v>
      </c>
      <c r="H739" s="177">
        <v>42093</v>
      </c>
      <c r="I739" s="175" t="s">
        <v>187</v>
      </c>
      <c r="J739" s="175" t="s">
        <v>103</v>
      </c>
      <c r="K739" s="178" t="s">
        <v>2883</v>
      </c>
      <c r="L739" s="177">
        <v>42093</v>
      </c>
      <c r="M739" s="178" t="s">
        <v>1654</v>
      </c>
      <c r="N739" s="178" t="s">
        <v>185</v>
      </c>
      <c r="O739" s="177">
        <v>42095</v>
      </c>
      <c r="P739" s="179">
        <f t="shared" si="681"/>
        <v>9</v>
      </c>
      <c r="Q739" s="180" t="s">
        <v>2884</v>
      </c>
      <c r="R739" s="178" t="s">
        <v>17</v>
      </c>
      <c r="S739" s="178" t="s">
        <v>101</v>
      </c>
      <c r="T739" s="178" t="s">
        <v>996</v>
      </c>
      <c r="U739" s="181">
        <v>42101</v>
      </c>
      <c r="V739" s="178" t="s">
        <v>186</v>
      </c>
      <c r="W739" s="182">
        <f t="shared" si="682"/>
        <v>0</v>
      </c>
      <c r="X739" s="182" t="str">
        <f t="shared" si="683"/>
        <v>Correcto</v>
      </c>
    </row>
    <row r="740" spans="1:24" ht="18" customHeight="1" x14ac:dyDescent="0.25">
      <c r="A740" s="186">
        <v>731</v>
      </c>
      <c r="B740" s="173" t="s">
        <v>2885</v>
      </c>
      <c r="C740" s="174">
        <v>42086</v>
      </c>
      <c r="D740" s="175">
        <v>2</v>
      </c>
      <c r="E740" s="175" t="s">
        <v>93</v>
      </c>
      <c r="F740" s="176" t="s">
        <v>825</v>
      </c>
      <c r="G740" s="175" t="s">
        <v>202</v>
      </c>
      <c r="H740" s="177">
        <v>42090</v>
      </c>
      <c r="I740" s="175" t="s">
        <v>187</v>
      </c>
      <c r="J740" s="175" t="s">
        <v>103</v>
      </c>
      <c r="K740" s="178" t="s">
        <v>2886</v>
      </c>
      <c r="L740" s="177">
        <v>42090</v>
      </c>
      <c r="M740" s="178" t="s">
        <v>1654</v>
      </c>
      <c r="N740" s="178" t="s">
        <v>185</v>
      </c>
      <c r="O740" s="177">
        <v>42095</v>
      </c>
      <c r="P740" s="179">
        <f t="shared" si="681"/>
        <v>9</v>
      </c>
      <c r="Q740" s="180" t="s">
        <v>2887</v>
      </c>
      <c r="R740" s="178" t="s">
        <v>17</v>
      </c>
      <c r="S740" s="178" t="s">
        <v>101</v>
      </c>
      <c r="T740" s="178" t="s">
        <v>953</v>
      </c>
      <c r="U740" s="181">
        <v>42095</v>
      </c>
      <c r="V740" s="178" t="s">
        <v>186</v>
      </c>
      <c r="W740" s="182">
        <f t="shared" si="682"/>
        <v>0</v>
      </c>
      <c r="X740" s="182" t="str">
        <f t="shared" si="683"/>
        <v>Correcto</v>
      </c>
    </row>
    <row r="741" spans="1:24" ht="18" customHeight="1" x14ac:dyDescent="0.25">
      <c r="A741" s="186">
        <v>732</v>
      </c>
      <c r="B741" s="173" t="s">
        <v>2888</v>
      </c>
      <c r="C741" s="174">
        <v>42086</v>
      </c>
      <c r="D741" s="175">
        <v>2</v>
      </c>
      <c r="E741" s="175" t="s">
        <v>93</v>
      </c>
      <c r="F741" s="176" t="s">
        <v>825</v>
      </c>
      <c r="G741" s="175" t="s">
        <v>202</v>
      </c>
      <c r="H741" s="177">
        <v>42093</v>
      </c>
      <c r="I741" s="175" t="s">
        <v>187</v>
      </c>
      <c r="J741" s="175" t="s">
        <v>103</v>
      </c>
      <c r="K741" s="178" t="s">
        <v>2889</v>
      </c>
      <c r="L741" s="177">
        <v>42093</v>
      </c>
      <c r="M741" s="178" t="s">
        <v>1654</v>
      </c>
      <c r="N741" s="178" t="s">
        <v>185</v>
      </c>
      <c r="O741" s="177">
        <v>42095</v>
      </c>
      <c r="P741" s="179">
        <f t="shared" si="681"/>
        <v>9</v>
      </c>
      <c r="Q741" s="180" t="s">
        <v>2890</v>
      </c>
      <c r="R741" s="178" t="s">
        <v>17</v>
      </c>
      <c r="S741" s="178" t="s">
        <v>101</v>
      </c>
      <c r="T741" s="178" t="s">
        <v>1011</v>
      </c>
      <c r="U741" s="181">
        <v>42101</v>
      </c>
      <c r="V741" s="178" t="s">
        <v>186</v>
      </c>
      <c r="W741" s="182">
        <f t="shared" si="682"/>
        <v>0</v>
      </c>
      <c r="X741" s="182" t="str">
        <f t="shared" si="683"/>
        <v>Correcto</v>
      </c>
    </row>
    <row r="742" spans="1:24" ht="18" customHeight="1" x14ac:dyDescent="0.25">
      <c r="A742" s="186">
        <v>733</v>
      </c>
      <c r="B742" s="173" t="s">
        <v>2891</v>
      </c>
      <c r="C742" s="174">
        <v>42086</v>
      </c>
      <c r="D742" s="175">
        <v>2</v>
      </c>
      <c r="E742" s="175" t="s">
        <v>93</v>
      </c>
      <c r="F742" s="176" t="s">
        <v>825</v>
      </c>
      <c r="G742" s="175" t="s">
        <v>202</v>
      </c>
      <c r="H742" s="177">
        <v>42090</v>
      </c>
      <c r="I742" s="175" t="s">
        <v>187</v>
      </c>
      <c r="J742" s="175" t="s">
        <v>103</v>
      </c>
      <c r="K742" s="178" t="s">
        <v>2892</v>
      </c>
      <c r="L742" s="177">
        <v>42090</v>
      </c>
      <c r="M742" s="178" t="s">
        <v>1654</v>
      </c>
      <c r="N742" s="178" t="s">
        <v>185</v>
      </c>
      <c r="O742" s="177">
        <v>42095</v>
      </c>
      <c r="P742" s="179">
        <f t="shared" si="681"/>
        <v>9</v>
      </c>
      <c r="Q742" s="180" t="s">
        <v>2893</v>
      </c>
      <c r="R742" s="178" t="s">
        <v>17</v>
      </c>
      <c r="S742" s="178" t="s">
        <v>101</v>
      </c>
      <c r="T742" s="178" t="s">
        <v>996</v>
      </c>
      <c r="U742" s="181">
        <v>42095</v>
      </c>
      <c r="V742" s="178" t="s">
        <v>186</v>
      </c>
      <c r="W742" s="182">
        <f t="shared" si="682"/>
        <v>0</v>
      </c>
      <c r="X742" s="182" t="str">
        <f t="shared" si="683"/>
        <v>Correcto</v>
      </c>
    </row>
    <row r="743" spans="1:24" ht="18" customHeight="1" x14ac:dyDescent="0.25">
      <c r="A743" s="186">
        <v>734</v>
      </c>
      <c r="B743" s="173" t="s">
        <v>2894</v>
      </c>
      <c r="C743" s="174">
        <v>42086</v>
      </c>
      <c r="D743" s="175">
        <v>2</v>
      </c>
      <c r="E743" s="175" t="s">
        <v>93</v>
      </c>
      <c r="F743" s="176" t="s">
        <v>825</v>
      </c>
      <c r="G743" s="175" t="s">
        <v>202</v>
      </c>
      <c r="H743" s="177">
        <v>42093</v>
      </c>
      <c r="I743" s="175" t="s">
        <v>187</v>
      </c>
      <c r="J743" s="175" t="s">
        <v>103</v>
      </c>
      <c r="K743" s="178" t="s">
        <v>2895</v>
      </c>
      <c r="L743" s="177">
        <v>42093</v>
      </c>
      <c r="M743" s="178" t="s">
        <v>1654</v>
      </c>
      <c r="N743" s="178" t="s">
        <v>185</v>
      </c>
      <c r="O743" s="177">
        <v>42095</v>
      </c>
      <c r="P743" s="179">
        <f t="shared" si="681"/>
        <v>9</v>
      </c>
      <c r="Q743" s="180" t="s">
        <v>2896</v>
      </c>
      <c r="R743" s="178" t="s">
        <v>17</v>
      </c>
      <c r="S743" s="178" t="s">
        <v>101</v>
      </c>
      <c r="T743" s="178" t="s">
        <v>996</v>
      </c>
      <c r="U743" s="181">
        <v>42101</v>
      </c>
      <c r="V743" s="178" t="s">
        <v>186</v>
      </c>
      <c r="W743" s="182">
        <f t="shared" si="682"/>
        <v>0</v>
      </c>
      <c r="X743" s="182" t="str">
        <f t="shared" si="683"/>
        <v>Correcto</v>
      </c>
    </row>
    <row r="744" spans="1:24" ht="18" customHeight="1" x14ac:dyDescent="0.25">
      <c r="A744" s="186">
        <v>735</v>
      </c>
      <c r="B744" s="173" t="s">
        <v>2897</v>
      </c>
      <c r="C744" s="174">
        <v>42086</v>
      </c>
      <c r="D744" s="175">
        <v>2</v>
      </c>
      <c r="E744" s="175" t="s">
        <v>93</v>
      </c>
      <c r="F744" s="176" t="s">
        <v>825</v>
      </c>
      <c r="G744" s="175" t="s">
        <v>202</v>
      </c>
      <c r="H744" s="177">
        <v>42093</v>
      </c>
      <c r="I744" s="175" t="s">
        <v>187</v>
      </c>
      <c r="J744" s="175" t="s">
        <v>103</v>
      </c>
      <c r="K744" s="178" t="s">
        <v>2898</v>
      </c>
      <c r="L744" s="177">
        <v>42093</v>
      </c>
      <c r="M744" s="178" t="s">
        <v>1654</v>
      </c>
      <c r="N744" s="178" t="s">
        <v>185</v>
      </c>
      <c r="O744" s="177">
        <v>42095</v>
      </c>
      <c r="P744" s="179">
        <f t="shared" si="681"/>
        <v>9</v>
      </c>
      <c r="Q744" s="180" t="s">
        <v>2899</v>
      </c>
      <c r="R744" s="178" t="s">
        <v>17</v>
      </c>
      <c r="S744" s="178" t="s">
        <v>101</v>
      </c>
      <c r="T744" s="178" t="s">
        <v>1019</v>
      </c>
      <c r="U744" s="181">
        <v>42100</v>
      </c>
      <c r="V744" s="178" t="s">
        <v>186</v>
      </c>
      <c r="W744" s="182">
        <f t="shared" si="682"/>
        <v>0</v>
      </c>
      <c r="X744" s="182" t="str">
        <f t="shared" si="683"/>
        <v>Correcto</v>
      </c>
    </row>
    <row r="745" spans="1:24" ht="18" customHeight="1" x14ac:dyDescent="0.25">
      <c r="A745" s="186">
        <v>736</v>
      </c>
      <c r="B745" s="173" t="s">
        <v>2900</v>
      </c>
      <c r="C745" s="174">
        <v>42086</v>
      </c>
      <c r="D745" s="175">
        <v>2</v>
      </c>
      <c r="E745" s="175" t="s">
        <v>93</v>
      </c>
      <c r="F745" s="176" t="s">
        <v>1914</v>
      </c>
      <c r="G745" s="175" t="s">
        <v>202</v>
      </c>
      <c r="H745" s="177">
        <v>42087</v>
      </c>
      <c r="I745" s="175" t="s">
        <v>187</v>
      </c>
      <c r="J745" s="175" t="s">
        <v>103</v>
      </c>
      <c r="K745" s="180" t="s">
        <v>2901</v>
      </c>
      <c r="L745" s="177">
        <v>42087</v>
      </c>
      <c r="M745" s="178" t="s">
        <v>1654</v>
      </c>
      <c r="N745" s="178" t="s">
        <v>185</v>
      </c>
      <c r="O745" s="177">
        <v>42087</v>
      </c>
      <c r="P745" s="179">
        <f t="shared" si="681"/>
        <v>1</v>
      </c>
      <c r="Q745" s="180" t="s">
        <v>2901</v>
      </c>
      <c r="R745" s="178" t="s">
        <v>17</v>
      </c>
      <c r="S745" s="178" t="s">
        <v>2902</v>
      </c>
      <c r="T745" s="178">
        <v>1104629793</v>
      </c>
      <c r="U745" s="181">
        <v>42088</v>
      </c>
      <c r="V745" s="178" t="s">
        <v>186</v>
      </c>
      <c r="W745" s="182">
        <f t="shared" si="682"/>
        <v>0</v>
      </c>
      <c r="X745" s="182" t="str">
        <f t="shared" si="683"/>
        <v>Correcto</v>
      </c>
    </row>
    <row r="746" spans="1:24" ht="18" customHeight="1" x14ac:dyDescent="0.25">
      <c r="A746" s="186">
        <v>737</v>
      </c>
      <c r="B746" s="173" t="s">
        <v>2903</v>
      </c>
      <c r="C746" s="174">
        <v>42086</v>
      </c>
      <c r="D746" s="175">
        <v>2</v>
      </c>
      <c r="E746" s="175" t="s">
        <v>93</v>
      </c>
      <c r="F746" s="176" t="s">
        <v>1914</v>
      </c>
      <c r="G746" s="175" t="s">
        <v>202</v>
      </c>
      <c r="H746" s="177">
        <v>42087</v>
      </c>
      <c r="I746" s="175" t="s">
        <v>187</v>
      </c>
      <c r="J746" s="175" t="s">
        <v>103</v>
      </c>
      <c r="K746" s="180" t="s">
        <v>2904</v>
      </c>
      <c r="L746" s="177">
        <v>42087</v>
      </c>
      <c r="M746" s="178" t="s">
        <v>1654</v>
      </c>
      <c r="N746" s="178" t="s">
        <v>185</v>
      </c>
      <c r="O746" s="177">
        <v>42087</v>
      </c>
      <c r="P746" s="179">
        <f t="shared" si="681"/>
        <v>1</v>
      </c>
      <c r="Q746" s="180" t="s">
        <v>2904</v>
      </c>
      <c r="R746" s="178" t="s">
        <v>17</v>
      </c>
      <c r="S746" s="178" t="s">
        <v>2905</v>
      </c>
      <c r="T746" s="178">
        <v>1101758884</v>
      </c>
      <c r="U746" s="181">
        <v>42088</v>
      </c>
      <c r="V746" s="178" t="s">
        <v>186</v>
      </c>
      <c r="W746" s="182">
        <f t="shared" si="682"/>
        <v>0</v>
      </c>
      <c r="X746" s="182" t="str">
        <f t="shared" si="683"/>
        <v>Correcto</v>
      </c>
    </row>
    <row r="747" spans="1:24" ht="18" customHeight="1" x14ac:dyDescent="0.25">
      <c r="A747" s="186">
        <v>738</v>
      </c>
      <c r="B747" s="173" t="s">
        <v>2906</v>
      </c>
      <c r="C747" s="174">
        <v>42086</v>
      </c>
      <c r="D747" s="175">
        <v>2</v>
      </c>
      <c r="E747" s="175" t="s">
        <v>93</v>
      </c>
      <c r="F747" s="176" t="s">
        <v>825</v>
      </c>
      <c r="G747" s="175" t="s">
        <v>202</v>
      </c>
      <c r="H747" s="177">
        <v>42093</v>
      </c>
      <c r="I747" s="175" t="s">
        <v>187</v>
      </c>
      <c r="J747" s="175" t="s">
        <v>103</v>
      </c>
      <c r="K747" s="178" t="s">
        <v>2907</v>
      </c>
      <c r="L747" s="177">
        <v>42093</v>
      </c>
      <c r="M747" s="178" t="s">
        <v>1654</v>
      </c>
      <c r="N747" s="178" t="s">
        <v>185</v>
      </c>
      <c r="O747" s="177">
        <v>42095</v>
      </c>
      <c r="P747" s="179">
        <f t="shared" si="681"/>
        <v>9</v>
      </c>
      <c r="Q747" s="180" t="s">
        <v>2908</v>
      </c>
      <c r="R747" s="178" t="s">
        <v>17</v>
      </c>
      <c r="S747" s="178" t="s">
        <v>101</v>
      </c>
      <c r="T747" s="178" t="s">
        <v>953</v>
      </c>
      <c r="U747" s="181">
        <v>42101</v>
      </c>
      <c r="V747" s="178" t="s">
        <v>186</v>
      </c>
      <c r="W747" s="182">
        <f t="shared" si="682"/>
        <v>0</v>
      </c>
      <c r="X747" s="182" t="str">
        <f t="shared" si="683"/>
        <v>Correcto</v>
      </c>
    </row>
    <row r="748" spans="1:24" ht="18" customHeight="1" x14ac:dyDescent="0.25">
      <c r="A748" s="186">
        <v>739</v>
      </c>
      <c r="B748" s="173" t="s">
        <v>2909</v>
      </c>
      <c r="C748" s="174">
        <v>42086</v>
      </c>
      <c r="D748" s="175">
        <v>2</v>
      </c>
      <c r="E748" s="175" t="s">
        <v>93</v>
      </c>
      <c r="F748" s="176" t="s">
        <v>825</v>
      </c>
      <c r="G748" s="175" t="s">
        <v>202</v>
      </c>
      <c r="H748" s="177">
        <v>42090</v>
      </c>
      <c r="I748" s="175" t="s">
        <v>187</v>
      </c>
      <c r="J748" s="175" t="s">
        <v>103</v>
      </c>
      <c r="K748" s="178" t="s">
        <v>2910</v>
      </c>
      <c r="L748" s="177">
        <v>42090</v>
      </c>
      <c r="M748" s="178" t="s">
        <v>1654</v>
      </c>
      <c r="N748" s="178" t="s">
        <v>185</v>
      </c>
      <c r="O748" s="177">
        <v>42095</v>
      </c>
      <c r="P748" s="179">
        <f t="shared" si="681"/>
        <v>9</v>
      </c>
      <c r="Q748" s="180" t="s">
        <v>2911</v>
      </c>
      <c r="R748" s="178" t="s">
        <v>17</v>
      </c>
      <c r="S748" s="178" t="s">
        <v>101</v>
      </c>
      <c r="T748" s="178" t="s">
        <v>1007</v>
      </c>
      <c r="U748" s="181">
        <v>42095</v>
      </c>
      <c r="V748" s="178" t="s">
        <v>186</v>
      </c>
      <c r="W748" s="182">
        <f t="shared" si="682"/>
        <v>0</v>
      </c>
      <c r="X748" s="182" t="str">
        <f t="shared" si="683"/>
        <v>Correcto</v>
      </c>
    </row>
    <row r="749" spans="1:24" ht="18" customHeight="1" x14ac:dyDescent="0.25">
      <c r="A749" s="186">
        <v>740</v>
      </c>
      <c r="B749" s="173" t="s">
        <v>2912</v>
      </c>
      <c r="C749" s="174">
        <v>42086</v>
      </c>
      <c r="D749" s="175">
        <v>2</v>
      </c>
      <c r="E749" s="175" t="s">
        <v>93</v>
      </c>
      <c r="F749" s="176" t="s">
        <v>1914</v>
      </c>
      <c r="G749" s="175" t="s">
        <v>202</v>
      </c>
      <c r="H749" s="177">
        <v>42087</v>
      </c>
      <c r="I749" s="175" t="s">
        <v>187</v>
      </c>
      <c r="J749" s="175" t="s">
        <v>103</v>
      </c>
      <c r="K749" s="180" t="s">
        <v>2913</v>
      </c>
      <c r="L749" s="177">
        <v>42087</v>
      </c>
      <c r="M749" s="178" t="s">
        <v>1654</v>
      </c>
      <c r="N749" s="178" t="s">
        <v>185</v>
      </c>
      <c r="O749" s="177">
        <v>42087</v>
      </c>
      <c r="P749" s="179">
        <f t="shared" si="681"/>
        <v>1</v>
      </c>
      <c r="Q749" s="180" t="s">
        <v>2913</v>
      </c>
      <c r="R749" s="178" t="s">
        <v>17</v>
      </c>
      <c r="S749" s="178" t="s">
        <v>2914</v>
      </c>
      <c r="T749" s="178">
        <v>401605434</v>
      </c>
      <c r="U749" s="181">
        <v>42088</v>
      </c>
      <c r="V749" s="178" t="s">
        <v>186</v>
      </c>
      <c r="W749" s="182">
        <f t="shared" si="682"/>
        <v>0</v>
      </c>
      <c r="X749" s="182" t="str">
        <f t="shared" si="683"/>
        <v>Correcto</v>
      </c>
    </row>
    <row r="750" spans="1:24" ht="18" customHeight="1" x14ac:dyDescent="0.25">
      <c r="A750" s="186">
        <v>741</v>
      </c>
      <c r="B750" s="173" t="s">
        <v>2915</v>
      </c>
      <c r="C750" s="174">
        <v>42086</v>
      </c>
      <c r="D750" s="175">
        <v>2</v>
      </c>
      <c r="E750" s="175" t="s">
        <v>93</v>
      </c>
      <c r="F750" s="176" t="s">
        <v>825</v>
      </c>
      <c r="G750" s="175" t="s">
        <v>202</v>
      </c>
      <c r="H750" s="177">
        <v>42090</v>
      </c>
      <c r="I750" s="175" t="s">
        <v>187</v>
      </c>
      <c r="J750" s="175" t="s">
        <v>103</v>
      </c>
      <c r="K750" s="178" t="s">
        <v>2916</v>
      </c>
      <c r="L750" s="177">
        <v>42090</v>
      </c>
      <c r="M750" s="178" t="s">
        <v>1654</v>
      </c>
      <c r="N750" s="178" t="s">
        <v>185</v>
      </c>
      <c r="O750" s="177">
        <v>42095</v>
      </c>
      <c r="P750" s="179">
        <f t="shared" si="681"/>
        <v>9</v>
      </c>
      <c r="Q750" s="180" t="s">
        <v>2917</v>
      </c>
      <c r="R750" s="178" t="s">
        <v>17</v>
      </c>
      <c r="S750" s="178" t="s">
        <v>2918</v>
      </c>
      <c r="T750" s="178" t="s">
        <v>2919</v>
      </c>
      <c r="U750" s="181">
        <v>42095</v>
      </c>
      <c r="V750" s="178" t="s">
        <v>186</v>
      </c>
      <c r="W750" s="182">
        <f t="shared" si="682"/>
        <v>0</v>
      </c>
      <c r="X750" s="182" t="str">
        <f t="shared" si="683"/>
        <v>Correcto</v>
      </c>
    </row>
    <row r="751" spans="1:24" ht="18" customHeight="1" x14ac:dyDescent="0.25">
      <c r="A751" s="186">
        <v>742</v>
      </c>
      <c r="B751" s="173" t="s">
        <v>2920</v>
      </c>
      <c r="C751" s="174">
        <v>42086</v>
      </c>
      <c r="D751" s="175">
        <v>2</v>
      </c>
      <c r="E751" s="175" t="s">
        <v>93</v>
      </c>
      <c r="F751" s="176" t="s">
        <v>825</v>
      </c>
      <c r="G751" s="175" t="s">
        <v>202</v>
      </c>
      <c r="H751" s="177">
        <v>42089</v>
      </c>
      <c r="I751" s="175" t="s">
        <v>187</v>
      </c>
      <c r="J751" s="175" t="s">
        <v>103</v>
      </c>
      <c r="K751" s="178" t="s">
        <v>2921</v>
      </c>
      <c r="L751" s="177">
        <v>42089</v>
      </c>
      <c r="M751" s="178" t="s">
        <v>1654</v>
      </c>
      <c r="N751" s="178" t="s">
        <v>185</v>
      </c>
      <c r="O751" s="177">
        <v>42095</v>
      </c>
      <c r="P751" s="179">
        <f t="shared" si="681"/>
        <v>9</v>
      </c>
      <c r="Q751" s="180" t="s">
        <v>2922</v>
      </c>
      <c r="R751" s="178" t="s">
        <v>17</v>
      </c>
      <c r="S751" s="178" t="s">
        <v>101</v>
      </c>
      <c r="T751" s="178" t="s">
        <v>2923</v>
      </c>
      <c r="U751" s="181">
        <v>42095</v>
      </c>
      <c r="V751" s="178" t="s">
        <v>186</v>
      </c>
      <c r="W751" s="182">
        <f t="shared" si="682"/>
        <v>0</v>
      </c>
      <c r="X751" s="182" t="str">
        <f t="shared" si="683"/>
        <v>Correcto</v>
      </c>
    </row>
    <row r="752" spans="1:24" ht="18" customHeight="1" x14ac:dyDescent="0.25">
      <c r="A752" s="186">
        <v>743</v>
      </c>
      <c r="B752" s="173" t="s">
        <v>2924</v>
      </c>
      <c r="C752" s="174">
        <v>42086</v>
      </c>
      <c r="D752" s="175">
        <v>2</v>
      </c>
      <c r="E752" s="175" t="s">
        <v>93</v>
      </c>
      <c r="F752" s="176" t="s">
        <v>825</v>
      </c>
      <c r="G752" s="175" t="s">
        <v>202</v>
      </c>
      <c r="H752" s="177">
        <v>42090</v>
      </c>
      <c r="I752" s="175" t="s">
        <v>187</v>
      </c>
      <c r="J752" s="175" t="s">
        <v>103</v>
      </c>
      <c r="K752" s="178" t="s">
        <v>2925</v>
      </c>
      <c r="L752" s="177">
        <v>42090</v>
      </c>
      <c r="M752" s="178" t="s">
        <v>1654</v>
      </c>
      <c r="N752" s="178" t="s">
        <v>185</v>
      </c>
      <c r="O752" s="177">
        <v>42095</v>
      </c>
      <c r="P752" s="179">
        <f t="shared" si="681"/>
        <v>9</v>
      </c>
      <c r="Q752" s="180" t="s">
        <v>2926</v>
      </c>
      <c r="R752" s="178" t="s">
        <v>17</v>
      </c>
      <c r="S752" s="178" t="s">
        <v>101</v>
      </c>
      <c r="T752" s="178" t="s">
        <v>1496</v>
      </c>
      <c r="U752" s="181">
        <v>42095</v>
      </c>
      <c r="V752" s="178" t="s">
        <v>186</v>
      </c>
      <c r="W752" s="182">
        <f t="shared" si="682"/>
        <v>0</v>
      </c>
      <c r="X752" s="182" t="str">
        <f t="shared" si="683"/>
        <v>Correcto</v>
      </c>
    </row>
    <row r="753" spans="1:24" ht="18" customHeight="1" x14ac:dyDescent="0.25">
      <c r="A753" s="186">
        <v>744</v>
      </c>
      <c r="B753" s="173" t="s">
        <v>2927</v>
      </c>
      <c r="C753" s="174">
        <v>42086</v>
      </c>
      <c r="D753" s="175">
        <v>2</v>
      </c>
      <c r="E753" s="175" t="s">
        <v>93</v>
      </c>
      <c r="F753" s="176" t="s">
        <v>1914</v>
      </c>
      <c r="G753" s="175" t="s">
        <v>202</v>
      </c>
      <c r="H753" s="177">
        <v>42087</v>
      </c>
      <c r="I753" s="175" t="s">
        <v>187</v>
      </c>
      <c r="J753" s="175" t="s">
        <v>103</v>
      </c>
      <c r="K753" s="180" t="s">
        <v>2928</v>
      </c>
      <c r="L753" s="177">
        <v>42087</v>
      </c>
      <c r="M753" s="178" t="s">
        <v>1654</v>
      </c>
      <c r="N753" s="178" t="s">
        <v>185</v>
      </c>
      <c r="O753" s="177">
        <v>42087</v>
      </c>
      <c r="P753" s="179">
        <f t="shared" si="681"/>
        <v>1</v>
      </c>
      <c r="Q753" s="180" t="s">
        <v>2928</v>
      </c>
      <c r="R753" s="178" t="s">
        <v>17</v>
      </c>
      <c r="S753" s="178" t="s">
        <v>2929</v>
      </c>
      <c r="T753" s="178">
        <v>1106348744</v>
      </c>
      <c r="U753" s="181">
        <v>42088</v>
      </c>
      <c r="V753" s="178" t="s">
        <v>186</v>
      </c>
      <c r="W753" s="182">
        <f t="shared" si="682"/>
        <v>0</v>
      </c>
      <c r="X753" s="182" t="str">
        <f t="shared" si="683"/>
        <v>Correcto</v>
      </c>
    </row>
    <row r="754" spans="1:24" ht="18" customHeight="1" x14ac:dyDescent="0.25">
      <c r="A754" s="186">
        <v>745</v>
      </c>
      <c r="B754" s="173" t="s">
        <v>2930</v>
      </c>
      <c r="C754" s="174">
        <v>42086</v>
      </c>
      <c r="D754" s="175">
        <v>2</v>
      </c>
      <c r="E754" s="175" t="s">
        <v>93</v>
      </c>
      <c r="F754" s="176" t="s">
        <v>1914</v>
      </c>
      <c r="G754" s="175" t="s">
        <v>202</v>
      </c>
      <c r="H754" s="177">
        <v>42087</v>
      </c>
      <c r="I754" s="175" t="s">
        <v>187</v>
      </c>
      <c r="J754" s="175" t="s">
        <v>103</v>
      </c>
      <c r="K754" s="180" t="s">
        <v>2931</v>
      </c>
      <c r="L754" s="177">
        <v>42087</v>
      </c>
      <c r="M754" s="178" t="s">
        <v>1654</v>
      </c>
      <c r="N754" s="178" t="s">
        <v>185</v>
      </c>
      <c r="O754" s="177">
        <v>42087</v>
      </c>
      <c r="P754" s="179">
        <f t="shared" si="681"/>
        <v>1</v>
      </c>
      <c r="Q754" s="180" t="s">
        <v>2931</v>
      </c>
      <c r="R754" s="178" t="s">
        <v>17</v>
      </c>
      <c r="S754" s="178" t="s">
        <v>2932</v>
      </c>
      <c r="T754" s="178">
        <v>1105345799</v>
      </c>
      <c r="U754" s="181">
        <v>42088</v>
      </c>
      <c r="V754" s="178" t="s">
        <v>186</v>
      </c>
      <c r="W754" s="182">
        <f t="shared" si="682"/>
        <v>0</v>
      </c>
      <c r="X754" s="182" t="str">
        <f t="shared" si="683"/>
        <v>Correcto</v>
      </c>
    </row>
    <row r="755" spans="1:24" ht="18" customHeight="1" x14ac:dyDescent="0.25">
      <c r="A755" s="186">
        <v>746</v>
      </c>
      <c r="B755" s="173" t="s">
        <v>2933</v>
      </c>
      <c r="C755" s="174">
        <v>42086</v>
      </c>
      <c r="D755" s="175">
        <v>2</v>
      </c>
      <c r="E755" s="175" t="s">
        <v>93</v>
      </c>
      <c r="F755" s="176" t="s">
        <v>1914</v>
      </c>
      <c r="G755" s="175" t="s">
        <v>202</v>
      </c>
      <c r="H755" s="177">
        <v>42087</v>
      </c>
      <c r="I755" s="175" t="s">
        <v>187</v>
      </c>
      <c r="J755" s="175" t="s">
        <v>103</v>
      </c>
      <c r="K755" s="180" t="s">
        <v>2934</v>
      </c>
      <c r="L755" s="177">
        <v>42087</v>
      </c>
      <c r="M755" s="178" t="s">
        <v>1654</v>
      </c>
      <c r="N755" s="178" t="s">
        <v>185</v>
      </c>
      <c r="O755" s="177">
        <v>42087</v>
      </c>
      <c r="P755" s="179">
        <f t="shared" si="681"/>
        <v>1</v>
      </c>
      <c r="Q755" s="180" t="s">
        <v>2934</v>
      </c>
      <c r="R755" s="178" t="s">
        <v>17</v>
      </c>
      <c r="S755" s="178" t="s">
        <v>2935</v>
      </c>
      <c r="T755" s="178">
        <v>1105345799</v>
      </c>
      <c r="U755" s="181">
        <v>42088</v>
      </c>
      <c r="V755" s="178" t="s">
        <v>186</v>
      </c>
      <c r="W755" s="182">
        <f t="shared" si="682"/>
        <v>0</v>
      </c>
      <c r="X755" s="182" t="str">
        <f t="shared" si="683"/>
        <v>Correcto</v>
      </c>
    </row>
    <row r="756" spans="1:24" ht="18" customHeight="1" x14ac:dyDescent="0.25">
      <c r="A756" s="186">
        <v>747</v>
      </c>
      <c r="B756" s="173" t="s">
        <v>2936</v>
      </c>
      <c r="C756" s="174">
        <v>42086</v>
      </c>
      <c r="D756" s="175">
        <v>2</v>
      </c>
      <c r="E756" s="175" t="s">
        <v>93</v>
      </c>
      <c r="F756" s="176" t="s">
        <v>1914</v>
      </c>
      <c r="G756" s="175" t="s">
        <v>202</v>
      </c>
      <c r="H756" s="177">
        <v>42087</v>
      </c>
      <c r="I756" s="175" t="s">
        <v>187</v>
      </c>
      <c r="J756" s="175" t="s">
        <v>103</v>
      </c>
      <c r="K756" s="180" t="s">
        <v>2937</v>
      </c>
      <c r="L756" s="177">
        <v>42087</v>
      </c>
      <c r="M756" s="178" t="s">
        <v>1654</v>
      </c>
      <c r="N756" s="178" t="s">
        <v>185</v>
      </c>
      <c r="O756" s="177">
        <v>42087</v>
      </c>
      <c r="P756" s="179">
        <f t="shared" si="681"/>
        <v>1</v>
      </c>
      <c r="Q756" s="180" t="s">
        <v>2937</v>
      </c>
      <c r="R756" s="178" t="s">
        <v>17</v>
      </c>
      <c r="S756" s="178" t="s">
        <v>2938</v>
      </c>
      <c r="T756" s="178">
        <v>1105345799</v>
      </c>
      <c r="U756" s="181">
        <v>42088</v>
      </c>
      <c r="V756" s="178" t="s">
        <v>186</v>
      </c>
      <c r="W756" s="182">
        <f t="shared" si="682"/>
        <v>0</v>
      </c>
      <c r="X756" s="182" t="str">
        <f t="shared" si="683"/>
        <v>Correcto</v>
      </c>
    </row>
    <row r="757" spans="1:24" ht="18" customHeight="1" x14ac:dyDescent="0.25">
      <c r="A757" s="186">
        <v>748</v>
      </c>
      <c r="B757" s="173" t="s">
        <v>2939</v>
      </c>
      <c r="C757" s="174">
        <v>42086</v>
      </c>
      <c r="D757" s="175">
        <v>2</v>
      </c>
      <c r="E757" s="175" t="s">
        <v>93</v>
      </c>
      <c r="F757" s="176" t="s">
        <v>1914</v>
      </c>
      <c r="G757" s="175" t="s">
        <v>202</v>
      </c>
      <c r="H757" s="177">
        <v>42087</v>
      </c>
      <c r="I757" s="175" t="s">
        <v>187</v>
      </c>
      <c r="J757" s="175" t="s">
        <v>103</v>
      </c>
      <c r="K757" s="180" t="s">
        <v>2940</v>
      </c>
      <c r="L757" s="177">
        <v>42087</v>
      </c>
      <c r="M757" s="178" t="s">
        <v>1654</v>
      </c>
      <c r="N757" s="178" t="s">
        <v>185</v>
      </c>
      <c r="O757" s="177">
        <v>42087</v>
      </c>
      <c r="P757" s="179">
        <f t="shared" si="681"/>
        <v>1</v>
      </c>
      <c r="Q757" s="180" t="s">
        <v>2940</v>
      </c>
      <c r="R757" s="178" t="s">
        <v>17</v>
      </c>
      <c r="S757" s="178" t="s">
        <v>2941</v>
      </c>
      <c r="T757" s="178">
        <v>1105345799</v>
      </c>
      <c r="U757" s="181">
        <v>42088</v>
      </c>
      <c r="V757" s="178" t="s">
        <v>186</v>
      </c>
      <c r="W757" s="182">
        <f t="shared" si="682"/>
        <v>0</v>
      </c>
      <c r="X757" s="182" t="str">
        <f t="shared" si="683"/>
        <v>Correcto</v>
      </c>
    </row>
    <row r="758" spans="1:24" ht="18" customHeight="1" x14ac:dyDescent="0.25">
      <c r="A758" s="186">
        <v>749</v>
      </c>
      <c r="B758" s="173" t="s">
        <v>2942</v>
      </c>
      <c r="C758" s="174">
        <v>42086</v>
      </c>
      <c r="D758" s="175">
        <v>2</v>
      </c>
      <c r="E758" s="175" t="s">
        <v>93</v>
      </c>
      <c r="F758" s="176" t="s">
        <v>1914</v>
      </c>
      <c r="G758" s="175" t="s">
        <v>202</v>
      </c>
      <c r="H758" s="177">
        <v>42087</v>
      </c>
      <c r="I758" s="175" t="s">
        <v>187</v>
      </c>
      <c r="J758" s="175" t="s">
        <v>103</v>
      </c>
      <c r="K758" s="180" t="s">
        <v>2943</v>
      </c>
      <c r="L758" s="177">
        <v>42087</v>
      </c>
      <c r="M758" s="178" t="s">
        <v>1654</v>
      </c>
      <c r="N758" s="178" t="s">
        <v>185</v>
      </c>
      <c r="O758" s="177">
        <v>42087</v>
      </c>
      <c r="P758" s="179">
        <f t="shared" si="681"/>
        <v>1</v>
      </c>
      <c r="Q758" s="180" t="s">
        <v>2943</v>
      </c>
      <c r="R758" s="178" t="s">
        <v>17</v>
      </c>
      <c r="S758" s="178" t="s">
        <v>2944</v>
      </c>
      <c r="T758" s="178">
        <v>1105345799</v>
      </c>
      <c r="U758" s="181">
        <v>42088</v>
      </c>
      <c r="V758" s="178" t="s">
        <v>186</v>
      </c>
      <c r="W758" s="182">
        <f t="shared" si="682"/>
        <v>0</v>
      </c>
      <c r="X758" s="182" t="str">
        <f t="shared" si="683"/>
        <v>Correcto</v>
      </c>
    </row>
    <row r="759" spans="1:24" ht="18" customHeight="1" x14ac:dyDescent="0.25">
      <c r="A759" s="186">
        <v>750</v>
      </c>
      <c r="B759" s="173" t="s">
        <v>2945</v>
      </c>
      <c r="C759" s="174">
        <v>42086</v>
      </c>
      <c r="D759" s="175">
        <v>2</v>
      </c>
      <c r="E759" s="175" t="s">
        <v>93</v>
      </c>
      <c r="F759" s="176" t="s">
        <v>1914</v>
      </c>
      <c r="G759" s="175" t="s">
        <v>202</v>
      </c>
      <c r="H759" s="177">
        <v>42087</v>
      </c>
      <c r="I759" s="175" t="s">
        <v>187</v>
      </c>
      <c r="J759" s="175" t="s">
        <v>103</v>
      </c>
      <c r="K759" s="180" t="s">
        <v>2946</v>
      </c>
      <c r="L759" s="177">
        <v>42087</v>
      </c>
      <c r="M759" s="178" t="s">
        <v>1654</v>
      </c>
      <c r="N759" s="178" t="s">
        <v>185</v>
      </c>
      <c r="O759" s="177">
        <v>42087</v>
      </c>
      <c r="P759" s="179">
        <f t="shared" si="681"/>
        <v>1</v>
      </c>
      <c r="Q759" s="180" t="s">
        <v>2946</v>
      </c>
      <c r="R759" s="178" t="s">
        <v>17</v>
      </c>
      <c r="S759" s="178" t="s">
        <v>2947</v>
      </c>
      <c r="T759" s="178">
        <v>1105345799</v>
      </c>
      <c r="U759" s="181">
        <v>42088</v>
      </c>
      <c r="V759" s="178" t="s">
        <v>186</v>
      </c>
      <c r="W759" s="182">
        <f t="shared" si="682"/>
        <v>0</v>
      </c>
      <c r="X759" s="182" t="str">
        <f t="shared" si="683"/>
        <v>Correcto</v>
      </c>
    </row>
    <row r="760" spans="1:24" ht="18" customHeight="1" x14ac:dyDescent="0.25">
      <c r="A760" s="186">
        <v>751</v>
      </c>
      <c r="B760" s="173" t="s">
        <v>2948</v>
      </c>
      <c r="C760" s="174">
        <v>42086</v>
      </c>
      <c r="D760" s="175">
        <v>2</v>
      </c>
      <c r="E760" s="175" t="s">
        <v>93</v>
      </c>
      <c r="F760" s="176" t="s">
        <v>1914</v>
      </c>
      <c r="G760" s="175" t="s">
        <v>202</v>
      </c>
      <c r="H760" s="177">
        <v>42087</v>
      </c>
      <c r="I760" s="175" t="s">
        <v>187</v>
      </c>
      <c r="J760" s="175" t="s">
        <v>103</v>
      </c>
      <c r="K760" s="180" t="s">
        <v>2949</v>
      </c>
      <c r="L760" s="177">
        <v>42087</v>
      </c>
      <c r="M760" s="178" t="s">
        <v>1654</v>
      </c>
      <c r="N760" s="178" t="s">
        <v>185</v>
      </c>
      <c r="O760" s="177">
        <v>42087</v>
      </c>
      <c r="P760" s="179">
        <f t="shared" si="681"/>
        <v>1</v>
      </c>
      <c r="Q760" s="180" t="s">
        <v>2949</v>
      </c>
      <c r="R760" s="178" t="s">
        <v>17</v>
      </c>
      <c r="S760" s="178" t="s">
        <v>2950</v>
      </c>
      <c r="T760" s="178">
        <v>1105345799</v>
      </c>
      <c r="U760" s="181">
        <v>42088</v>
      </c>
      <c r="V760" s="178" t="s">
        <v>186</v>
      </c>
      <c r="W760" s="182">
        <f t="shared" si="682"/>
        <v>0</v>
      </c>
      <c r="X760" s="182" t="str">
        <f t="shared" si="683"/>
        <v>Correcto</v>
      </c>
    </row>
    <row r="761" spans="1:24" ht="18" customHeight="1" x14ac:dyDescent="0.25">
      <c r="A761" s="186">
        <v>752</v>
      </c>
      <c r="B761" s="173" t="s">
        <v>2951</v>
      </c>
      <c r="C761" s="174">
        <v>42086</v>
      </c>
      <c r="D761" s="175">
        <v>2</v>
      </c>
      <c r="E761" s="175" t="s">
        <v>93</v>
      </c>
      <c r="F761" s="176" t="s">
        <v>1914</v>
      </c>
      <c r="G761" s="175" t="s">
        <v>202</v>
      </c>
      <c r="H761" s="177">
        <v>42087</v>
      </c>
      <c r="I761" s="175" t="s">
        <v>187</v>
      </c>
      <c r="J761" s="175" t="s">
        <v>103</v>
      </c>
      <c r="K761" s="180" t="s">
        <v>2952</v>
      </c>
      <c r="L761" s="177">
        <v>42087</v>
      </c>
      <c r="M761" s="178" t="s">
        <v>1654</v>
      </c>
      <c r="N761" s="178" t="s">
        <v>185</v>
      </c>
      <c r="O761" s="177">
        <v>42087</v>
      </c>
      <c r="P761" s="179">
        <f t="shared" si="681"/>
        <v>1</v>
      </c>
      <c r="Q761" s="180" t="s">
        <v>2952</v>
      </c>
      <c r="R761" s="178" t="s">
        <v>17</v>
      </c>
      <c r="S761" s="178" t="s">
        <v>2953</v>
      </c>
      <c r="T761" s="178">
        <v>171280569</v>
      </c>
      <c r="U761" s="181">
        <v>42088</v>
      </c>
      <c r="V761" s="178" t="s">
        <v>186</v>
      </c>
      <c r="W761" s="182">
        <f t="shared" si="682"/>
        <v>0</v>
      </c>
      <c r="X761" s="182" t="str">
        <f t="shared" si="683"/>
        <v>Correcto</v>
      </c>
    </row>
    <row r="762" spans="1:24" ht="18" customHeight="1" x14ac:dyDescent="0.25">
      <c r="A762" s="186">
        <v>753</v>
      </c>
      <c r="B762" s="173" t="s">
        <v>2954</v>
      </c>
      <c r="C762" s="174">
        <v>42086</v>
      </c>
      <c r="D762" s="175">
        <v>2</v>
      </c>
      <c r="E762" s="175" t="s">
        <v>93</v>
      </c>
      <c r="F762" s="176" t="s">
        <v>1914</v>
      </c>
      <c r="G762" s="175" t="s">
        <v>202</v>
      </c>
      <c r="H762" s="177">
        <v>42087</v>
      </c>
      <c r="I762" s="175" t="s">
        <v>187</v>
      </c>
      <c r="J762" s="175" t="s">
        <v>103</v>
      </c>
      <c r="K762" s="180" t="s">
        <v>2955</v>
      </c>
      <c r="L762" s="177">
        <v>42087</v>
      </c>
      <c r="M762" s="178" t="s">
        <v>1654</v>
      </c>
      <c r="N762" s="178" t="s">
        <v>185</v>
      </c>
      <c r="O762" s="177">
        <v>42087</v>
      </c>
      <c r="P762" s="179">
        <f t="shared" si="681"/>
        <v>1</v>
      </c>
      <c r="Q762" s="180" t="s">
        <v>2955</v>
      </c>
      <c r="R762" s="178" t="s">
        <v>17</v>
      </c>
      <c r="S762" s="178" t="s">
        <v>2956</v>
      </c>
      <c r="T762" s="178">
        <v>1105345799</v>
      </c>
      <c r="U762" s="181">
        <v>42088</v>
      </c>
      <c r="V762" s="178" t="s">
        <v>186</v>
      </c>
      <c r="W762" s="182">
        <f t="shared" si="682"/>
        <v>0</v>
      </c>
      <c r="X762" s="182" t="str">
        <f t="shared" si="683"/>
        <v>Correcto</v>
      </c>
    </row>
    <row r="763" spans="1:24" ht="18" customHeight="1" x14ac:dyDescent="0.25">
      <c r="A763" s="186">
        <v>754</v>
      </c>
      <c r="B763" s="173" t="s">
        <v>2957</v>
      </c>
      <c r="C763" s="174">
        <v>42086</v>
      </c>
      <c r="D763" s="175">
        <v>2</v>
      </c>
      <c r="E763" s="175" t="s">
        <v>93</v>
      </c>
      <c r="F763" s="176" t="s">
        <v>1914</v>
      </c>
      <c r="G763" s="175" t="s">
        <v>202</v>
      </c>
      <c r="H763" s="177">
        <v>42087</v>
      </c>
      <c r="I763" s="175" t="s">
        <v>187</v>
      </c>
      <c r="J763" s="175" t="s">
        <v>103</v>
      </c>
      <c r="K763" s="180" t="s">
        <v>2958</v>
      </c>
      <c r="L763" s="177">
        <v>42087</v>
      </c>
      <c r="M763" s="178" t="s">
        <v>1654</v>
      </c>
      <c r="N763" s="178" t="s">
        <v>185</v>
      </c>
      <c r="O763" s="177">
        <v>42087</v>
      </c>
      <c r="P763" s="179">
        <f t="shared" si="681"/>
        <v>1</v>
      </c>
      <c r="Q763" s="180" t="s">
        <v>2958</v>
      </c>
      <c r="R763" s="178" t="s">
        <v>17</v>
      </c>
      <c r="S763" s="178" t="s">
        <v>2959</v>
      </c>
      <c r="T763" s="178">
        <v>1105345799</v>
      </c>
      <c r="U763" s="181">
        <v>42088</v>
      </c>
      <c r="V763" s="178" t="s">
        <v>186</v>
      </c>
      <c r="W763" s="182">
        <f t="shared" si="682"/>
        <v>0</v>
      </c>
      <c r="X763" s="182" t="str">
        <f t="shared" si="683"/>
        <v>Correcto</v>
      </c>
    </row>
    <row r="764" spans="1:24" ht="18" customHeight="1" x14ac:dyDescent="0.25">
      <c r="A764" s="186">
        <v>755</v>
      </c>
      <c r="B764" s="173" t="s">
        <v>2960</v>
      </c>
      <c r="C764" s="174">
        <v>42086</v>
      </c>
      <c r="D764" s="175">
        <v>2</v>
      </c>
      <c r="E764" s="175" t="s">
        <v>93</v>
      </c>
      <c r="F764" s="176" t="s">
        <v>1914</v>
      </c>
      <c r="G764" s="175" t="s">
        <v>202</v>
      </c>
      <c r="H764" s="177">
        <v>42087</v>
      </c>
      <c r="I764" s="175" t="s">
        <v>187</v>
      </c>
      <c r="J764" s="175" t="s">
        <v>103</v>
      </c>
      <c r="K764" s="180" t="s">
        <v>2961</v>
      </c>
      <c r="L764" s="177">
        <v>42087</v>
      </c>
      <c r="M764" s="178" t="s">
        <v>1654</v>
      </c>
      <c r="N764" s="178" t="s">
        <v>185</v>
      </c>
      <c r="O764" s="177">
        <v>42087</v>
      </c>
      <c r="P764" s="179">
        <f t="shared" si="681"/>
        <v>1</v>
      </c>
      <c r="Q764" s="180" t="s">
        <v>2961</v>
      </c>
      <c r="R764" s="178" t="s">
        <v>17</v>
      </c>
      <c r="S764" s="178" t="s">
        <v>2962</v>
      </c>
      <c r="T764" s="178">
        <v>1104517246</v>
      </c>
      <c r="U764" s="181">
        <v>42088</v>
      </c>
      <c r="V764" s="178" t="s">
        <v>186</v>
      </c>
      <c r="W764" s="182">
        <f t="shared" si="682"/>
        <v>0</v>
      </c>
      <c r="X764" s="182" t="str">
        <f t="shared" si="683"/>
        <v>Correcto</v>
      </c>
    </row>
    <row r="765" spans="1:24" ht="18" customHeight="1" x14ac:dyDescent="0.25">
      <c r="A765" s="186">
        <v>756</v>
      </c>
      <c r="B765" s="173" t="s">
        <v>2963</v>
      </c>
      <c r="C765" s="174">
        <v>42086</v>
      </c>
      <c r="D765" s="175">
        <v>2</v>
      </c>
      <c r="E765" s="175" t="s">
        <v>93</v>
      </c>
      <c r="F765" s="176" t="s">
        <v>825</v>
      </c>
      <c r="G765" s="175" t="s">
        <v>202</v>
      </c>
      <c r="H765" s="177">
        <v>42090</v>
      </c>
      <c r="I765" s="175" t="s">
        <v>187</v>
      </c>
      <c r="J765" s="175" t="s">
        <v>103</v>
      </c>
      <c r="K765" s="178" t="s">
        <v>2964</v>
      </c>
      <c r="L765" s="177">
        <v>42090</v>
      </c>
      <c r="M765" s="178" t="s">
        <v>1654</v>
      </c>
      <c r="N765" s="178" t="s">
        <v>185</v>
      </c>
      <c r="O765" s="177">
        <v>42095</v>
      </c>
      <c r="P765" s="179">
        <f t="shared" si="681"/>
        <v>9</v>
      </c>
      <c r="Q765" s="180" t="s">
        <v>2965</v>
      </c>
      <c r="R765" s="178" t="s">
        <v>17</v>
      </c>
      <c r="S765" s="178" t="s">
        <v>101</v>
      </c>
      <c r="T765" s="178" t="s">
        <v>996</v>
      </c>
      <c r="U765" s="181">
        <v>42095</v>
      </c>
      <c r="V765" s="178" t="s">
        <v>186</v>
      </c>
      <c r="W765" s="182">
        <f t="shared" si="682"/>
        <v>0</v>
      </c>
      <c r="X765" s="182" t="str">
        <f t="shared" si="683"/>
        <v>Correcto</v>
      </c>
    </row>
    <row r="766" spans="1:24" ht="18" customHeight="1" x14ac:dyDescent="0.25">
      <c r="A766" s="186">
        <v>757</v>
      </c>
      <c r="B766" s="173" t="s">
        <v>2966</v>
      </c>
      <c r="C766" s="174">
        <v>42086</v>
      </c>
      <c r="D766" s="175">
        <v>2</v>
      </c>
      <c r="E766" s="175" t="s">
        <v>93</v>
      </c>
      <c r="F766" s="176" t="s">
        <v>825</v>
      </c>
      <c r="G766" s="175" t="s">
        <v>202</v>
      </c>
      <c r="H766" s="177">
        <v>42090</v>
      </c>
      <c r="I766" s="175" t="s">
        <v>187</v>
      </c>
      <c r="J766" s="175" t="s">
        <v>103</v>
      </c>
      <c r="K766" s="178" t="s">
        <v>2967</v>
      </c>
      <c r="L766" s="177">
        <v>42090</v>
      </c>
      <c r="M766" s="178" t="s">
        <v>1654</v>
      </c>
      <c r="N766" s="178" t="s">
        <v>185</v>
      </c>
      <c r="O766" s="177">
        <v>42095</v>
      </c>
      <c r="P766" s="179">
        <f t="shared" si="681"/>
        <v>9</v>
      </c>
      <c r="Q766" s="180" t="s">
        <v>2968</v>
      </c>
      <c r="R766" s="178" t="s">
        <v>17</v>
      </c>
      <c r="S766" s="178" t="s">
        <v>101</v>
      </c>
      <c r="T766" s="178" t="s">
        <v>996</v>
      </c>
      <c r="U766" s="181">
        <v>42095</v>
      </c>
      <c r="V766" s="178" t="s">
        <v>186</v>
      </c>
      <c r="W766" s="182">
        <f t="shared" si="682"/>
        <v>0</v>
      </c>
      <c r="X766" s="182" t="str">
        <f t="shared" si="683"/>
        <v>Correcto</v>
      </c>
    </row>
    <row r="767" spans="1:24" ht="18" customHeight="1" x14ac:dyDescent="0.25">
      <c r="A767" s="186">
        <v>758</v>
      </c>
      <c r="B767" s="173" t="s">
        <v>2969</v>
      </c>
      <c r="C767" s="174">
        <v>42086</v>
      </c>
      <c r="D767" s="175">
        <v>2</v>
      </c>
      <c r="E767" s="175" t="s">
        <v>93</v>
      </c>
      <c r="F767" s="176" t="s">
        <v>825</v>
      </c>
      <c r="G767" s="175" t="s">
        <v>202</v>
      </c>
      <c r="H767" s="177">
        <v>42093</v>
      </c>
      <c r="I767" s="175" t="s">
        <v>187</v>
      </c>
      <c r="J767" s="175" t="s">
        <v>103</v>
      </c>
      <c r="K767" s="178" t="s">
        <v>2970</v>
      </c>
      <c r="L767" s="177">
        <v>42093</v>
      </c>
      <c r="M767" s="178" t="s">
        <v>1654</v>
      </c>
      <c r="N767" s="178" t="s">
        <v>185</v>
      </c>
      <c r="O767" s="177">
        <v>42095</v>
      </c>
      <c r="P767" s="179">
        <f t="shared" si="681"/>
        <v>9</v>
      </c>
      <c r="Q767" s="180" t="s">
        <v>2971</v>
      </c>
      <c r="R767" s="178" t="s">
        <v>17</v>
      </c>
      <c r="S767" s="178" t="s">
        <v>101</v>
      </c>
      <c r="T767" s="178" t="s">
        <v>996</v>
      </c>
      <c r="U767" s="181">
        <v>42101</v>
      </c>
      <c r="V767" s="178" t="s">
        <v>186</v>
      </c>
      <c r="W767" s="182">
        <f t="shared" si="682"/>
        <v>0</v>
      </c>
      <c r="X767" s="182" t="str">
        <f t="shared" si="683"/>
        <v>Correcto</v>
      </c>
    </row>
    <row r="768" spans="1:24" ht="18" customHeight="1" x14ac:dyDescent="0.25">
      <c r="A768" s="186">
        <v>759</v>
      </c>
      <c r="B768" s="173" t="s">
        <v>2972</v>
      </c>
      <c r="C768" s="174">
        <v>42086</v>
      </c>
      <c r="D768" s="175">
        <v>2</v>
      </c>
      <c r="E768" s="175" t="s">
        <v>93</v>
      </c>
      <c r="F768" s="176" t="s">
        <v>825</v>
      </c>
      <c r="G768" s="175" t="s">
        <v>202</v>
      </c>
      <c r="H768" s="177">
        <v>42090</v>
      </c>
      <c r="I768" s="175" t="s">
        <v>187</v>
      </c>
      <c r="J768" s="175" t="s">
        <v>103</v>
      </c>
      <c r="K768" s="178" t="s">
        <v>2973</v>
      </c>
      <c r="L768" s="177">
        <v>42090</v>
      </c>
      <c r="M768" s="178" t="s">
        <v>1654</v>
      </c>
      <c r="N768" s="178" t="s">
        <v>185</v>
      </c>
      <c r="O768" s="177">
        <v>42095</v>
      </c>
      <c r="P768" s="179">
        <f t="shared" si="681"/>
        <v>9</v>
      </c>
      <c r="Q768" s="180" t="s">
        <v>2974</v>
      </c>
      <c r="R768" s="178" t="s">
        <v>17</v>
      </c>
      <c r="S768" s="178" t="s">
        <v>101</v>
      </c>
      <c r="T768" s="178" t="s">
        <v>996</v>
      </c>
      <c r="U768" s="181">
        <v>42095</v>
      </c>
      <c r="V768" s="178" t="s">
        <v>186</v>
      </c>
      <c r="W768" s="182">
        <f t="shared" si="682"/>
        <v>0</v>
      </c>
      <c r="X768" s="182" t="str">
        <f t="shared" si="683"/>
        <v>Correcto</v>
      </c>
    </row>
    <row r="769" spans="1:24" ht="18" customHeight="1" x14ac:dyDescent="0.25">
      <c r="A769" s="186">
        <v>760</v>
      </c>
      <c r="B769" s="173" t="s">
        <v>2975</v>
      </c>
      <c r="C769" s="174">
        <v>42086</v>
      </c>
      <c r="D769" s="175">
        <v>2</v>
      </c>
      <c r="E769" s="175" t="s">
        <v>93</v>
      </c>
      <c r="F769" s="176" t="s">
        <v>825</v>
      </c>
      <c r="G769" s="175" t="s">
        <v>202</v>
      </c>
      <c r="H769" s="177">
        <v>42090</v>
      </c>
      <c r="I769" s="175" t="s">
        <v>187</v>
      </c>
      <c r="J769" s="175" t="s">
        <v>103</v>
      </c>
      <c r="K769" s="178" t="s">
        <v>2976</v>
      </c>
      <c r="L769" s="177">
        <v>42090</v>
      </c>
      <c r="M769" s="178" t="s">
        <v>1654</v>
      </c>
      <c r="N769" s="178" t="s">
        <v>185</v>
      </c>
      <c r="O769" s="177">
        <v>42095</v>
      </c>
      <c r="P769" s="179">
        <f t="shared" si="681"/>
        <v>9</v>
      </c>
      <c r="Q769" s="180" t="s">
        <v>2977</v>
      </c>
      <c r="R769" s="178" t="s">
        <v>17</v>
      </c>
      <c r="S769" s="178" t="s">
        <v>101</v>
      </c>
      <c r="T769" s="178" t="s">
        <v>996</v>
      </c>
      <c r="U769" s="181">
        <v>42095</v>
      </c>
      <c r="V769" s="178" t="s">
        <v>186</v>
      </c>
      <c r="W769" s="182">
        <f t="shared" si="682"/>
        <v>0</v>
      </c>
      <c r="X769" s="182" t="str">
        <f t="shared" si="683"/>
        <v>Correcto</v>
      </c>
    </row>
    <row r="770" spans="1:24" ht="18" customHeight="1" x14ac:dyDescent="0.25">
      <c r="A770" s="186">
        <v>761</v>
      </c>
      <c r="B770" s="173" t="s">
        <v>2978</v>
      </c>
      <c r="C770" s="174">
        <v>42086</v>
      </c>
      <c r="D770" s="175">
        <v>2</v>
      </c>
      <c r="E770" s="175" t="s">
        <v>93</v>
      </c>
      <c r="F770" s="176" t="s">
        <v>825</v>
      </c>
      <c r="G770" s="175" t="s">
        <v>202</v>
      </c>
      <c r="H770" s="177">
        <v>42090</v>
      </c>
      <c r="I770" s="175" t="s">
        <v>187</v>
      </c>
      <c r="J770" s="175" t="s">
        <v>103</v>
      </c>
      <c r="K770" s="178" t="s">
        <v>2979</v>
      </c>
      <c r="L770" s="177">
        <v>42090</v>
      </c>
      <c r="M770" s="178" t="s">
        <v>1654</v>
      </c>
      <c r="N770" s="178" t="s">
        <v>185</v>
      </c>
      <c r="O770" s="177">
        <v>42095</v>
      </c>
      <c r="P770" s="179">
        <f t="shared" si="681"/>
        <v>9</v>
      </c>
      <c r="Q770" s="180" t="s">
        <v>2980</v>
      </c>
      <c r="R770" s="178" t="s">
        <v>17</v>
      </c>
      <c r="S770" s="178" t="s">
        <v>101</v>
      </c>
      <c r="T770" s="178" t="s">
        <v>996</v>
      </c>
      <c r="U770" s="181">
        <v>42095</v>
      </c>
      <c r="V770" s="178" t="s">
        <v>186</v>
      </c>
      <c r="W770" s="182">
        <f t="shared" si="682"/>
        <v>0</v>
      </c>
      <c r="X770" s="182" t="str">
        <f t="shared" si="683"/>
        <v>Correcto</v>
      </c>
    </row>
    <row r="771" spans="1:24" ht="18" customHeight="1" x14ac:dyDescent="0.25">
      <c r="A771" s="186">
        <v>762</v>
      </c>
      <c r="B771" s="173" t="s">
        <v>2981</v>
      </c>
      <c r="C771" s="174">
        <v>42086</v>
      </c>
      <c r="D771" s="175">
        <v>2</v>
      </c>
      <c r="E771" s="175" t="s">
        <v>93</v>
      </c>
      <c r="F771" s="176" t="s">
        <v>825</v>
      </c>
      <c r="G771" s="175" t="s">
        <v>202</v>
      </c>
      <c r="H771" s="177">
        <v>42090</v>
      </c>
      <c r="I771" s="175" t="s">
        <v>187</v>
      </c>
      <c r="J771" s="175" t="s">
        <v>103</v>
      </c>
      <c r="K771" s="178" t="s">
        <v>2982</v>
      </c>
      <c r="L771" s="177">
        <v>42090</v>
      </c>
      <c r="M771" s="178" t="s">
        <v>1654</v>
      </c>
      <c r="N771" s="178" t="s">
        <v>185</v>
      </c>
      <c r="O771" s="177">
        <v>42095</v>
      </c>
      <c r="P771" s="179">
        <f t="shared" si="681"/>
        <v>9</v>
      </c>
      <c r="Q771" s="180" t="s">
        <v>2983</v>
      </c>
      <c r="R771" s="178" t="s">
        <v>17</v>
      </c>
      <c r="S771" s="178" t="s">
        <v>101</v>
      </c>
      <c r="T771" s="178" t="s">
        <v>996</v>
      </c>
      <c r="U771" s="181">
        <v>42095</v>
      </c>
      <c r="V771" s="178" t="s">
        <v>186</v>
      </c>
      <c r="W771" s="182">
        <f t="shared" si="682"/>
        <v>0</v>
      </c>
      <c r="X771" s="182" t="str">
        <f t="shared" si="683"/>
        <v>Correcto</v>
      </c>
    </row>
    <row r="772" spans="1:24" ht="18" customHeight="1" x14ac:dyDescent="0.25">
      <c r="A772" s="186">
        <v>763</v>
      </c>
      <c r="B772" s="173" t="s">
        <v>2984</v>
      </c>
      <c r="C772" s="174">
        <v>42086</v>
      </c>
      <c r="D772" s="175">
        <v>2</v>
      </c>
      <c r="E772" s="175" t="s">
        <v>93</v>
      </c>
      <c r="F772" s="176" t="s">
        <v>825</v>
      </c>
      <c r="G772" s="175" t="s">
        <v>202</v>
      </c>
      <c r="H772" s="177">
        <v>42090</v>
      </c>
      <c r="I772" s="175" t="s">
        <v>187</v>
      </c>
      <c r="J772" s="175" t="s">
        <v>103</v>
      </c>
      <c r="K772" s="178" t="s">
        <v>2985</v>
      </c>
      <c r="L772" s="177">
        <v>42090</v>
      </c>
      <c r="M772" s="178" t="s">
        <v>1654</v>
      </c>
      <c r="N772" s="178" t="s">
        <v>185</v>
      </c>
      <c r="O772" s="177">
        <v>42095</v>
      </c>
      <c r="P772" s="179">
        <f t="shared" si="681"/>
        <v>9</v>
      </c>
      <c r="Q772" s="180" t="s">
        <v>2986</v>
      </c>
      <c r="R772" s="178" t="s">
        <v>17</v>
      </c>
      <c r="S772" s="178" t="s">
        <v>101</v>
      </c>
      <c r="T772" s="178" t="s">
        <v>953</v>
      </c>
      <c r="U772" s="181">
        <v>42095</v>
      </c>
      <c r="V772" s="178" t="s">
        <v>186</v>
      </c>
      <c r="W772" s="182">
        <f t="shared" si="682"/>
        <v>0</v>
      </c>
      <c r="X772" s="182" t="str">
        <f t="shared" si="683"/>
        <v>Correcto</v>
      </c>
    </row>
    <row r="773" spans="1:24" ht="18" customHeight="1" x14ac:dyDescent="0.25">
      <c r="A773" s="186">
        <v>764</v>
      </c>
      <c r="B773" s="173" t="s">
        <v>2987</v>
      </c>
      <c r="C773" s="174">
        <v>42086</v>
      </c>
      <c r="D773" s="175">
        <v>2</v>
      </c>
      <c r="E773" s="175" t="s">
        <v>93</v>
      </c>
      <c r="F773" s="176" t="s">
        <v>1914</v>
      </c>
      <c r="G773" s="175" t="s">
        <v>202</v>
      </c>
      <c r="H773" s="177">
        <v>42087</v>
      </c>
      <c r="I773" s="175" t="s">
        <v>187</v>
      </c>
      <c r="J773" s="175" t="s">
        <v>103</v>
      </c>
      <c r="K773" s="180" t="s">
        <v>2988</v>
      </c>
      <c r="L773" s="177">
        <v>42087</v>
      </c>
      <c r="M773" s="178" t="s">
        <v>1654</v>
      </c>
      <c r="N773" s="178" t="s">
        <v>185</v>
      </c>
      <c r="O773" s="177">
        <v>42087</v>
      </c>
      <c r="P773" s="179">
        <f t="shared" si="681"/>
        <v>1</v>
      </c>
      <c r="Q773" s="180" t="s">
        <v>2988</v>
      </c>
      <c r="R773" s="178" t="s">
        <v>17</v>
      </c>
      <c r="S773" s="178" t="s">
        <v>2989</v>
      </c>
      <c r="T773" s="178">
        <v>1104558745</v>
      </c>
      <c r="U773" s="181">
        <v>42088</v>
      </c>
      <c r="V773" s="178" t="s">
        <v>186</v>
      </c>
      <c r="W773" s="182">
        <f t="shared" si="682"/>
        <v>0</v>
      </c>
      <c r="X773" s="182" t="str">
        <f t="shared" si="683"/>
        <v>Correcto</v>
      </c>
    </row>
    <row r="774" spans="1:24" ht="18" customHeight="1" x14ac:dyDescent="0.25">
      <c r="A774" s="186">
        <v>765</v>
      </c>
      <c r="B774" s="173" t="s">
        <v>2990</v>
      </c>
      <c r="C774" s="174">
        <v>42086</v>
      </c>
      <c r="D774" s="175">
        <v>2</v>
      </c>
      <c r="E774" s="175" t="s">
        <v>93</v>
      </c>
      <c r="F774" s="176" t="s">
        <v>1914</v>
      </c>
      <c r="G774" s="175" t="s">
        <v>202</v>
      </c>
      <c r="H774" s="177">
        <v>42087</v>
      </c>
      <c r="I774" s="175" t="s">
        <v>187</v>
      </c>
      <c r="J774" s="175" t="s">
        <v>103</v>
      </c>
      <c r="K774" s="180" t="s">
        <v>2991</v>
      </c>
      <c r="L774" s="177">
        <v>42087</v>
      </c>
      <c r="M774" s="178" t="s">
        <v>1654</v>
      </c>
      <c r="N774" s="178" t="s">
        <v>185</v>
      </c>
      <c r="O774" s="177">
        <v>42087</v>
      </c>
      <c r="P774" s="179">
        <f t="shared" si="681"/>
        <v>1</v>
      </c>
      <c r="Q774" s="180" t="s">
        <v>2991</v>
      </c>
      <c r="R774" s="178" t="s">
        <v>17</v>
      </c>
      <c r="S774" s="178" t="s">
        <v>2992</v>
      </c>
      <c r="T774" s="178">
        <v>1103598635</v>
      </c>
      <c r="U774" s="181">
        <v>42088</v>
      </c>
      <c r="V774" s="178" t="s">
        <v>186</v>
      </c>
      <c r="W774" s="182">
        <f t="shared" si="682"/>
        <v>0</v>
      </c>
      <c r="X774" s="182" t="str">
        <f t="shared" si="683"/>
        <v>Correcto</v>
      </c>
    </row>
    <row r="775" spans="1:24" ht="18" customHeight="1" x14ac:dyDescent="0.25">
      <c r="A775" s="186">
        <v>766</v>
      </c>
      <c r="B775" s="173" t="s">
        <v>2993</v>
      </c>
      <c r="C775" s="174">
        <v>42086</v>
      </c>
      <c r="D775" s="175">
        <v>2</v>
      </c>
      <c r="E775" s="175" t="s">
        <v>93</v>
      </c>
      <c r="F775" s="176" t="s">
        <v>825</v>
      </c>
      <c r="G775" s="175" t="s">
        <v>202</v>
      </c>
      <c r="H775" s="177">
        <v>42090</v>
      </c>
      <c r="I775" s="175" t="s">
        <v>187</v>
      </c>
      <c r="J775" s="175" t="s">
        <v>103</v>
      </c>
      <c r="K775" s="178" t="s">
        <v>2994</v>
      </c>
      <c r="L775" s="177">
        <v>42090</v>
      </c>
      <c r="M775" s="178" t="s">
        <v>1654</v>
      </c>
      <c r="N775" s="178" t="s">
        <v>185</v>
      </c>
      <c r="O775" s="177">
        <v>42095</v>
      </c>
      <c r="P775" s="179">
        <f t="shared" si="681"/>
        <v>9</v>
      </c>
      <c r="Q775" s="180" t="s">
        <v>2847</v>
      </c>
      <c r="R775" s="178" t="s">
        <v>17</v>
      </c>
      <c r="S775" s="178" t="s">
        <v>101</v>
      </c>
      <c r="T775" s="178" t="s">
        <v>953</v>
      </c>
      <c r="U775" s="181">
        <v>42155</v>
      </c>
      <c r="V775" s="178" t="s">
        <v>186</v>
      </c>
      <c r="W775" s="182">
        <f t="shared" si="682"/>
        <v>0</v>
      </c>
      <c r="X775" s="182" t="str">
        <f t="shared" si="683"/>
        <v>Correcto</v>
      </c>
    </row>
    <row r="776" spans="1:24" ht="18" customHeight="1" x14ac:dyDescent="0.25">
      <c r="A776" s="186">
        <v>767</v>
      </c>
      <c r="B776" s="173" t="s">
        <v>2995</v>
      </c>
      <c r="C776" s="174">
        <v>42086</v>
      </c>
      <c r="D776" s="175">
        <v>2</v>
      </c>
      <c r="E776" s="175" t="s">
        <v>93</v>
      </c>
      <c r="F776" s="176" t="s">
        <v>825</v>
      </c>
      <c r="G776" s="175" t="s">
        <v>202</v>
      </c>
      <c r="H776" s="177">
        <v>42090</v>
      </c>
      <c r="I776" s="175" t="s">
        <v>187</v>
      </c>
      <c r="J776" s="175" t="s">
        <v>103</v>
      </c>
      <c r="K776" s="178" t="s">
        <v>2996</v>
      </c>
      <c r="L776" s="177">
        <v>42090</v>
      </c>
      <c r="M776" s="178" t="s">
        <v>1654</v>
      </c>
      <c r="N776" s="178" t="s">
        <v>185</v>
      </c>
      <c r="O776" s="177">
        <v>42095</v>
      </c>
      <c r="P776" s="179">
        <f t="shared" si="681"/>
        <v>9</v>
      </c>
      <c r="Q776" s="180" t="s">
        <v>2997</v>
      </c>
      <c r="R776" s="178" t="s">
        <v>17</v>
      </c>
      <c r="S776" s="178" t="s">
        <v>101</v>
      </c>
      <c r="T776" s="178" t="s">
        <v>953</v>
      </c>
      <c r="U776" s="181">
        <v>42095</v>
      </c>
      <c r="V776" s="178" t="s">
        <v>186</v>
      </c>
      <c r="W776" s="182">
        <f t="shared" si="682"/>
        <v>0</v>
      </c>
      <c r="X776" s="182" t="str">
        <f t="shared" si="683"/>
        <v>Correcto</v>
      </c>
    </row>
    <row r="777" spans="1:24" ht="18" customHeight="1" x14ac:dyDescent="0.25">
      <c r="A777" s="186">
        <v>768</v>
      </c>
      <c r="B777" s="173" t="s">
        <v>2998</v>
      </c>
      <c r="C777" s="174">
        <v>42086</v>
      </c>
      <c r="D777" s="175">
        <v>2</v>
      </c>
      <c r="E777" s="175" t="s">
        <v>93</v>
      </c>
      <c r="F777" s="176" t="s">
        <v>825</v>
      </c>
      <c r="G777" s="175" t="s">
        <v>202</v>
      </c>
      <c r="H777" s="177">
        <v>42090</v>
      </c>
      <c r="I777" s="175" t="s">
        <v>187</v>
      </c>
      <c r="J777" s="175" t="s">
        <v>103</v>
      </c>
      <c r="K777" s="178" t="s">
        <v>2999</v>
      </c>
      <c r="L777" s="177">
        <v>42090</v>
      </c>
      <c r="M777" s="178" t="s">
        <v>1654</v>
      </c>
      <c r="N777" s="178" t="s">
        <v>185</v>
      </c>
      <c r="O777" s="177">
        <v>42095</v>
      </c>
      <c r="P777" s="179">
        <f t="shared" ref="P777:P840" si="684">O777-C777</f>
        <v>9</v>
      </c>
      <c r="Q777" s="180" t="s">
        <v>3000</v>
      </c>
      <c r="R777" s="178" t="s">
        <v>17</v>
      </c>
      <c r="S777" s="178" t="s">
        <v>101</v>
      </c>
      <c r="T777" s="178" t="s">
        <v>953</v>
      </c>
      <c r="U777" s="181">
        <v>42095</v>
      </c>
      <c r="V777" s="178" t="s">
        <v>186</v>
      </c>
      <c r="W777" s="182">
        <f t="shared" ref="W777:W840" si="685">COUNTBLANK(C777:V777)</f>
        <v>0</v>
      </c>
      <c r="X777" s="182" t="str">
        <f t="shared" ref="X777:X840" si="686">IF(W777=0,"Correcto","Incorrecto")</f>
        <v>Correcto</v>
      </c>
    </row>
    <row r="778" spans="1:24" ht="18" customHeight="1" x14ac:dyDescent="0.25">
      <c r="A778" s="186">
        <v>769</v>
      </c>
      <c r="B778" s="173" t="s">
        <v>3001</v>
      </c>
      <c r="C778" s="174">
        <v>42086</v>
      </c>
      <c r="D778" s="175">
        <v>2</v>
      </c>
      <c r="E778" s="175" t="s">
        <v>93</v>
      </c>
      <c r="F778" s="176" t="s">
        <v>825</v>
      </c>
      <c r="G778" s="175" t="s">
        <v>202</v>
      </c>
      <c r="H778" s="177">
        <v>42093</v>
      </c>
      <c r="I778" s="175" t="s">
        <v>187</v>
      </c>
      <c r="J778" s="175" t="s">
        <v>103</v>
      </c>
      <c r="K778" s="178" t="s">
        <v>3002</v>
      </c>
      <c r="L778" s="177">
        <v>42093</v>
      </c>
      <c r="M778" s="178" t="s">
        <v>1654</v>
      </c>
      <c r="N778" s="178" t="s">
        <v>185</v>
      </c>
      <c r="O778" s="177">
        <v>42095</v>
      </c>
      <c r="P778" s="179">
        <f t="shared" si="684"/>
        <v>9</v>
      </c>
      <c r="Q778" s="180" t="s">
        <v>3003</v>
      </c>
      <c r="R778" s="178" t="s">
        <v>17</v>
      </c>
      <c r="S778" s="178" t="s">
        <v>101</v>
      </c>
      <c r="T778" s="178" t="s">
        <v>953</v>
      </c>
      <c r="U778" s="181">
        <v>42101</v>
      </c>
      <c r="V778" s="178" t="s">
        <v>186</v>
      </c>
      <c r="W778" s="182">
        <f t="shared" si="685"/>
        <v>0</v>
      </c>
      <c r="X778" s="182" t="str">
        <f t="shared" si="686"/>
        <v>Correcto</v>
      </c>
    </row>
    <row r="779" spans="1:24" ht="18" customHeight="1" x14ac:dyDescent="0.25">
      <c r="A779" s="186">
        <v>770</v>
      </c>
      <c r="B779" s="173" t="s">
        <v>3004</v>
      </c>
      <c r="C779" s="174">
        <v>42086</v>
      </c>
      <c r="D779" s="175">
        <v>2</v>
      </c>
      <c r="E779" s="175" t="s">
        <v>93</v>
      </c>
      <c r="F779" s="176" t="s">
        <v>825</v>
      </c>
      <c r="G779" s="175" t="s">
        <v>202</v>
      </c>
      <c r="H779" s="177">
        <v>42090</v>
      </c>
      <c r="I779" s="175" t="s">
        <v>187</v>
      </c>
      <c r="J779" s="175" t="s">
        <v>103</v>
      </c>
      <c r="K779" s="178" t="s">
        <v>3005</v>
      </c>
      <c r="L779" s="177">
        <v>42090</v>
      </c>
      <c r="M779" s="178" t="s">
        <v>1654</v>
      </c>
      <c r="N779" s="178" t="s">
        <v>185</v>
      </c>
      <c r="O779" s="177">
        <v>42095</v>
      </c>
      <c r="P779" s="179">
        <f t="shared" si="684"/>
        <v>9</v>
      </c>
      <c r="Q779" s="180" t="s">
        <v>3006</v>
      </c>
      <c r="R779" s="178" t="s">
        <v>17</v>
      </c>
      <c r="S779" s="178" t="s">
        <v>101</v>
      </c>
      <c r="T779" s="178" t="s">
        <v>953</v>
      </c>
      <c r="U779" s="181">
        <v>42095</v>
      </c>
      <c r="V779" s="178" t="s">
        <v>186</v>
      </c>
      <c r="W779" s="182">
        <f t="shared" si="685"/>
        <v>0</v>
      </c>
      <c r="X779" s="182" t="str">
        <f t="shared" si="686"/>
        <v>Correcto</v>
      </c>
    </row>
    <row r="780" spans="1:24" ht="18" customHeight="1" x14ac:dyDescent="0.25">
      <c r="A780" s="186">
        <v>771</v>
      </c>
      <c r="B780" s="173" t="s">
        <v>3007</v>
      </c>
      <c r="C780" s="174">
        <v>42086</v>
      </c>
      <c r="D780" s="175">
        <v>2</v>
      </c>
      <c r="E780" s="175" t="s">
        <v>93</v>
      </c>
      <c r="F780" s="176" t="s">
        <v>825</v>
      </c>
      <c r="G780" s="175" t="s">
        <v>202</v>
      </c>
      <c r="H780" s="177">
        <v>42093</v>
      </c>
      <c r="I780" s="175" t="s">
        <v>187</v>
      </c>
      <c r="J780" s="175" t="s">
        <v>103</v>
      </c>
      <c r="K780" s="178" t="s">
        <v>3008</v>
      </c>
      <c r="L780" s="177">
        <v>42093</v>
      </c>
      <c r="M780" s="178" t="s">
        <v>1654</v>
      </c>
      <c r="N780" s="178" t="s">
        <v>185</v>
      </c>
      <c r="O780" s="177">
        <v>42095</v>
      </c>
      <c r="P780" s="179">
        <f t="shared" si="684"/>
        <v>9</v>
      </c>
      <c r="Q780" s="180" t="s">
        <v>3009</v>
      </c>
      <c r="R780" s="178" t="s">
        <v>17</v>
      </c>
      <c r="S780" s="178" t="s">
        <v>101</v>
      </c>
      <c r="T780" s="178" t="s">
        <v>953</v>
      </c>
      <c r="U780" s="181">
        <v>42101</v>
      </c>
      <c r="V780" s="178" t="s">
        <v>186</v>
      </c>
      <c r="W780" s="182">
        <f t="shared" si="685"/>
        <v>0</v>
      </c>
      <c r="X780" s="182" t="str">
        <f t="shared" si="686"/>
        <v>Correcto</v>
      </c>
    </row>
    <row r="781" spans="1:24" ht="18" customHeight="1" x14ac:dyDescent="0.25">
      <c r="A781" s="186">
        <v>772</v>
      </c>
      <c r="B781" s="173" t="s">
        <v>3010</v>
      </c>
      <c r="C781" s="174">
        <v>42086</v>
      </c>
      <c r="D781" s="175">
        <v>2</v>
      </c>
      <c r="E781" s="175" t="s">
        <v>93</v>
      </c>
      <c r="F781" s="176" t="s">
        <v>825</v>
      </c>
      <c r="G781" s="175" t="s">
        <v>202</v>
      </c>
      <c r="H781" s="177">
        <v>42093</v>
      </c>
      <c r="I781" s="175" t="s">
        <v>187</v>
      </c>
      <c r="J781" s="175" t="s">
        <v>103</v>
      </c>
      <c r="K781" s="178" t="s">
        <v>3011</v>
      </c>
      <c r="L781" s="177">
        <v>42093</v>
      </c>
      <c r="M781" s="178" t="s">
        <v>1654</v>
      </c>
      <c r="N781" s="178" t="s">
        <v>185</v>
      </c>
      <c r="O781" s="177">
        <v>42095</v>
      </c>
      <c r="P781" s="179">
        <f t="shared" si="684"/>
        <v>9</v>
      </c>
      <c r="Q781" s="180" t="s">
        <v>3012</v>
      </c>
      <c r="R781" s="178" t="s">
        <v>17</v>
      </c>
      <c r="S781" s="178" t="s">
        <v>101</v>
      </c>
      <c r="T781" s="178" t="s">
        <v>953</v>
      </c>
      <c r="U781" s="181">
        <v>42101</v>
      </c>
      <c r="V781" s="178" t="s">
        <v>186</v>
      </c>
      <c r="W781" s="182">
        <f t="shared" si="685"/>
        <v>0</v>
      </c>
      <c r="X781" s="182" t="str">
        <f t="shared" si="686"/>
        <v>Correcto</v>
      </c>
    </row>
    <row r="782" spans="1:24" ht="18" customHeight="1" x14ac:dyDescent="0.25">
      <c r="A782" s="186">
        <v>773</v>
      </c>
      <c r="B782" s="173" t="s">
        <v>3013</v>
      </c>
      <c r="C782" s="174">
        <v>42086</v>
      </c>
      <c r="D782" s="175">
        <v>2</v>
      </c>
      <c r="E782" s="175" t="s">
        <v>93</v>
      </c>
      <c r="F782" s="176" t="s">
        <v>825</v>
      </c>
      <c r="G782" s="175" t="s">
        <v>202</v>
      </c>
      <c r="H782" s="177">
        <v>42090</v>
      </c>
      <c r="I782" s="175" t="s">
        <v>187</v>
      </c>
      <c r="J782" s="175" t="s">
        <v>103</v>
      </c>
      <c r="K782" s="178" t="s">
        <v>3014</v>
      </c>
      <c r="L782" s="177">
        <v>42090</v>
      </c>
      <c r="M782" s="178" t="s">
        <v>1654</v>
      </c>
      <c r="N782" s="178" t="s">
        <v>185</v>
      </c>
      <c r="O782" s="177">
        <v>42095</v>
      </c>
      <c r="P782" s="179">
        <f t="shared" si="684"/>
        <v>9</v>
      </c>
      <c r="Q782" s="180" t="s">
        <v>3015</v>
      </c>
      <c r="R782" s="178" t="s">
        <v>17</v>
      </c>
      <c r="S782" s="178" t="s">
        <v>101</v>
      </c>
      <c r="T782" s="178" t="s">
        <v>996</v>
      </c>
      <c r="U782" s="181">
        <v>42095</v>
      </c>
      <c r="V782" s="178" t="s">
        <v>186</v>
      </c>
      <c r="W782" s="182">
        <f t="shared" si="685"/>
        <v>0</v>
      </c>
      <c r="X782" s="182" t="str">
        <f t="shared" si="686"/>
        <v>Correcto</v>
      </c>
    </row>
    <row r="783" spans="1:24" ht="18" customHeight="1" x14ac:dyDescent="0.25">
      <c r="A783" s="186">
        <v>774</v>
      </c>
      <c r="B783" s="173" t="s">
        <v>3016</v>
      </c>
      <c r="C783" s="174">
        <v>42086</v>
      </c>
      <c r="D783" s="175">
        <v>2</v>
      </c>
      <c r="E783" s="175" t="s">
        <v>93</v>
      </c>
      <c r="F783" s="176" t="s">
        <v>825</v>
      </c>
      <c r="G783" s="175" t="s">
        <v>202</v>
      </c>
      <c r="H783" s="177">
        <v>42089</v>
      </c>
      <c r="I783" s="175" t="s">
        <v>187</v>
      </c>
      <c r="J783" s="175" t="s">
        <v>103</v>
      </c>
      <c r="K783" s="178" t="s">
        <v>3017</v>
      </c>
      <c r="L783" s="177">
        <v>42089</v>
      </c>
      <c r="M783" s="178" t="s">
        <v>1654</v>
      </c>
      <c r="N783" s="178" t="s">
        <v>185</v>
      </c>
      <c r="O783" s="177">
        <v>42095</v>
      </c>
      <c r="P783" s="179">
        <f t="shared" si="684"/>
        <v>9</v>
      </c>
      <c r="Q783" s="180" t="s">
        <v>3018</v>
      </c>
      <c r="R783" s="178" t="s">
        <v>17</v>
      </c>
      <c r="S783" s="178" t="s">
        <v>101</v>
      </c>
      <c r="T783" s="178" t="s">
        <v>2730</v>
      </c>
      <c r="U783" s="181">
        <v>42095</v>
      </c>
      <c r="V783" s="178" t="s">
        <v>186</v>
      </c>
      <c r="W783" s="182">
        <f t="shared" si="685"/>
        <v>0</v>
      </c>
      <c r="X783" s="182" t="str">
        <f t="shared" si="686"/>
        <v>Correcto</v>
      </c>
    </row>
    <row r="784" spans="1:24" ht="18" customHeight="1" x14ac:dyDescent="0.25">
      <c r="A784" s="186">
        <v>775</v>
      </c>
      <c r="B784" s="173" t="s">
        <v>3019</v>
      </c>
      <c r="C784" s="174">
        <v>42086</v>
      </c>
      <c r="D784" s="175">
        <v>2</v>
      </c>
      <c r="E784" s="175" t="s">
        <v>93</v>
      </c>
      <c r="F784" s="176" t="s">
        <v>825</v>
      </c>
      <c r="G784" s="175" t="s">
        <v>202</v>
      </c>
      <c r="H784" s="177">
        <v>42089</v>
      </c>
      <c r="I784" s="175" t="s">
        <v>187</v>
      </c>
      <c r="J784" s="175" t="s">
        <v>103</v>
      </c>
      <c r="K784" s="178" t="s">
        <v>3020</v>
      </c>
      <c r="L784" s="177">
        <v>42089</v>
      </c>
      <c r="M784" s="178" t="s">
        <v>1654</v>
      </c>
      <c r="N784" s="178" t="s">
        <v>185</v>
      </c>
      <c r="O784" s="177">
        <v>42090</v>
      </c>
      <c r="P784" s="179">
        <f t="shared" si="684"/>
        <v>4</v>
      </c>
      <c r="Q784" s="180" t="s">
        <v>3021</v>
      </c>
      <c r="R784" s="178" t="s">
        <v>17</v>
      </c>
      <c r="S784" s="178" t="s">
        <v>101</v>
      </c>
      <c r="T784" s="178" t="s">
        <v>1186</v>
      </c>
      <c r="U784" s="181">
        <v>42094</v>
      </c>
      <c r="V784" s="178" t="s">
        <v>186</v>
      </c>
      <c r="W784" s="182">
        <f t="shared" si="685"/>
        <v>0</v>
      </c>
      <c r="X784" s="182" t="str">
        <f t="shared" si="686"/>
        <v>Correcto</v>
      </c>
    </row>
    <row r="785" spans="1:24" ht="18" customHeight="1" x14ac:dyDescent="0.25">
      <c r="A785" s="186">
        <v>776</v>
      </c>
      <c r="B785" s="173" t="s">
        <v>3022</v>
      </c>
      <c r="C785" s="174">
        <v>42086</v>
      </c>
      <c r="D785" s="175">
        <v>2</v>
      </c>
      <c r="E785" s="175" t="s">
        <v>93</v>
      </c>
      <c r="F785" s="176" t="s">
        <v>825</v>
      </c>
      <c r="G785" s="175" t="s">
        <v>202</v>
      </c>
      <c r="H785" s="177">
        <v>42089</v>
      </c>
      <c r="I785" s="175" t="s">
        <v>187</v>
      </c>
      <c r="J785" s="175" t="s">
        <v>103</v>
      </c>
      <c r="K785" s="178" t="s">
        <v>3023</v>
      </c>
      <c r="L785" s="177">
        <v>42089</v>
      </c>
      <c r="M785" s="178" t="s">
        <v>1654</v>
      </c>
      <c r="N785" s="178" t="s">
        <v>185</v>
      </c>
      <c r="O785" s="177">
        <v>42090</v>
      </c>
      <c r="P785" s="179">
        <f t="shared" si="684"/>
        <v>4</v>
      </c>
      <c r="Q785" s="180" t="s">
        <v>3024</v>
      </c>
      <c r="R785" s="178" t="s">
        <v>17</v>
      </c>
      <c r="S785" s="178" t="s">
        <v>101</v>
      </c>
      <c r="T785" s="178" t="s">
        <v>1496</v>
      </c>
      <c r="U785" s="181">
        <v>42094</v>
      </c>
      <c r="V785" s="178" t="s">
        <v>186</v>
      </c>
      <c r="W785" s="182">
        <f t="shared" si="685"/>
        <v>0</v>
      </c>
      <c r="X785" s="182" t="str">
        <f t="shared" si="686"/>
        <v>Correcto</v>
      </c>
    </row>
    <row r="786" spans="1:24" ht="18" customHeight="1" x14ac:dyDescent="0.25">
      <c r="A786" s="186">
        <v>777</v>
      </c>
      <c r="B786" s="173" t="s">
        <v>3025</v>
      </c>
      <c r="C786" s="174">
        <v>42086</v>
      </c>
      <c r="D786" s="175">
        <v>2</v>
      </c>
      <c r="E786" s="175" t="s">
        <v>93</v>
      </c>
      <c r="F786" s="176" t="s">
        <v>825</v>
      </c>
      <c r="G786" s="175" t="s">
        <v>202</v>
      </c>
      <c r="H786" s="177">
        <v>42089</v>
      </c>
      <c r="I786" s="175" t="s">
        <v>187</v>
      </c>
      <c r="J786" s="175" t="s">
        <v>103</v>
      </c>
      <c r="K786" s="178" t="s">
        <v>3026</v>
      </c>
      <c r="L786" s="177">
        <v>42089</v>
      </c>
      <c r="M786" s="178" t="s">
        <v>1654</v>
      </c>
      <c r="N786" s="178" t="s">
        <v>185</v>
      </c>
      <c r="O786" s="177">
        <v>42090</v>
      </c>
      <c r="P786" s="179">
        <f t="shared" si="684"/>
        <v>4</v>
      </c>
      <c r="Q786" s="180" t="s">
        <v>3027</v>
      </c>
      <c r="R786" s="178" t="s">
        <v>17</v>
      </c>
      <c r="S786" s="178" t="s">
        <v>101</v>
      </c>
      <c r="T786" s="178" t="s">
        <v>2555</v>
      </c>
      <c r="U786" s="181">
        <v>42094</v>
      </c>
      <c r="V786" s="178" t="s">
        <v>186</v>
      </c>
      <c r="W786" s="182">
        <f t="shared" si="685"/>
        <v>0</v>
      </c>
      <c r="X786" s="182" t="str">
        <f t="shared" si="686"/>
        <v>Correcto</v>
      </c>
    </row>
    <row r="787" spans="1:24" ht="18" customHeight="1" x14ac:dyDescent="0.25">
      <c r="A787" s="186">
        <v>778</v>
      </c>
      <c r="B787" s="173" t="s">
        <v>3028</v>
      </c>
      <c r="C787" s="174">
        <v>42086</v>
      </c>
      <c r="D787" s="175">
        <v>2</v>
      </c>
      <c r="E787" s="175" t="s">
        <v>93</v>
      </c>
      <c r="F787" s="176" t="s">
        <v>825</v>
      </c>
      <c r="G787" s="175" t="s">
        <v>202</v>
      </c>
      <c r="H787" s="177">
        <v>42089</v>
      </c>
      <c r="I787" s="175" t="s">
        <v>187</v>
      </c>
      <c r="J787" s="175" t="s">
        <v>103</v>
      </c>
      <c r="K787" s="178" t="s">
        <v>3029</v>
      </c>
      <c r="L787" s="177">
        <v>42089</v>
      </c>
      <c r="M787" s="178" t="s">
        <v>1654</v>
      </c>
      <c r="N787" s="178" t="s">
        <v>185</v>
      </c>
      <c r="O787" s="177">
        <v>42090</v>
      </c>
      <c r="P787" s="179">
        <f t="shared" si="684"/>
        <v>4</v>
      </c>
      <c r="Q787" s="180" t="s">
        <v>3030</v>
      </c>
      <c r="R787" s="178" t="s">
        <v>17</v>
      </c>
      <c r="S787" s="178" t="s">
        <v>101</v>
      </c>
      <c r="T787" s="178" t="s">
        <v>1500</v>
      </c>
      <c r="U787" s="181">
        <v>42094</v>
      </c>
      <c r="V787" s="178" t="s">
        <v>186</v>
      </c>
      <c r="W787" s="182">
        <f t="shared" si="685"/>
        <v>0</v>
      </c>
      <c r="X787" s="182" t="str">
        <f t="shared" si="686"/>
        <v>Correcto</v>
      </c>
    </row>
    <row r="788" spans="1:24" ht="18" customHeight="1" x14ac:dyDescent="0.25">
      <c r="A788" s="186">
        <v>779</v>
      </c>
      <c r="B788" s="173" t="s">
        <v>3031</v>
      </c>
      <c r="C788" s="174">
        <v>42086</v>
      </c>
      <c r="D788" s="175">
        <v>2</v>
      </c>
      <c r="E788" s="175" t="s">
        <v>93</v>
      </c>
      <c r="F788" s="176" t="s">
        <v>825</v>
      </c>
      <c r="G788" s="175" t="s">
        <v>202</v>
      </c>
      <c r="H788" s="177">
        <v>42089</v>
      </c>
      <c r="I788" s="175" t="s">
        <v>187</v>
      </c>
      <c r="J788" s="175" t="s">
        <v>103</v>
      </c>
      <c r="K788" s="178" t="s">
        <v>3032</v>
      </c>
      <c r="L788" s="177">
        <v>42089</v>
      </c>
      <c r="M788" s="178" t="s">
        <v>1654</v>
      </c>
      <c r="N788" s="178" t="s">
        <v>185</v>
      </c>
      <c r="O788" s="177">
        <v>42090</v>
      </c>
      <c r="P788" s="179">
        <f t="shared" si="684"/>
        <v>4</v>
      </c>
      <c r="Q788" s="180" t="s">
        <v>3033</v>
      </c>
      <c r="R788" s="178" t="s">
        <v>17</v>
      </c>
      <c r="S788" s="178" t="s">
        <v>101</v>
      </c>
      <c r="T788" s="178" t="s">
        <v>1500</v>
      </c>
      <c r="U788" s="181">
        <v>42094</v>
      </c>
      <c r="V788" s="178" t="s">
        <v>186</v>
      </c>
      <c r="W788" s="182">
        <f t="shared" si="685"/>
        <v>0</v>
      </c>
      <c r="X788" s="182" t="str">
        <f t="shared" si="686"/>
        <v>Correcto</v>
      </c>
    </row>
    <row r="789" spans="1:24" ht="18" customHeight="1" x14ac:dyDescent="0.25">
      <c r="A789" s="186">
        <v>780</v>
      </c>
      <c r="B789" s="173" t="s">
        <v>3034</v>
      </c>
      <c r="C789" s="174">
        <v>42086</v>
      </c>
      <c r="D789" s="175">
        <v>2</v>
      </c>
      <c r="E789" s="175" t="s">
        <v>93</v>
      </c>
      <c r="F789" s="176" t="s">
        <v>825</v>
      </c>
      <c r="G789" s="175" t="s">
        <v>202</v>
      </c>
      <c r="H789" s="177">
        <v>42089</v>
      </c>
      <c r="I789" s="175" t="s">
        <v>187</v>
      </c>
      <c r="J789" s="175" t="s">
        <v>103</v>
      </c>
      <c r="K789" s="178" t="s">
        <v>3035</v>
      </c>
      <c r="L789" s="177">
        <v>42089</v>
      </c>
      <c r="M789" s="178" t="s">
        <v>1654</v>
      </c>
      <c r="N789" s="178" t="s">
        <v>185</v>
      </c>
      <c r="O789" s="177">
        <v>42090</v>
      </c>
      <c r="P789" s="179">
        <f t="shared" si="684"/>
        <v>4</v>
      </c>
      <c r="Q789" s="180" t="s">
        <v>3036</v>
      </c>
      <c r="R789" s="178" t="s">
        <v>17</v>
      </c>
      <c r="S789" s="178" t="s">
        <v>101</v>
      </c>
      <c r="T789" s="178" t="s">
        <v>1504</v>
      </c>
      <c r="U789" s="181">
        <v>42094</v>
      </c>
      <c r="V789" s="178" t="s">
        <v>186</v>
      </c>
      <c r="W789" s="182">
        <f t="shared" si="685"/>
        <v>0</v>
      </c>
      <c r="X789" s="182" t="str">
        <f t="shared" si="686"/>
        <v>Correcto</v>
      </c>
    </row>
    <row r="790" spans="1:24" ht="18" customHeight="1" x14ac:dyDescent="0.25">
      <c r="A790" s="186">
        <v>781</v>
      </c>
      <c r="B790" s="173" t="s">
        <v>3037</v>
      </c>
      <c r="C790" s="174">
        <v>42086</v>
      </c>
      <c r="D790" s="175">
        <v>2</v>
      </c>
      <c r="E790" s="175" t="s">
        <v>93</v>
      </c>
      <c r="F790" s="176" t="s">
        <v>825</v>
      </c>
      <c r="G790" s="175" t="s">
        <v>202</v>
      </c>
      <c r="H790" s="177">
        <v>42089</v>
      </c>
      <c r="I790" s="175" t="s">
        <v>187</v>
      </c>
      <c r="J790" s="175" t="s">
        <v>103</v>
      </c>
      <c r="K790" s="178" t="s">
        <v>3038</v>
      </c>
      <c r="L790" s="177">
        <v>42089</v>
      </c>
      <c r="M790" s="178" t="s">
        <v>1654</v>
      </c>
      <c r="N790" s="178" t="s">
        <v>185</v>
      </c>
      <c r="O790" s="177">
        <v>42090</v>
      </c>
      <c r="P790" s="179">
        <f t="shared" si="684"/>
        <v>4</v>
      </c>
      <c r="Q790" s="180" t="s">
        <v>3039</v>
      </c>
      <c r="R790" s="178" t="s">
        <v>17</v>
      </c>
      <c r="S790" s="178" t="s">
        <v>101</v>
      </c>
      <c r="T790" s="178" t="s">
        <v>1339</v>
      </c>
      <c r="U790" s="181">
        <v>42094</v>
      </c>
      <c r="V790" s="178" t="s">
        <v>186</v>
      </c>
      <c r="W790" s="182">
        <f t="shared" si="685"/>
        <v>0</v>
      </c>
      <c r="X790" s="182" t="str">
        <f t="shared" si="686"/>
        <v>Correcto</v>
      </c>
    </row>
    <row r="791" spans="1:24" ht="18" customHeight="1" x14ac:dyDescent="0.25">
      <c r="A791" s="186">
        <v>782</v>
      </c>
      <c r="B791" s="173" t="s">
        <v>3040</v>
      </c>
      <c r="C791" s="174">
        <v>42087</v>
      </c>
      <c r="D791" s="175">
        <v>2</v>
      </c>
      <c r="E791" s="175" t="s">
        <v>93</v>
      </c>
      <c r="F791" s="176" t="s">
        <v>1914</v>
      </c>
      <c r="G791" s="175" t="s">
        <v>202</v>
      </c>
      <c r="H791" s="177">
        <v>42089</v>
      </c>
      <c r="I791" s="175" t="s">
        <v>187</v>
      </c>
      <c r="J791" s="175" t="s">
        <v>103</v>
      </c>
      <c r="K791" s="180" t="s">
        <v>3041</v>
      </c>
      <c r="L791" s="177">
        <v>42089</v>
      </c>
      <c r="M791" s="178" t="s">
        <v>1654</v>
      </c>
      <c r="N791" s="178" t="s">
        <v>185</v>
      </c>
      <c r="O791" s="177">
        <v>42089</v>
      </c>
      <c r="P791" s="179">
        <f t="shared" si="684"/>
        <v>2</v>
      </c>
      <c r="Q791" s="180" t="s">
        <v>3041</v>
      </c>
      <c r="R791" s="178" t="s">
        <v>17</v>
      </c>
      <c r="S791" s="178" t="s">
        <v>3042</v>
      </c>
      <c r="T791" s="178">
        <v>1104130115</v>
      </c>
      <c r="U791" s="181">
        <v>42089</v>
      </c>
      <c r="V791" s="178" t="s">
        <v>186</v>
      </c>
      <c r="W791" s="182">
        <f t="shared" si="685"/>
        <v>0</v>
      </c>
      <c r="X791" s="182" t="str">
        <f t="shared" si="686"/>
        <v>Correcto</v>
      </c>
    </row>
    <row r="792" spans="1:24" ht="18" customHeight="1" x14ac:dyDescent="0.25">
      <c r="A792" s="186">
        <v>783</v>
      </c>
      <c r="B792" s="173" t="s">
        <v>3043</v>
      </c>
      <c r="C792" s="174">
        <v>42087</v>
      </c>
      <c r="D792" s="175">
        <v>2</v>
      </c>
      <c r="E792" s="175" t="s">
        <v>93</v>
      </c>
      <c r="F792" s="176" t="s">
        <v>825</v>
      </c>
      <c r="G792" s="175" t="s">
        <v>202</v>
      </c>
      <c r="H792" s="177">
        <v>42093</v>
      </c>
      <c r="I792" s="175" t="s">
        <v>187</v>
      </c>
      <c r="J792" s="175" t="s">
        <v>103</v>
      </c>
      <c r="K792" s="178" t="s">
        <v>3044</v>
      </c>
      <c r="L792" s="177">
        <v>42093</v>
      </c>
      <c r="M792" s="178" t="s">
        <v>1654</v>
      </c>
      <c r="N792" s="178" t="s">
        <v>185</v>
      </c>
      <c r="O792" s="177">
        <v>42095</v>
      </c>
      <c r="P792" s="179">
        <f t="shared" si="684"/>
        <v>8</v>
      </c>
      <c r="Q792" s="180" t="s">
        <v>3045</v>
      </c>
      <c r="R792" s="178" t="s">
        <v>17</v>
      </c>
      <c r="S792" s="178" t="s">
        <v>101</v>
      </c>
      <c r="T792" s="178" t="s">
        <v>3046</v>
      </c>
      <c r="U792" s="181">
        <v>42100</v>
      </c>
      <c r="V792" s="178" t="s">
        <v>186</v>
      </c>
      <c r="W792" s="182">
        <f t="shared" si="685"/>
        <v>0</v>
      </c>
      <c r="X792" s="182" t="str">
        <f t="shared" si="686"/>
        <v>Correcto</v>
      </c>
    </row>
    <row r="793" spans="1:24" ht="18" customHeight="1" x14ac:dyDescent="0.25">
      <c r="A793" s="186">
        <v>784</v>
      </c>
      <c r="B793" s="173" t="s">
        <v>3047</v>
      </c>
      <c r="C793" s="174">
        <v>42087</v>
      </c>
      <c r="D793" s="175">
        <v>2</v>
      </c>
      <c r="E793" s="175" t="s">
        <v>93</v>
      </c>
      <c r="F793" s="176" t="s">
        <v>825</v>
      </c>
      <c r="G793" s="175" t="s">
        <v>202</v>
      </c>
      <c r="H793" s="177">
        <v>42093</v>
      </c>
      <c r="I793" s="175" t="s">
        <v>187</v>
      </c>
      <c r="J793" s="175" t="s">
        <v>103</v>
      </c>
      <c r="K793" s="178" t="s">
        <v>3048</v>
      </c>
      <c r="L793" s="177">
        <v>42093</v>
      </c>
      <c r="M793" s="178" t="s">
        <v>1654</v>
      </c>
      <c r="N793" s="178" t="s">
        <v>185</v>
      </c>
      <c r="O793" s="177">
        <v>42095</v>
      </c>
      <c r="P793" s="179">
        <f t="shared" si="684"/>
        <v>8</v>
      </c>
      <c r="Q793" s="180" t="s">
        <v>3049</v>
      </c>
      <c r="R793" s="178" t="s">
        <v>17</v>
      </c>
      <c r="S793" s="178" t="s">
        <v>101</v>
      </c>
      <c r="T793" s="178" t="s">
        <v>1024</v>
      </c>
      <c r="U793" s="181">
        <v>42101</v>
      </c>
      <c r="V793" s="178" t="s">
        <v>186</v>
      </c>
      <c r="W793" s="182">
        <f t="shared" si="685"/>
        <v>0</v>
      </c>
      <c r="X793" s="182" t="str">
        <f t="shared" si="686"/>
        <v>Correcto</v>
      </c>
    </row>
    <row r="794" spans="1:24" ht="18" customHeight="1" x14ac:dyDescent="0.25">
      <c r="A794" s="186">
        <v>785</v>
      </c>
      <c r="B794" s="173" t="s">
        <v>3050</v>
      </c>
      <c r="C794" s="174">
        <v>42087</v>
      </c>
      <c r="D794" s="175">
        <v>2</v>
      </c>
      <c r="E794" s="175" t="s">
        <v>93</v>
      </c>
      <c r="F794" s="176" t="s">
        <v>1914</v>
      </c>
      <c r="G794" s="175" t="s">
        <v>202</v>
      </c>
      <c r="H794" s="177">
        <v>42089</v>
      </c>
      <c r="I794" s="175" t="s">
        <v>187</v>
      </c>
      <c r="J794" s="175" t="s">
        <v>103</v>
      </c>
      <c r="K794" s="180" t="s">
        <v>3051</v>
      </c>
      <c r="L794" s="177">
        <v>42089</v>
      </c>
      <c r="M794" s="178" t="s">
        <v>1654</v>
      </c>
      <c r="N794" s="178" t="s">
        <v>185</v>
      </c>
      <c r="O794" s="177">
        <v>42089</v>
      </c>
      <c r="P794" s="179">
        <f t="shared" si="684"/>
        <v>2</v>
      </c>
      <c r="Q794" s="180" t="s">
        <v>3051</v>
      </c>
      <c r="R794" s="178" t="s">
        <v>17</v>
      </c>
      <c r="S794" s="178" t="s">
        <v>3052</v>
      </c>
      <c r="T794" s="178">
        <v>1104456965</v>
      </c>
      <c r="U794" s="181">
        <v>42089</v>
      </c>
      <c r="V794" s="178" t="s">
        <v>186</v>
      </c>
      <c r="W794" s="182">
        <f t="shared" si="685"/>
        <v>0</v>
      </c>
      <c r="X794" s="182" t="str">
        <f t="shared" si="686"/>
        <v>Correcto</v>
      </c>
    </row>
    <row r="795" spans="1:24" ht="18" customHeight="1" x14ac:dyDescent="0.25">
      <c r="A795" s="186">
        <v>786</v>
      </c>
      <c r="B795" s="173" t="s">
        <v>3053</v>
      </c>
      <c r="C795" s="174">
        <v>42087</v>
      </c>
      <c r="D795" s="175">
        <v>17</v>
      </c>
      <c r="E795" s="175" t="s">
        <v>93</v>
      </c>
      <c r="F795" s="176" t="s">
        <v>825</v>
      </c>
      <c r="G795" s="175" t="s">
        <v>202</v>
      </c>
      <c r="H795" s="177">
        <v>42093</v>
      </c>
      <c r="I795" s="175" t="s">
        <v>187</v>
      </c>
      <c r="J795" s="175" t="s">
        <v>103</v>
      </c>
      <c r="K795" s="178" t="s">
        <v>3054</v>
      </c>
      <c r="L795" s="177">
        <v>42093</v>
      </c>
      <c r="M795" s="178" t="s">
        <v>1654</v>
      </c>
      <c r="N795" s="178" t="s">
        <v>185</v>
      </c>
      <c r="O795" s="177">
        <v>42093</v>
      </c>
      <c r="P795" s="179">
        <f t="shared" si="684"/>
        <v>6</v>
      </c>
      <c r="Q795" s="180" t="s">
        <v>3055</v>
      </c>
      <c r="R795" s="178" t="s">
        <v>17</v>
      </c>
      <c r="S795" s="178" t="s">
        <v>101</v>
      </c>
      <c r="T795" s="178" t="s">
        <v>2258</v>
      </c>
      <c r="U795" s="181">
        <v>42101</v>
      </c>
      <c r="V795" s="178" t="s">
        <v>186</v>
      </c>
      <c r="W795" s="182">
        <f t="shared" si="685"/>
        <v>0</v>
      </c>
      <c r="X795" s="182" t="str">
        <f t="shared" si="686"/>
        <v>Correcto</v>
      </c>
    </row>
    <row r="796" spans="1:24" ht="18" customHeight="1" x14ac:dyDescent="0.25">
      <c r="A796" s="186">
        <v>787</v>
      </c>
      <c r="B796" s="173" t="s">
        <v>3056</v>
      </c>
      <c r="C796" s="174">
        <v>42087</v>
      </c>
      <c r="D796" s="175">
        <v>2</v>
      </c>
      <c r="E796" s="175" t="s">
        <v>93</v>
      </c>
      <c r="F796" s="176" t="s">
        <v>825</v>
      </c>
      <c r="G796" s="175" t="s">
        <v>202</v>
      </c>
      <c r="H796" s="177">
        <v>42093</v>
      </c>
      <c r="I796" s="175" t="s">
        <v>187</v>
      </c>
      <c r="J796" s="175" t="s">
        <v>103</v>
      </c>
      <c r="K796" s="178" t="s">
        <v>3057</v>
      </c>
      <c r="L796" s="177">
        <v>42093</v>
      </c>
      <c r="M796" s="178" t="s">
        <v>1654</v>
      </c>
      <c r="N796" s="178" t="s">
        <v>185</v>
      </c>
      <c r="O796" s="177">
        <v>42095</v>
      </c>
      <c r="P796" s="179">
        <f t="shared" si="684"/>
        <v>8</v>
      </c>
      <c r="Q796" s="180" t="s">
        <v>2899</v>
      </c>
      <c r="R796" s="178" t="s">
        <v>17</v>
      </c>
      <c r="S796" s="178" t="s">
        <v>101</v>
      </c>
      <c r="T796" s="178" t="s">
        <v>1391</v>
      </c>
      <c r="U796" s="181">
        <v>42101</v>
      </c>
      <c r="V796" s="178" t="s">
        <v>186</v>
      </c>
      <c r="W796" s="182">
        <f t="shared" si="685"/>
        <v>0</v>
      </c>
      <c r="X796" s="182" t="str">
        <f t="shared" si="686"/>
        <v>Correcto</v>
      </c>
    </row>
    <row r="797" spans="1:24" ht="18" customHeight="1" x14ac:dyDescent="0.25">
      <c r="A797" s="186">
        <v>788</v>
      </c>
      <c r="B797" s="173" t="s">
        <v>3058</v>
      </c>
      <c r="C797" s="174">
        <v>42087</v>
      </c>
      <c r="D797" s="175">
        <v>2</v>
      </c>
      <c r="E797" s="175" t="s">
        <v>93</v>
      </c>
      <c r="F797" s="176" t="s">
        <v>1914</v>
      </c>
      <c r="G797" s="175" t="s">
        <v>202</v>
      </c>
      <c r="H797" s="177">
        <v>42089</v>
      </c>
      <c r="I797" s="175" t="s">
        <v>187</v>
      </c>
      <c r="J797" s="175" t="s">
        <v>103</v>
      </c>
      <c r="K797" s="180" t="s">
        <v>3059</v>
      </c>
      <c r="L797" s="177">
        <v>42089</v>
      </c>
      <c r="M797" s="178" t="s">
        <v>1654</v>
      </c>
      <c r="N797" s="178" t="s">
        <v>185</v>
      </c>
      <c r="O797" s="177">
        <v>42089</v>
      </c>
      <c r="P797" s="179">
        <f t="shared" si="684"/>
        <v>2</v>
      </c>
      <c r="Q797" s="180" t="s">
        <v>3059</v>
      </c>
      <c r="R797" s="178" t="s">
        <v>17</v>
      </c>
      <c r="S797" s="178" t="s">
        <v>3060</v>
      </c>
      <c r="T797" s="178">
        <v>1102519251</v>
      </c>
      <c r="U797" s="181">
        <v>42089</v>
      </c>
      <c r="V797" s="178" t="s">
        <v>186</v>
      </c>
      <c r="W797" s="182">
        <f t="shared" si="685"/>
        <v>0</v>
      </c>
      <c r="X797" s="182" t="str">
        <f t="shared" si="686"/>
        <v>Correcto</v>
      </c>
    </row>
    <row r="798" spans="1:24" ht="18" customHeight="1" x14ac:dyDescent="0.25">
      <c r="A798" s="186">
        <v>789</v>
      </c>
      <c r="B798" s="173" t="s">
        <v>3061</v>
      </c>
      <c r="C798" s="174">
        <v>42087</v>
      </c>
      <c r="D798" s="175">
        <v>2</v>
      </c>
      <c r="E798" s="175" t="s">
        <v>93</v>
      </c>
      <c r="F798" s="176" t="s">
        <v>825</v>
      </c>
      <c r="G798" s="175" t="s">
        <v>202</v>
      </c>
      <c r="H798" s="177">
        <v>42093</v>
      </c>
      <c r="I798" s="175" t="s">
        <v>187</v>
      </c>
      <c r="J798" s="175" t="s">
        <v>103</v>
      </c>
      <c r="K798" s="178" t="s">
        <v>3062</v>
      </c>
      <c r="L798" s="177">
        <v>42093</v>
      </c>
      <c r="M798" s="178" t="s">
        <v>1654</v>
      </c>
      <c r="N798" s="178" t="s">
        <v>185</v>
      </c>
      <c r="O798" s="177">
        <v>42095</v>
      </c>
      <c r="P798" s="179">
        <f t="shared" si="684"/>
        <v>8</v>
      </c>
      <c r="Q798" s="180" t="s">
        <v>3063</v>
      </c>
      <c r="R798" s="178" t="s">
        <v>977</v>
      </c>
      <c r="S798" s="178" t="s">
        <v>101</v>
      </c>
      <c r="T798" s="178" t="s">
        <v>3064</v>
      </c>
      <c r="U798" s="181">
        <v>42096</v>
      </c>
      <c r="V798" s="178" t="s">
        <v>186</v>
      </c>
      <c r="W798" s="182">
        <f t="shared" si="685"/>
        <v>0</v>
      </c>
      <c r="X798" s="182" t="str">
        <f t="shared" si="686"/>
        <v>Correcto</v>
      </c>
    </row>
    <row r="799" spans="1:24" ht="18" customHeight="1" x14ac:dyDescent="0.25">
      <c r="A799" s="186">
        <v>790</v>
      </c>
      <c r="B799" s="173" t="s">
        <v>3065</v>
      </c>
      <c r="C799" s="174">
        <v>42087</v>
      </c>
      <c r="D799" s="175">
        <v>2</v>
      </c>
      <c r="E799" s="175" t="s">
        <v>93</v>
      </c>
      <c r="F799" s="176" t="s">
        <v>825</v>
      </c>
      <c r="G799" s="175" t="s">
        <v>202</v>
      </c>
      <c r="H799" s="177">
        <v>42090</v>
      </c>
      <c r="I799" s="175" t="s">
        <v>187</v>
      </c>
      <c r="J799" s="175" t="s">
        <v>103</v>
      </c>
      <c r="K799" s="178" t="s">
        <v>3066</v>
      </c>
      <c r="L799" s="177">
        <v>42090</v>
      </c>
      <c r="M799" s="178" t="s">
        <v>1654</v>
      </c>
      <c r="N799" s="178" t="s">
        <v>185</v>
      </c>
      <c r="O799" s="177">
        <v>42095</v>
      </c>
      <c r="P799" s="179">
        <f t="shared" si="684"/>
        <v>8</v>
      </c>
      <c r="Q799" s="180" t="s">
        <v>3067</v>
      </c>
      <c r="R799" s="178" t="s">
        <v>17</v>
      </c>
      <c r="S799" s="178" t="s">
        <v>101</v>
      </c>
      <c r="T799" s="178" t="s">
        <v>953</v>
      </c>
      <c r="U799" s="181">
        <v>42095</v>
      </c>
      <c r="V799" s="178" t="s">
        <v>186</v>
      </c>
      <c r="W799" s="182">
        <f t="shared" si="685"/>
        <v>0</v>
      </c>
      <c r="X799" s="182" t="str">
        <f t="shared" si="686"/>
        <v>Correcto</v>
      </c>
    </row>
    <row r="800" spans="1:24" ht="18" customHeight="1" x14ac:dyDescent="0.25">
      <c r="A800" s="186">
        <v>791</v>
      </c>
      <c r="B800" s="173" t="s">
        <v>3068</v>
      </c>
      <c r="C800" s="174">
        <v>42087</v>
      </c>
      <c r="D800" s="175">
        <v>2</v>
      </c>
      <c r="E800" s="175" t="s">
        <v>93</v>
      </c>
      <c r="F800" s="176" t="s">
        <v>825</v>
      </c>
      <c r="G800" s="175" t="s">
        <v>202</v>
      </c>
      <c r="H800" s="177">
        <v>42090</v>
      </c>
      <c r="I800" s="175" t="s">
        <v>187</v>
      </c>
      <c r="J800" s="175" t="s">
        <v>103</v>
      </c>
      <c r="K800" s="178" t="s">
        <v>3069</v>
      </c>
      <c r="L800" s="177">
        <v>42090</v>
      </c>
      <c r="M800" s="178" t="s">
        <v>1654</v>
      </c>
      <c r="N800" s="178" t="s">
        <v>185</v>
      </c>
      <c r="O800" s="177">
        <v>42094</v>
      </c>
      <c r="P800" s="179">
        <f t="shared" si="684"/>
        <v>7</v>
      </c>
      <c r="Q800" s="180" t="s">
        <v>3070</v>
      </c>
      <c r="R800" s="178" t="s">
        <v>17</v>
      </c>
      <c r="S800" s="178" t="s">
        <v>101</v>
      </c>
      <c r="T800" s="178" t="s">
        <v>2730</v>
      </c>
      <c r="U800" s="181">
        <v>42095</v>
      </c>
      <c r="V800" s="178" t="s">
        <v>186</v>
      </c>
      <c r="W800" s="182">
        <f t="shared" si="685"/>
        <v>0</v>
      </c>
      <c r="X800" s="182" t="str">
        <f t="shared" si="686"/>
        <v>Correcto</v>
      </c>
    </row>
    <row r="801" spans="1:24" ht="18" customHeight="1" x14ac:dyDescent="0.25">
      <c r="A801" s="186">
        <v>792</v>
      </c>
      <c r="B801" s="173" t="s">
        <v>3071</v>
      </c>
      <c r="C801" s="174">
        <v>42087</v>
      </c>
      <c r="D801" s="175">
        <v>2</v>
      </c>
      <c r="E801" s="175" t="s">
        <v>93</v>
      </c>
      <c r="F801" s="176" t="s">
        <v>825</v>
      </c>
      <c r="G801" s="175" t="s">
        <v>202</v>
      </c>
      <c r="H801" s="177">
        <v>42093</v>
      </c>
      <c r="I801" s="175" t="s">
        <v>187</v>
      </c>
      <c r="J801" s="175" t="s">
        <v>103</v>
      </c>
      <c r="K801" s="178" t="s">
        <v>3072</v>
      </c>
      <c r="L801" s="177">
        <v>42093</v>
      </c>
      <c r="M801" s="178" t="s">
        <v>1654</v>
      </c>
      <c r="N801" s="178" t="s">
        <v>185</v>
      </c>
      <c r="O801" s="177">
        <v>42095</v>
      </c>
      <c r="P801" s="179">
        <f t="shared" si="684"/>
        <v>8</v>
      </c>
      <c r="Q801" s="180" t="s">
        <v>3073</v>
      </c>
      <c r="R801" s="178" t="s">
        <v>17</v>
      </c>
      <c r="S801" s="178" t="s">
        <v>101</v>
      </c>
      <c r="T801" s="178" t="s">
        <v>1163</v>
      </c>
      <c r="U801" s="181">
        <v>42100</v>
      </c>
      <c r="V801" s="178" t="s">
        <v>186</v>
      </c>
      <c r="W801" s="182">
        <f t="shared" si="685"/>
        <v>0</v>
      </c>
      <c r="X801" s="182" t="str">
        <f t="shared" si="686"/>
        <v>Correcto</v>
      </c>
    </row>
    <row r="802" spans="1:24" ht="18" customHeight="1" x14ac:dyDescent="0.25">
      <c r="A802" s="186">
        <v>793</v>
      </c>
      <c r="B802" s="173" t="s">
        <v>3074</v>
      </c>
      <c r="C802" s="174">
        <v>42087</v>
      </c>
      <c r="D802" s="175">
        <v>2</v>
      </c>
      <c r="E802" s="175" t="s">
        <v>93</v>
      </c>
      <c r="F802" s="176" t="s">
        <v>825</v>
      </c>
      <c r="G802" s="175" t="s">
        <v>202</v>
      </c>
      <c r="H802" s="177">
        <v>42093</v>
      </c>
      <c r="I802" s="175" t="s">
        <v>187</v>
      </c>
      <c r="J802" s="175" t="s">
        <v>103</v>
      </c>
      <c r="K802" s="178" t="s">
        <v>3075</v>
      </c>
      <c r="L802" s="177">
        <v>42093</v>
      </c>
      <c r="M802" s="178" t="s">
        <v>1654</v>
      </c>
      <c r="N802" s="178" t="s">
        <v>185</v>
      </c>
      <c r="O802" s="177">
        <v>42095</v>
      </c>
      <c r="P802" s="179">
        <f t="shared" si="684"/>
        <v>8</v>
      </c>
      <c r="Q802" s="180" t="s">
        <v>3076</v>
      </c>
      <c r="R802" s="178" t="s">
        <v>17</v>
      </c>
      <c r="S802" s="178" t="s">
        <v>101</v>
      </c>
      <c r="T802" s="178" t="s">
        <v>1017</v>
      </c>
      <c r="U802" s="181">
        <v>42100</v>
      </c>
      <c r="V802" s="178" t="s">
        <v>186</v>
      </c>
      <c r="W802" s="182">
        <f t="shared" si="685"/>
        <v>0</v>
      </c>
      <c r="X802" s="182" t="str">
        <f t="shared" si="686"/>
        <v>Correcto</v>
      </c>
    </row>
    <row r="803" spans="1:24" ht="18" customHeight="1" x14ac:dyDescent="0.25">
      <c r="A803" s="186">
        <v>794</v>
      </c>
      <c r="B803" s="173" t="s">
        <v>3077</v>
      </c>
      <c r="C803" s="174">
        <v>42087</v>
      </c>
      <c r="D803" s="175">
        <v>2</v>
      </c>
      <c r="E803" s="175" t="s">
        <v>93</v>
      </c>
      <c r="F803" s="176" t="s">
        <v>1914</v>
      </c>
      <c r="G803" s="175" t="s">
        <v>202</v>
      </c>
      <c r="H803" s="177">
        <v>42089</v>
      </c>
      <c r="I803" s="175" t="s">
        <v>187</v>
      </c>
      <c r="J803" s="175" t="s">
        <v>103</v>
      </c>
      <c r="K803" s="180" t="s">
        <v>3078</v>
      </c>
      <c r="L803" s="177">
        <v>42089</v>
      </c>
      <c r="M803" s="178" t="s">
        <v>1654</v>
      </c>
      <c r="N803" s="178" t="s">
        <v>185</v>
      </c>
      <c r="O803" s="177">
        <v>42089</v>
      </c>
      <c r="P803" s="179">
        <f t="shared" si="684"/>
        <v>2</v>
      </c>
      <c r="Q803" s="180" t="s">
        <v>3078</v>
      </c>
      <c r="R803" s="178" t="s">
        <v>17</v>
      </c>
      <c r="S803" s="178" t="s">
        <v>3079</v>
      </c>
      <c r="T803" s="178">
        <v>1106015249</v>
      </c>
      <c r="U803" s="181">
        <v>42089</v>
      </c>
      <c r="V803" s="178" t="s">
        <v>186</v>
      </c>
      <c r="W803" s="182">
        <f t="shared" si="685"/>
        <v>0</v>
      </c>
      <c r="X803" s="182" t="str">
        <f t="shared" si="686"/>
        <v>Correcto</v>
      </c>
    </row>
    <row r="804" spans="1:24" ht="18" customHeight="1" x14ac:dyDescent="0.25">
      <c r="A804" s="186">
        <v>795</v>
      </c>
      <c r="B804" s="173" t="s">
        <v>3080</v>
      </c>
      <c r="C804" s="174">
        <v>42087</v>
      </c>
      <c r="D804" s="175">
        <v>2</v>
      </c>
      <c r="E804" s="175" t="s">
        <v>93</v>
      </c>
      <c r="F804" s="176" t="s">
        <v>825</v>
      </c>
      <c r="G804" s="175" t="s">
        <v>202</v>
      </c>
      <c r="H804" s="177">
        <v>42093</v>
      </c>
      <c r="I804" s="175" t="s">
        <v>187</v>
      </c>
      <c r="J804" s="175" t="s">
        <v>103</v>
      </c>
      <c r="K804" s="178" t="s">
        <v>3081</v>
      </c>
      <c r="L804" s="177">
        <v>42093</v>
      </c>
      <c r="M804" s="178" t="s">
        <v>1654</v>
      </c>
      <c r="N804" s="178" t="s">
        <v>185</v>
      </c>
      <c r="O804" s="177">
        <v>42095</v>
      </c>
      <c r="P804" s="179">
        <f t="shared" si="684"/>
        <v>8</v>
      </c>
      <c r="Q804" s="180" t="s">
        <v>3082</v>
      </c>
      <c r="R804" s="178" t="s">
        <v>17</v>
      </c>
      <c r="S804" s="178" t="s">
        <v>101</v>
      </c>
      <c r="T804" s="178" t="s">
        <v>1007</v>
      </c>
      <c r="U804" s="181">
        <v>42100</v>
      </c>
      <c r="V804" s="178" t="s">
        <v>186</v>
      </c>
      <c r="W804" s="182">
        <f t="shared" si="685"/>
        <v>0</v>
      </c>
      <c r="X804" s="182" t="str">
        <f t="shared" si="686"/>
        <v>Correcto</v>
      </c>
    </row>
    <row r="805" spans="1:24" ht="18" customHeight="1" x14ac:dyDescent="0.25">
      <c r="A805" s="186">
        <v>796</v>
      </c>
      <c r="B805" s="173" t="s">
        <v>3083</v>
      </c>
      <c r="C805" s="174">
        <v>42087</v>
      </c>
      <c r="D805" s="175">
        <v>2</v>
      </c>
      <c r="E805" s="175" t="s">
        <v>93</v>
      </c>
      <c r="F805" s="176" t="s">
        <v>825</v>
      </c>
      <c r="G805" s="175" t="s">
        <v>202</v>
      </c>
      <c r="H805" s="177">
        <v>42093</v>
      </c>
      <c r="I805" s="175" t="s">
        <v>187</v>
      </c>
      <c r="J805" s="175" t="s">
        <v>103</v>
      </c>
      <c r="K805" s="178" t="s">
        <v>3084</v>
      </c>
      <c r="L805" s="177">
        <v>42093</v>
      </c>
      <c r="M805" s="178" t="s">
        <v>1654</v>
      </c>
      <c r="N805" s="178" t="s">
        <v>185</v>
      </c>
      <c r="O805" s="177">
        <v>42095</v>
      </c>
      <c r="P805" s="179">
        <f t="shared" si="684"/>
        <v>8</v>
      </c>
      <c r="Q805" s="180" t="s">
        <v>3085</v>
      </c>
      <c r="R805" s="178" t="s">
        <v>17</v>
      </c>
      <c r="S805" s="178" t="s">
        <v>101</v>
      </c>
      <c r="T805" s="178" t="s">
        <v>1007</v>
      </c>
      <c r="U805" s="181">
        <v>42100</v>
      </c>
      <c r="V805" s="178" t="s">
        <v>186</v>
      </c>
      <c r="W805" s="182">
        <f t="shared" si="685"/>
        <v>0</v>
      </c>
      <c r="X805" s="182" t="str">
        <f t="shared" si="686"/>
        <v>Correcto</v>
      </c>
    </row>
    <row r="806" spans="1:24" ht="18" customHeight="1" x14ac:dyDescent="0.25">
      <c r="A806" s="186">
        <v>797</v>
      </c>
      <c r="B806" s="173" t="s">
        <v>3086</v>
      </c>
      <c r="C806" s="174">
        <v>42087</v>
      </c>
      <c r="D806" s="175">
        <v>2</v>
      </c>
      <c r="E806" s="175" t="s">
        <v>93</v>
      </c>
      <c r="F806" s="176" t="s">
        <v>825</v>
      </c>
      <c r="G806" s="175" t="s">
        <v>202</v>
      </c>
      <c r="H806" s="177">
        <v>42093</v>
      </c>
      <c r="I806" s="175" t="s">
        <v>187</v>
      </c>
      <c r="J806" s="175" t="s">
        <v>103</v>
      </c>
      <c r="K806" s="178" t="s">
        <v>3087</v>
      </c>
      <c r="L806" s="177">
        <v>42093</v>
      </c>
      <c r="M806" s="178" t="s">
        <v>1654</v>
      </c>
      <c r="N806" s="178" t="s">
        <v>185</v>
      </c>
      <c r="O806" s="177">
        <v>42095</v>
      </c>
      <c r="P806" s="179">
        <f t="shared" si="684"/>
        <v>8</v>
      </c>
      <c r="Q806" s="180" t="s">
        <v>3088</v>
      </c>
      <c r="R806" s="178" t="s">
        <v>17</v>
      </c>
      <c r="S806" s="178" t="s">
        <v>101</v>
      </c>
      <c r="T806" s="178" t="s">
        <v>2458</v>
      </c>
      <c r="U806" s="181">
        <v>42100</v>
      </c>
      <c r="V806" s="178" t="s">
        <v>186</v>
      </c>
      <c r="W806" s="182">
        <f t="shared" si="685"/>
        <v>0</v>
      </c>
      <c r="X806" s="182" t="str">
        <f t="shared" si="686"/>
        <v>Correcto</v>
      </c>
    </row>
    <row r="807" spans="1:24" ht="18" customHeight="1" x14ac:dyDescent="0.25">
      <c r="A807" s="186">
        <v>798</v>
      </c>
      <c r="B807" s="173" t="s">
        <v>3089</v>
      </c>
      <c r="C807" s="174">
        <v>42087</v>
      </c>
      <c r="D807" s="175">
        <v>2</v>
      </c>
      <c r="E807" s="175" t="s">
        <v>93</v>
      </c>
      <c r="F807" s="176" t="s">
        <v>825</v>
      </c>
      <c r="G807" s="175" t="s">
        <v>202</v>
      </c>
      <c r="H807" s="177">
        <v>42093</v>
      </c>
      <c r="I807" s="175" t="s">
        <v>187</v>
      </c>
      <c r="J807" s="175" t="s">
        <v>103</v>
      </c>
      <c r="K807" s="178" t="s">
        <v>3090</v>
      </c>
      <c r="L807" s="177">
        <v>42093</v>
      </c>
      <c r="M807" s="178" t="s">
        <v>1654</v>
      </c>
      <c r="N807" s="178" t="s">
        <v>185</v>
      </c>
      <c r="O807" s="177">
        <v>42095</v>
      </c>
      <c r="P807" s="179">
        <f t="shared" si="684"/>
        <v>8</v>
      </c>
      <c r="Q807" s="180" t="s">
        <v>3091</v>
      </c>
      <c r="R807" s="178" t="s">
        <v>17</v>
      </c>
      <c r="S807" s="178" t="s">
        <v>101</v>
      </c>
      <c r="T807" s="178" t="s">
        <v>2458</v>
      </c>
      <c r="U807" s="181">
        <v>42100</v>
      </c>
      <c r="V807" s="178" t="s">
        <v>186</v>
      </c>
      <c r="W807" s="182">
        <f t="shared" si="685"/>
        <v>0</v>
      </c>
      <c r="X807" s="182" t="str">
        <f t="shared" si="686"/>
        <v>Correcto</v>
      </c>
    </row>
    <row r="808" spans="1:24" ht="18" customHeight="1" x14ac:dyDescent="0.25">
      <c r="A808" s="186">
        <v>799</v>
      </c>
      <c r="B808" s="173" t="s">
        <v>3092</v>
      </c>
      <c r="C808" s="174">
        <v>42087</v>
      </c>
      <c r="D808" s="175">
        <v>2</v>
      </c>
      <c r="E808" s="175" t="s">
        <v>93</v>
      </c>
      <c r="F808" s="176" t="s">
        <v>825</v>
      </c>
      <c r="G808" s="175" t="s">
        <v>202</v>
      </c>
      <c r="H808" s="177">
        <v>42093</v>
      </c>
      <c r="I808" s="175" t="s">
        <v>187</v>
      </c>
      <c r="J808" s="175" t="s">
        <v>103</v>
      </c>
      <c r="K808" s="178" t="s">
        <v>3093</v>
      </c>
      <c r="L808" s="177">
        <v>42093</v>
      </c>
      <c r="M808" s="178" t="s">
        <v>1654</v>
      </c>
      <c r="N808" s="178" t="s">
        <v>185</v>
      </c>
      <c r="O808" s="177">
        <v>42095</v>
      </c>
      <c r="P808" s="179">
        <f t="shared" si="684"/>
        <v>8</v>
      </c>
      <c r="Q808" s="180" t="s">
        <v>3094</v>
      </c>
      <c r="R808" s="178" t="s">
        <v>17</v>
      </c>
      <c r="S808" s="178" t="s">
        <v>101</v>
      </c>
      <c r="T808" s="178" t="s">
        <v>1019</v>
      </c>
      <c r="U808" s="181">
        <v>42100</v>
      </c>
      <c r="V808" s="178" t="s">
        <v>186</v>
      </c>
      <c r="W808" s="182">
        <f t="shared" si="685"/>
        <v>0</v>
      </c>
      <c r="X808" s="182" t="str">
        <f t="shared" si="686"/>
        <v>Correcto</v>
      </c>
    </row>
    <row r="809" spans="1:24" ht="18" customHeight="1" x14ac:dyDescent="0.25">
      <c r="A809" s="186">
        <v>800</v>
      </c>
      <c r="B809" s="173" t="s">
        <v>3095</v>
      </c>
      <c r="C809" s="174">
        <v>42087</v>
      </c>
      <c r="D809" s="175">
        <v>2</v>
      </c>
      <c r="E809" s="175" t="s">
        <v>93</v>
      </c>
      <c r="F809" s="176" t="s">
        <v>825</v>
      </c>
      <c r="G809" s="175" t="s">
        <v>202</v>
      </c>
      <c r="H809" s="177">
        <v>42100</v>
      </c>
      <c r="I809" s="175" t="s">
        <v>187</v>
      </c>
      <c r="J809" s="175" t="s">
        <v>103</v>
      </c>
      <c r="K809" s="178" t="s">
        <v>3096</v>
      </c>
      <c r="L809" s="177">
        <v>42100</v>
      </c>
      <c r="M809" s="178" t="s">
        <v>2745</v>
      </c>
      <c r="N809" s="178" t="s">
        <v>2746</v>
      </c>
      <c r="O809" s="177">
        <v>42095</v>
      </c>
      <c r="P809" s="179">
        <f t="shared" si="684"/>
        <v>8</v>
      </c>
      <c r="Q809" s="180" t="s">
        <v>3097</v>
      </c>
      <c r="R809" s="178" t="s">
        <v>17</v>
      </c>
      <c r="S809" s="178" t="s">
        <v>101</v>
      </c>
      <c r="T809" s="178" t="s">
        <v>1150</v>
      </c>
      <c r="U809" s="181">
        <v>42103</v>
      </c>
      <c r="V809" s="178" t="s">
        <v>186</v>
      </c>
      <c r="W809" s="182">
        <f t="shared" si="685"/>
        <v>0</v>
      </c>
      <c r="X809" s="182" t="str">
        <f t="shared" si="686"/>
        <v>Correcto</v>
      </c>
    </row>
    <row r="810" spans="1:24" ht="18" customHeight="1" x14ac:dyDescent="0.25">
      <c r="A810" s="186">
        <v>801</v>
      </c>
      <c r="B810" s="173" t="s">
        <v>3098</v>
      </c>
      <c r="C810" s="174">
        <v>42087</v>
      </c>
      <c r="D810" s="175">
        <v>2</v>
      </c>
      <c r="E810" s="175" t="s">
        <v>93</v>
      </c>
      <c r="F810" s="176" t="s">
        <v>825</v>
      </c>
      <c r="G810" s="175" t="s">
        <v>202</v>
      </c>
      <c r="H810" s="177">
        <v>42101</v>
      </c>
      <c r="I810" s="175" t="s">
        <v>187</v>
      </c>
      <c r="J810" s="175" t="s">
        <v>103</v>
      </c>
      <c r="K810" s="178" t="s">
        <v>3096</v>
      </c>
      <c r="L810" s="177">
        <v>42100</v>
      </c>
      <c r="M810" s="178" t="s">
        <v>2745</v>
      </c>
      <c r="N810" s="178" t="s">
        <v>2746</v>
      </c>
      <c r="O810" s="177">
        <v>42095</v>
      </c>
      <c r="P810" s="179">
        <f t="shared" si="684"/>
        <v>8</v>
      </c>
      <c r="Q810" s="180" t="s">
        <v>3099</v>
      </c>
      <c r="R810" s="178" t="s">
        <v>17</v>
      </c>
      <c r="S810" s="178" t="s">
        <v>101</v>
      </c>
      <c r="T810" s="178" t="s">
        <v>1150</v>
      </c>
      <c r="U810" s="181">
        <v>42103</v>
      </c>
      <c r="V810" s="178" t="s">
        <v>186</v>
      </c>
      <c r="W810" s="182">
        <f t="shared" si="685"/>
        <v>0</v>
      </c>
      <c r="X810" s="182" t="str">
        <f t="shared" si="686"/>
        <v>Correcto</v>
      </c>
    </row>
    <row r="811" spans="1:24" ht="18" customHeight="1" x14ac:dyDescent="0.25">
      <c r="A811" s="186">
        <v>802</v>
      </c>
      <c r="B811" s="173" t="s">
        <v>3100</v>
      </c>
      <c r="C811" s="174">
        <v>42087</v>
      </c>
      <c r="D811" s="175">
        <v>10</v>
      </c>
      <c r="E811" s="175" t="s">
        <v>93</v>
      </c>
      <c r="F811" s="176" t="s">
        <v>825</v>
      </c>
      <c r="G811" s="175" t="s">
        <v>202</v>
      </c>
      <c r="H811" s="177">
        <v>42093</v>
      </c>
      <c r="I811" s="175" t="s">
        <v>187</v>
      </c>
      <c r="J811" s="175" t="s">
        <v>103</v>
      </c>
      <c r="K811" s="178" t="s">
        <v>3101</v>
      </c>
      <c r="L811" s="177">
        <v>42093</v>
      </c>
      <c r="M811" s="178" t="s">
        <v>1654</v>
      </c>
      <c r="N811" s="178" t="s">
        <v>185</v>
      </c>
      <c r="O811" s="177">
        <v>42095</v>
      </c>
      <c r="P811" s="179">
        <f t="shared" si="684"/>
        <v>8</v>
      </c>
      <c r="Q811" s="180" t="s">
        <v>3102</v>
      </c>
      <c r="R811" s="178" t="s">
        <v>17</v>
      </c>
      <c r="S811" s="178" t="s">
        <v>101</v>
      </c>
      <c r="T811" s="178" t="s">
        <v>1150</v>
      </c>
      <c r="U811" s="181">
        <v>42101</v>
      </c>
      <c r="V811" s="178" t="s">
        <v>186</v>
      </c>
      <c r="W811" s="182">
        <f t="shared" si="685"/>
        <v>0</v>
      </c>
      <c r="X811" s="182" t="str">
        <f t="shared" si="686"/>
        <v>Correcto</v>
      </c>
    </row>
    <row r="812" spans="1:24" ht="18" customHeight="1" x14ac:dyDescent="0.25">
      <c r="A812" s="186">
        <v>803</v>
      </c>
      <c r="B812" s="173" t="s">
        <v>3103</v>
      </c>
      <c r="C812" s="174">
        <v>42087</v>
      </c>
      <c r="D812" s="175">
        <v>2</v>
      </c>
      <c r="E812" s="175" t="s">
        <v>93</v>
      </c>
      <c r="F812" s="176" t="s">
        <v>825</v>
      </c>
      <c r="G812" s="175" t="s">
        <v>202</v>
      </c>
      <c r="H812" s="177">
        <v>42093</v>
      </c>
      <c r="I812" s="175" t="s">
        <v>187</v>
      </c>
      <c r="J812" s="175" t="s">
        <v>103</v>
      </c>
      <c r="K812" s="178" t="s">
        <v>3104</v>
      </c>
      <c r="L812" s="177">
        <v>42093</v>
      </c>
      <c r="M812" s="178" t="s">
        <v>1654</v>
      </c>
      <c r="N812" s="178" t="s">
        <v>185</v>
      </c>
      <c r="O812" s="177">
        <v>42095</v>
      </c>
      <c r="P812" s="179">
        <f t="shared" si="684"/>
        <v>8</v>
      </c>
      <c r="Q812" s="180" t="s">
        <v>3105</v>
      </c>
      <c r="R812" s="178" t="s">
        <v>17</v>
      </c>
      <c r="S812" s="178" t="s">
        <v>101</v>
      </c>
      <c r="T812" s="178" t="s">
        <v>996</v>
      </c>
      <c r="U812" s="181">
        <v>42100</v>
      </c>
      <c r="V812" s="178" t="s">
        <v>186</v>
      </c>
      <c r="W812" s="182">
        <f t="shared" si="685"/>
        <v>0</v>
      </c>
      <c r="X812" s="182" t="str">
        <f t="shared" si="686"/>
        <v>Correcto</v>
      </c>
    </row>
    <row r="813" spans="1:24" ht="18" customHeight="1" x14ac:dyDescent="0.25">
      <c r="A813" s="186">
        <v>804</v>
      </c>
      <c r="B813" s="173" t="s">
        <v>3106</v>
      </c>
      <c r="C813" s="174">
        <v>42087</v>
      </c>
      <c r="D813" s="175">
        <v>2</v>
      </c>
      <c r="E813" s="175" t="s">
        <v>93</v>
      </c>
      <c r="F813" s="176" t="s">
        <v>825</v>
      </c>
      <c r="G813" s="175" t="s">
        <v>202</v>
      </c>
      <c r="H813" s="177">
        <v>42101</v>
      </c>
      <c r="I813" s="175" t="s">
        <v>187</v>
      </c>
      <c r="J813" s="175" t="s">
        <v>103</v>
      </c>
      <c r="K813" s="178" t="s">
        <v>3107</v>
      </c>
      <c r="L813" s="177">
        <v>42101</v>
      </c>
      <c r="M813" s="178" t="s">
        <v>1654</v>
      </c>
      <c r="N813" s="178" t="s">
        <v>185</v>
      </c>
      <c r="O813" s="177">
        <v>42101</v>
      </c>
      <c r="P813" s="179">
        <f t="shared" si="684"/>
        <v>14</v>
      </c>
      <c r="Q813" s="180" t="s">
        <v>3108</v>
      </c>
      <c r="R813" s="178" t="s">
        <v>3109</v>
      </c>
      <c r="S813" s="178" t="s">
        <v>2481</v>
      </c>
      <c r="T813" s="178">
        <v>1104413065</v>
      </c>
      <c r="U813" s="181">
        <v>42101</v>
      </c>
      <c r="V813" s="178" t="s">
        <v>186</v>
      </c>
      <c r="W813" s="182">
        <f t="shared" si="685"/>
        <v>0</v>
      </c>
      <c r="X813" s="182" t="str">
        <f t="shared" si="686"/>
        <v>Correcto</v>
      </c>
    </row>
    <row r="814" spans="1:24" ht="18" customHeight="1" x14ac:dyDescent="0.25">
      <c r="A814" s="186">
        <v>805</v>
      </c>
      <c r="B814" s="173" t="s">
        <v>3110</v>
      </c>
      <c r="C814" s="174">
        <v>42087</v>
      </c>
      <c r="D814" s="175">
        <v>2</v>
      </c>
      <c r="E814" s="175" t="s">
        <v>93</v>
      </c>
      <c r="F814" s="176" t="s">
        <v>825</v>
      </c>
      <c r="G814" s="175" t="s">
        <v>202</v>
      </c>
      <c r="H814" s="177">
        <v>42093</v>
      </c>
      <c r="I814" s="175" t="s">
        <v>187</v>
      </c>
      <c r="J814" s="175" t="s">
        <v>103</v>
      </c>
      <c r="K814" s="178" t="s">
        <v>3111</v>
      </c>
      <c r="L814" s="177">
        <v>42093</v>
      </c>
      <c r="M814" s="178" t="s">
        <v>1654</v>
      </c>
      <c r="N814" s="178" t="s">
        <v>185</v>
      </c>
      <c r="O814" s="177">
        <v>42095</v>
      </c>
      <c r="P814" s="179">
        <f t="shared" si="684"/>
        <v>8</v>
      </c>
      <c r="Q814" s="180" t="s">
        <v>3112</v>
      </c>
      <c r="R814" s="178" t="s">
        <v>729</v>
      </c>
      <c r="S814" s="178" t="s">
        <v>3113</v>
      </c>
      <c r="T814" s="178" t="s">
        <v>3114</v>
      </c>
      <c r="U814" s="181">
        <v>42096</v>
      </c>
      <c r="V814" s="178" t="s">
        <v>186</v>
      </c>
      <c r="W814" s="182">
        <f t="shared" si="685"/>
        <v>0</v>
      </c>
      <c r="X814" s="182" t="str">
        <f t="shared" si="686"/>
        <v>Correcto</v>
      </c>
    </row>
    <row r="815" spans="1:24" ht="18" customHeight="1" x14ac:dyDescent="0.25">
      <c r="A815" s="186">
        <v>806</v>
      </c>
      <c r="B815" s="173" t="s">
        <v>3115</v>
      </c>
      <c r="C815" s="174">
        <v>42088</v>
      </c>
      <c r="D815" s="175">
        <v>3</v>
      </c>
      <c r="E815" s="175" t="s">
        <v>93</v>
      </c>
      <c r="F815" s="176" t="s">
        <v>1914</v>
      </c>
      <c r="G815" s="175" t="s">
        <v>202</v>
      </c>
      <c r="H815" s="177">
        <v>42093</v>
      </c>
      <c r="I815" s="175" t="s">
        <v>187</v>
      </c>
      <c r="J815" s="175" t="s">
        <v>103</v>
      </c>
      <c r="K815" s="180" t="s">
        <v>3116</v>
      </c>
      <c r="L815" s="177">
        <v>42093</v>
      </c>
      <c r="M815" s="178" t="s">
        <v>1654</v>
      </c>
      <c r="N815" s="178" t="s">
        <v>185</v>
      </c>
      <c r="O815" s="177">
        <v>42093</v>
      </c>
      <c r="P815" s="179">
        <f t="shared" si="684"/>
        <v>5</v>
      </c>
      <c r="Q815" s="180" t="s">
        <v>3116</v>
      </c>
      <c r="R815" s="178" t="s">
        <v>17</v>
      </c>
      <c r="S815" s="178" t="s">
        <v>3117</v>
      </c>
      <c r="T815" s="178">
        <v>1104616576</v>
      </c>
      <c r="U815" s="181">
        <v>42093</v>
      </c>
      <c r="V815" s="178" t="s">
        <v>186</v>
      </c>
      <c r="W815" s="182">
        <f t="shared" si="685"/>
        <v>0</v>
      </c>
      <c r="X815" s="182" t="str">
        <f t="shared" si="686"/>
        <v>Correcto</v>
      </c>
    </row>
    <row r="816" spans="1:24" ht="18" customHeight="1" x14ac:dyDescent="0.25">
      <c r="A816" s="186">
        <v>807</v>
      </c>
      <c r="B816" s="173" t="s">
        <v>3118</v>
      </c>
      <c r="C816" s="174">
        <v>42088</v>
      </c>
      <c r="D816" s="175">
        <v>12</v>
      </c>
      <c r="E816" s="175" t="s">
        <v>93</v>
      </c>
      <c r="F816" s="176" t="s">
        <v>1914</v>
      </c>
      <c r="G816" s="175" t="s">
        <v>202</v>
      </c>
      <c r="H816" s="177">
        <v>42117</v>
      </c>
      <c r="I816" s="175" t="s">
        <v>187</v>
      </c>
      <c r="J816" s="175" t="s">
        <v>103</v>
      </c>
      <c r="K816" s="180" t="s">
        <v>3119</v>
      </c>
      <c r="L816" s="177">
        <v>42117</v>
      </c>
      <c r="M816" s="178" t="s">
        <v>1654</v>
      </c>
      <c r="N816" s="178" t="s">
        <v>185</v>
      </c>
      <c r="O816" s="177">
        <v>42117</v>
      </c>
      <c r="P816" s="179">
        <f t="shared" si="684"/>
        <v>29</v>
      </c>
      <c r="Q816" s="180" t="s">
        <v>3119</v>
      </c>
      <c r="R816" s="178" t="s">
        <v>17</v>
      </c>
      <c r="S816" s="178" t="s">
        <v>3120</v>
      </c>
      <c r="T816" s="178">
        <v>1104316714</v>
      </c>
      <c r="U816" s="181">
        <v>42117</v>
      </c>
      <c r="V816" s="178" t="s">
        <v>186</v>
      </c>
      <c r="W816" s="182">
        <f t="shared" si="685"/>
        <v>0</v>
      </c>
      <c r="X816" s="182" t="str">
        <f t="shared" si="686"/>
        <v>Correcto</v>
      </c>
    </row>
    <row r="817" spans="1:24" ht="18" customHeight="1" x14ac:dyDescent="0.25">
      <c r="A817" s="186">
        <v>808</v>
      </c>
      <c r="B817" s="173" t="s">
        <v>3121</v>
      </c>
      <c r="C817" s="174">
        <v>42088</v>
      </c>
      <c r="D817" s="175">
        <v>2</v>
      </c>
      <c r="E817" s="175" t="s">
        <v>93</v>
      </c>
      <c r="F817" s="176" t="s">
        <v>1914</v>
      </c>
      <c r="G817" s="175" t="s">
        <v>202</v>
      </c>
      <c r="H817" s="177">
        <v>42089</v>
      </c>
      <c r="I817" s="175" t="s">
        <v>187</v>
      </c>
      <c r="J817" s="175" t="s">
        <v>103</v>
      </c>
      <c r="K817" s="180" t="s">
        <v>3122</v>
      </c>
      <c r="L817" s="177">
        <v>42089</v>
      </c>
      <c r="M817" s="178" t="s">
        <v>1654</v>
      </c>
      <c r="N817" s="178" t="s">
        <v>185</v>
      </c>
      <c r="O817" s="177">
        <v>42089</v>
      </c>
      <c r="P817" s="179">
        <f t="shared" si="684"/>
        <v>1</v>
      </c>
      <c r="Q817" s="180" t="s">
        <v>3122</v>
      </c>
      <c r="R817" s="178" t="s">
        <v>17</v>
      </c>
      <c r="S817" s="178" t="s">
        <v>3123</v>
      </c>
      <c r="T817" s="178">
        <v>1103486393</v>
      </c>
      <c r="U817" s="181">
        <v>42089</v>
      </c>
      <c r="V817" s="178" t="s">
        <v>186</v>
      </c>
      <c r="W817" s="182">
        <f t="shared" si="685"/>
        <v>0</v>
      </c>
      <c r="X817" s="182" t="str">
        <f t="shared" si="686"/>
        <v>Correcto</v>
      </c>
    </row>
    <row r="818" spans="1:24" ht="18" customHeight="1" x14ac:dyDescent="0.25">
      <c r="A818" s="186">
        <v>809</v>
      </c>
      <c r="B818" s="173" t="s">
        <v>3124</v>
      </c>
      <c r="C818" s="174">
        <v>42088</v>
      </c>
      <c r="D818" s="175">
        <v>2</v>
      </c>
      <c r="E818" s="175" t="s">
        <v>93</v>
      </c>
      <c r="F818" s="176" t="s">
        <v>825</v>
      </c>
      <c r="G818" s="175" t="s">
        <v>202</v>
      </c>
      <c r="H818" s="177">
        <v>42093</v>
      </c>
      <c r="I818" s="175" t="s">
        <v>187</v>
      </c>
      <c r="J818" s="175" t="s">
        <v>103</v>
      </c>
      <c r="K818" s="178" t="s">
        <v>3125</v>
      </c>
      <c r="L818" s="177">
        <v>42093</v>
      </c>
      <c r="M818" s="178" t="s">
        <v>1654</v>
      </c>
      <c r="N818" s="178" t="s">
        <v>185</v>
      </c>
      <c r="O818" s="177">
        <v>42100</v>
      </c>
      <c r="P818" s="179">
        <f t="shared" si="684"/>
        <v>12</v>
      </c>
      <c r="Q818" s="180" t="s">
        <v>3126</v>
      </c>
      <c r="R818" s="178" t="s">
        <v>17</v>
      </c>
      <c r="S818" s="178" t="s">
        <v>101</v>
      </c>
      <c r="T818" s="178" t="s">
        <v>953</v>
      </c>
      <c r="U818" s="181">
        <v>42101</v>
      </c>
      <c r="V818" s="178" t="s">
        <v>186</v>
      </c>
      <c r="W818" s="182">
        <f t="shared" si="685"/>
        <v>0</v>
      </c>
      <c r="X818" s="182" t="str">
        <f t="shared" si="686"/>
        <v>Correcto</v>
      </c>
    </row>
    <row r="819" spans="1:24" ht="18" customHeight="1" x14ac:dyDescent="0.25">
      <c r="A819" s="186">
        <v>810</v>
      </c>
      <c r="B819" s="173" t="s">
        <v>3127</v>
      </c>
      <c r="C819" s="174">
        <v>42088</v>
      </c>
      <c r="D819" s="175">
        <v>2</v>
      </c>
      <c r="E819" s="175" t="s">
        <v>93</v>
      </c>
      <c r="F819" s="176" t="s">
        <v>825</v>
      </c>
      <c r="G819" s="175" t="s">
        <v>202</v>
      </c>
      <c r="H819" s="177">
        <v>42093</v>
      </c>
      <c r="I819" s="175" t="s">
        <v>187</v>
      </c>
      <c r="J819" s="175" t="s">
        <v>103</v>
      </c>
      <c r="K819" s="178" t="s">
        <v>3128</v>
      </c>
      <c r="L819" s="177">
        <v>42093</v>
      </c>
      <c r="M819" s="178" t="s">
        <v>1654</v>
      </c>
      <c r="N819" s="178" t="s">
        <v>185</v>
      </c>
      <c r="O819" s="177">
        <v>42093</v>
      </c>
      <c r="P819" s="179">
        <f t="shared" si="684"/>
        <v>5</v>
      </c>
      <c r="Q819" s="180" t="s">
        <v>3129</v>
      </c>
      <c r="R819" s="178" t="s">
        <v>17</v>
      </c>
      <c r="S819" s="178" t="s">
        <v>101</v>
      </c>
      <c r="T819" s="178" t="s">
        <v>996</v>
      </c>
      <c r="U819" s="181">
        <v>42100</v>
      </c>
      <c r="V819" s="178" t="s">
        <v>186</v>
      </c>
      <c r="W819" s="182">
        <f t="shared" si="685"/>
        <v>0</v>
      </c>
      <c r="X819" s="182" t="str">
        <f t="shared" si="686"/>
        <v>Correcto</v>
      </c>
    </row>
    <row r="820" spans="1:24" ht="18" customHeight="1" x14ac:dyDescent="0.25">
      <c r="A820" s="186">
        <v>811</v>
      </c>
      <c r="B820" s="173" t="s">
        <v>3130</v>
      </c>
      <c r="C820" s="174">
        <v>42088</v>
      </c>
      <c r="D820" s="175">
        <v>2</v>
      </c>
      <c r="E820" s="175" t="s">
        <v>93</v>
      </c>
      <c r="F820" s="176" t="s">
        <v>825</v>
      </c>
      <c r="G820" s="175" t="s">
        <v>202</v>
      </c>
      <c r="H820" s="177">
        <v>42093</v>
      </c>
      <c r="I820" s="175" t="s">
        <v>187</v>
      </c>
      <c r="J820" s="175" t="s">
        <v>103</v>
      </c>
      <c r="K820" s="178" t="s">
        <v>3131</v>
      </c>
      <c r="L820" s="177">
        <v>42093</v>
      </c>
      <c r="M820" s="178" t="s">
        <v>1654</v>
      </c>
      <c r="N820" s="178" t="s">
        <v>185</v>
      </c>
      <c r="O820" s="177">
        <v>42093</v>
      </c>
      <c r="P820" s="179">
        <f t="shared" si="684"/>
        <v>5</v>
      </c>
      <c r="Q820" s="180" t="s">
        <v>3132</v>
      </c>
      <c r="R820" s="178" t="s">
        <v>17</v>
      </c>
      <c r="S820" s="178" t="s">
        <v>101</v>
      </c>
      <c r="T820" s="178" t="s">
        <v>1163</v>
      </c>
      <c r="U820" s="181">
        <v>42100</v>
      </c>
      <c r="V820" s="178" t="s">
        <v>186</v>
      </c>
      <c r="W820" s="182">
        <f t="shared" si="685"/>
        <v>0</v>
      </c>
      <c r="X820" s="182" t="str">
        <f t="shared" si="686"/>
        <v>Correcto</v>
      </c>
    </row>
    <row r="821" spans="1:24" ht="18" customHeight="1" x14ac:dyDescent="0.25">
      <c r="A821" s="186">
        <v>812</v>
      </c>
      <c r="B821" s="173" t="s">
        <v>3133</v>
      </c>
      <c r="C821" s="174">
        <v>42088</v>
      </c>
      <c r="D821" s="175">
        <v>2</v>
      </c>
      <c r="E821" s="175" t="s">
        <v>93</v>
      </c>
      <c r="F821" s="176" t="s">
        <v>825</v>
      </c>
      <c r="G821" s="175" t="s">
        <v>202</v>
      </c>
      <c r="H821" s="177">
        <v>42093</v>
      </c>
      <c r="I821" s="175" t="s">
        <v>187</v>
      </c>
      <c r="J821" s="175" t="s">
        <v>103</v>
      </c>
      <c r="K821" s="178" t="s">
        <v>3134</v>
      </c>
      <c r="L821" s="177">
        <v>42093</v>
      </c>
      <c r="M821" s="178" t="s">
        <v>1654</v>
      </c>
      <c r="N821" s="178" t="s">
        <v>185</v>
      </c>
      <c r="O821" s="177">
        <v>42095</v>
      </c>
      <c r="P821" s="179">
        <f t="shared" si="684"/>
        <v>7</v>
      </c>
      <c r="Q821" s="180" t="s">
        <v>3135</v>
      </c>
      <c r="R821" s="178" t="s">
        <v>17</v>
      </c>
      <c r="S821" s="178" t="s">
        <v>101</v>
      </c>
      <c r="T821" s="178" t="s">
        <v>953</v>
      </c>
      <c r="U821" s="181">
        <v>42100</v>
      </c>
      <c r="V821" s="178" t="s">
        <v>186</v>
      </c>
      <c r="W821" s="182">
        <f t="shared" si="685"/>
        <v>0</v>
      </c>
      <c r="X821" s="182" t="str">
        <f t="shared" si="686"/>
        <v>Correcto</v>
      </c>
    </row>
    <row r="822" spans="1:24" ht="18" customHeight="1" x14ac:dyDescent="0.25">
      <c r="A822" s="186">
        <v>813</v>
      </c>
      <c r="B822" s="173" t="s">
        <v>3136</v>
      </c>
      <c r="C822" s="174">
        <v>42088</v>
      </c>
      <c r="D822" s="175">
        <v>2</v>
      </c>
      <c r="E822" s="175" t="s">
        <v>93</v>
      </c>
      <c r="F822" s="176" t="s">
        <v>825</v>
      </c>
      <c r="G822" s="175" t="s">
        <v>202</v>
      </c>
      <c r="H822" s="177">
        <v>42093</v>
      </c>
      <c r="I822" s="175" t="s">
        <v>187</v>
      </c>
      <c r="J822" s="175" t="s">
        <v>103</v>
      </c>
      <c r="K822" s="178" t="s">
        <v>3137</v>
      </c>
      <c r="L822" s="177">
        <v>42093</v>
      </c>
      <c r="M822" s="178" t="s">
        <v>1654</v>
      </c>
      <c r="N822" s="178" t="s">
        <v>185</v>
      </c>
      <c r="O822" s="177">
        <v>42095</v>
      </c>
      <c r="P822" s="179">
        <f t="shared" si="684"/>
        <v>7</v>
      </c>
      <c r="Q822" s="180" t="s">
        <v>3138</v>
      </c>
      <c r="R822" s="178" t="s">
        <v>17</v>
      </c>
      <c r="S822" s="178" t="s">
        <v>101</v>
      </c>
      <c r="T822" s="178" t="s">
        <v>1163</v>
      </c>
      <c r="U822" s="181">
        <v>42100</v>
      </c>
      <c r="V822" s="178" t="s">
        <v>186</v>
      </c>
      <c r="W822" s="182">
        <f t="shared" si="685"/>
        <v>0</v>
      </c>
      <c r="X822" s="182" t="str">
        <f t="shared" si="686"/>
        <v>Correcto</v>
      </c>
    </row>
    <row r="823" spans="1:24" ht="18" customHeight="1" x14ac:dyDescent="0.25">
      <c r="A823" s="186">
        <v>814</v>
      </c>
      <c r="B823" s="173" t="s">
        <v>3139</v>
      </c>
      <c r="C823" s="174">
        <v>42088</v>
      </c>
      <c r="D823" s="175">
        <v>2</v>
      </c>
      <c r="E823" s="175" t="s">
        <v>93</v>
      </c>
      <c r="F823" s="176" t="s">
        <v>825</v>
      </c>
      <c r="G823" s="175" t="s">
        <v>202</v>
      </c>
      <c r="H823" s="177">
        <v>42093</v>
      </c>
      <c r="I823" s="175" t="s">
        <v>187</v>
      </c>
      <c r="J823" s="175" t="s">
        <v>103</v>
      </c>
      <c r="K823" s="178" t="s">
        <v>3140</v>
      </c>
      <c r="L823" s="177">
        <v>42093</v>
      </c>
      <c r="M823" s="178" t="s">
        <v>1654</v>
      </c>
      <c r="N823" s="178" t="s">
        <v>185</v>
      </c>
      <c r="O823" s="177">
        <v>42095</v>
      </c>
      <c r="P823" s="179">
        <f t="shared" si="684"/>
        <v>7</v>
      </c>
      <c r="Q823" s="180" t="s">
        <v>3141</v>
      </c>
      <c r="R823" s="178" t="s">
        <v>17</v>
      </c>
      <c r="S823" s="178" t="s">
        <v>101</v>
      </c>
      <c r="T823" s="178" t="s">
        <v>1150</v>
      </c>
      <c r="U823" s="181">
        <v>42100</v>
      </c>
      <c r="V823" s="178" t="s">
        <v>186</v>
      </c>
      <c r="W823" s="182">
        <f t="shared" si="685"/>
        <v>0</v>
      </c>
      <c r="X823" s="182" t="str">
        <f t="shared" si="686"/>
        <v>Correcto</v>
      </c>
    </row>
    <row r="824" spans="1:24" ht="18" customHeight="1" x14ac:dyDescent="0.25">
      <c r="A824" s="186">
        <v>815</v>
      </c>
      <c r="B824" s="173" t="s">
        <v>3142</v>
      </c>
      <c r="C824" s="174">
        <v>42088</v>
      </c>
      <c r="D824" s="175">
        <v>2</v>
      </c>
      <c r="E824" s="175" t="s">
        <v>93</v>
      </c>
      <c r="F824" s="176" t="s">
        <v>1914</v>
      </c>
      <c r="G824" s="175" t="s">
        <v>202</v>
      </c>
      <c r="H824" s="177">
        <v>42089</v>
      </c>
      <c r="I824" s="175" t="s">
        <v>187</v>
      </c>
      <c r="J824" s="175" t="s">
        <v>103</v>
      </c>
      <c r="K824" s="180" t="s">
        <v>3143</v>
      </c>
      <c r="L824" s="177">
        <v>42089</v>
      </c>
      <c r="M824" s="178" t="s">
        <v>1654</v>
      </c>
      <c r="N824" s="178" t="s">
        <v>185</v>
      </c>
      <c r="O824" s="177">
        <v>42089</v>
      </c>
      <c r="P824" s="179">
        <f t="shared" si="684"/>
        <v>1</v>
      </c>
      <c r="Q824" s="180" t="s">
        <v>3143</v>
      </c>
      <c r="R824" s="178" t="s">
        <v>17</v>
      </c>
      <c r="S824" s="178" t="s">
        <v>3144</v>
      </c>
      <c r="T824" s="178">
        <v>110574789</v>
      </c>
      <c r="U824" s="181">
        <v>42089</v>
      </c>
      <c r="V824" s="178" t="s">
        <v>186</v>
      </c>
      <c r="W824" s="182">
        <f t="shared" si="685"/>
        <v>0</v>
      </c>
      <c r="X824" s="182" t="str">
        <f t="shared" si="686"/>
        <v>Correcto</v>
      </c>
    </row>
    <row r="825" spans="1:24" ht="18" customHeight="1" x14ac:dyDescent="0.25">
      <c r="A825" s="186">
        <v>816</v>
      </c>
      <c r="B825" s="173" t="s">
        <v>3145</v>
      </c>
      <c r="C825" s="174">
        <v>42088</v>
      </c>
      <c r="D825" s="175">
        <v>2</v>
      </c>
      <c r="E825" s="175" t="s">
        <v>93</v>
      </c>
      <c r="F825" s="176" t="s">
        <v>1914</v>
      </c>
      <c r="G825" s="175" t="s">
        <v>202</v>
      </c>
      <c r="H825" s="177">
        <v>42089</v>
      </c>
      <c r="I825" s="175" t="s">
        <v>187</v>
      </c>
      <c r="J825" s="175" t="s">
        <v>103</v>
      </c>
      <c r="K825" s="180" t="s">
        <v>3146</v>
      </c>
      <c r="L825" s="177">
        <v>42089</v>
      </c>
      <c r="M825" s="178" t="s">
        <v>1654</v>
      </c>
      <c r="N825" s="178" t="s">
        <v>185</v>
      </c>
      <c r="O825" s="177">
        <v>42089</v>
      </c>
      <c r="P825" s="179">
        <f t="shared" si="684"/>
        <v>1</v>
      </c>
      <c r="Q825" s="180" t="s">
        <v>3146</v>
      </c>
      <c r="R825" s="178" t="s">
        <v>17</v>
      </c>
      <c r="S825" s="178" t="s">
        <v>3147</v>
      </c>
      <c r="T825" s="178">
        <v>1104433808</v>
      </c>
      <c r="U825" s="181">
        <v>42089</v>
      </c>
      <c r="V825" s="178" t="s">
        <v>186</v>
      </c>
      <c r="W825" s="182">
        <f t="shared" si="685"/>
        <v>0</v>
      </c>
      <c r="X825" s="182" t="str">
        <f t="shared" si="686"/>
        <v>Correcto</v>
      </c>
    </row>
    <row r="826" spans="1:24" ht="18" customHeight="1" x14ac:dyDescent="0.25">
      <c r="A826" s="186">
        <v>817</v>
      </c>
      <c r="B826" s="173" t="s">
        <v>3148</v>
      </c>
      <c r="C826" s="174">
        <v>42088</v>
      </c>
      <c r="D826" s="175">
        <v>2</v>
      </c>
      <c r="E826" s="175" t="s">
        <v>93</v>
      </c>
      <c r="F826" s="176" t="s">
        <v>1914</v>
      </c>
      <c r="G826" s="175" t="s">
        <v>202</v>
      </c>
      <c r="H826" s="177">
        <v>42089</v>
      </c>
      <c r="I826" s="175" t="s">
        <v>187</v>
      </c>
      <c r="J826" s="175" t="s">
        <v>103</v>
      </c>
      <c r="K826" s="180" t="s">
        <v>3149</v>
      </c>
      <c r="L826" s="177">
        <v>42089</v>
      </c>
      <c r="M826" s="178" t="s">
        <v>1654</v>
      </c>
      <c r="N826" s="178" t="s">
        <v>185</v>
      </c>
      <c r="O826" s="177">
        <v>42089</v>
      </c>
      <c r="P826" s="179">
        <f t="shared" si="684"/>
        <v>1</v>
      </c>
      <c r="Q826" s="180" t="s">
        <v>3149</v>
      </c>
      <c r="R826" s="178" t="s">
        <v>17</v>
      </c>
      <c r="S826" s="178" t="s">
        <v>3150</v>
      </c>
      <c r="T826" s="178">
        <v>1103876452</v>
      </c>
      <c r="U826" s="181">
        <v>42089</v>
      </c>
      <c r="V826" s="178" t="s">
        <v>186</v>
      </c>
      <c r="W826" s="182">
        <f t="shared" si="685"/>
        <v>0</v>
      </c>
      <c r="X826" s="182" t="str">
        <f t="shared" si="686"/>
        <v>Correcto</v>
      </c>
    </row>
    <row r="827" spans="1:24" ht="18" customHeight="1" x14ac:dyDescent="0.25">
      <c r="A827" s="186">
        <v>818</v>
      </c>
      <c r="B827" s="173" t="s">
        <v>3151</v>
      </c>
      <c r="C827" s="174">
        <v>42088</v>
      </c>
      <c r="D827" s="175">
        <v>13</v>
      </c>
      <c r="E827" s="175" t="s">
        <v>93</v>
      </c>
      <c r="F827" s="176" t="s">
        <v>1914</v>
      </c>
      <c r="G827" s="175" t="s">
        <v>202</v>
      </c>
      <c r="H827" s="177">
        <v>42089</v>
      </c>
      <c r="I827" s="175" t="s">
        <v>187</v>
      </c>
      <c r="J827" s="175" t="s">
        <v>103</v>
      </c>
      <c r="K827" s="180" t="s">
        <v>3152</v>
      </c>
      <c r="L827" s="177">
        <v>42089</v>
      </c>
      <c r="M827" s="178" t="s">
        <v>1654</v>
      </c>
      <c r="N827" s="178" t="s">
        <v>185</v>
      </c>
      <c r="O827" s="177">
        <v>42089</v>
      </c>
      <c r="P827" s="179">
        <f t="shared" si="684"/>
        <v>1</v>
      </c>
      <c r="Q827" s="180" t="s">
        <v>3152</v>
      </c>
      <c r="R827" s="178" t="s">
        <v>17</v>
      </c>
      <c r="S827" s="178" t="s">
        <v>3153</v>
      </c>
      <c r="T827" s="178">
        <v>1101426714</v>
      </c>
      <c r="U827" s="181">
        <v>42089</v>
      </c>
      <c r="V827" s="178" t="s">
        <v>186</v>
      </c>
      <c r="W827" s="182">
        <f t="shared" si="685"/>
        <v>0</v>
      </c>
      <c r="X827" s="182" t="str">
        <f t="shared" si="686"/>
        <v>Correcto</v>
      </c>
    </row>
    <row r="828" spans="1:24" ht="18" customHeight="1" x14ac:dyDescent="0.25">
      <c r="A828" s="186">
        <v>819</v>
      </c>
      <c r="B828" s="173" t="s">
        <v>3154</v>
      </c>
      <c r="C828" s="174">
        <v>42088</v>
      </c>
      <c r="D828" s="175">
        <v>2</v>
      </c>
      <c r="E828" s="175" t="s">
        <v>93</v>
      </c>
      <c r="F828" s="176" t="s">
        <v>825</v>
      </c>
      <c r="G828" s="175" t="s">
        <v>202</v>
      </c>
      <c r="H828" s="177">
        <v>42093</v>
      </c>
      <c r="I828" s="175" t="s">
        <v>187</v>
      </c>
      <c r="J828" s="175" t="s">
        <v>103</v>
      </c>
      <c r="K828" s="178" t="s">
        <v>3155</v>
      </c>
      <c r="L828" s="177">
        <v>42093</v>
      </c>
      <c r="M828" s="178" t="s">
        <v>1654</v>
      </c>
      <c r="N828" s="178" t="s">
        <v>185</v>
      </c>
      <c r="O828" s="177">
        <v>42095</v>
      </c>
      <c r="P828" s="179">
        <f t="shared" si="684"/>
        <v>7</v>
      </c>
      <c r="Q828" s="180" t="s">
        <v>3156</v>
      </c>
      <c r="R828" s="178" t="s">
        <v>17</v>
      </c>
      <c r="S828" s="178" t="s">
        <v>101</v>
      </c>
      <c r="T828" s="178" t="s">
        <v>1007</v>
      </c>
      <c r="U828" s="181">
        <v>42100</v>
      </c>
      <c r="V828" s="178" t="s">
        <v>186</v>
      </c>
      <c r="W828" s="182">
        <f t="shared" si="685"/>
        <v>0</v>
      </c>
      <c r="X828" s="182" t="str">
        <f t="shared" si="686"/>
        <v>Correcto</v>
      </c>
    </row>
    <row r="829" spans="1:24" ht="18" customHeight="1" x14ac:dyDescent="0.25">
      <c r="A829" s="186">
        <v>820</v>
      </c>
      <c r="B829" s="173" t="s">
        <v>3157</v>
      </c>
      <c r="C829" s="174">
        <v>42088</v>
      </c>
      <c r="D829" s="175">
        <v>2</v>
      </c>
      <c r="E829" s="175" t="s">
        <v>93</v>
      </c>
      <c r="F829" s="176" t="s">
        <v>825</v>
      </c>
      <c r="G829" s="175" t="s">
        <v>202</v>
      </c>
      <c r="H829" s="177">
        <v>42093</v>
      </c>
      <c r="I829" s="175" t="s">
        <v>187</v>
      </c>
      <c r="J829" s="175" t="s">
        <v>103</v>
      </c>
      <c r="K829" s="178" t="s">
        <v>3158</v>
      </c>
      <c r="L829" s="177">
        <v>42093</v>
      </c>
      <c r="M829" s="178" t="s">
        <v>1654</v>
      </c>
      <c r="N829" s="178" t="s">
        <v>185</v>
      </c>
      <c r="O829" s="177">
        <v>42095</v>
      </c>
      <c r="P829" s="179">
        <f t="shared" si="684"/>
        <v>7</v>
      </c>
      <c r="Q829" s="180" t="s">
        <v>3159</v>
      </c>
      <c r="R829" s="178" t="s">
        <v>17</v>
      </c>
      <c r="S829" s="178" t="s">
        <v>101</v>
      </c>
      <c r="T829" s="178" t="s">
        <v>1007</v>
      </c>
      <c r="U829" s="181">
        <v>42100</v>
      </c>
      <c r="V829" s="178" t="s">
        <v>186</v>
      </c>
      <c r="W829" s="182">
        <f t="shared" si="685"/>
        <v>0</v>
      </c>
      <c r="X829" s="182" t="str">
        <f t="shared" si="686"/>
        <v>Correcto</v>
      </c>
    </row>
    <row r="830" spans="1:24" ht="18" customHeight="1" x14ac:dyDescent="0.25">
      <c r="A830" s="186">
        <v>821</v>
      </c>
      <c r="B830" s="173" t="s">
        <v>3160</v>
      </c>
      <c r="C830" s="174">
        <v>42088</v>
      </c>
      <c r="D830" s="175">
        <v>2</v>
      </c>
      <c r="E830" s="175" t="s">
        <v>93</v>
      </c>
      <c r="F830" s="176" t="s">
        <v>825</v>
      </c>
      <c r="G830" s="175" t="s">
        <v>202</v>
      </c>
      <c r="H830" s="177">
        <v>42090</v>
      </c>
      <c r="I830" s="175" t="s">
        <v>187</v>
      </c>
      <c r="J830" s="175" t="s">
        <v>103</v>
      </c>
      <c r="K830" s="178" t="s">
        <v>3161</v>
      </c>
      <c r="L830" s="177">
        <v>42090</v>
      </c>
      <c r="M830" s="178" t="s">
        <v>1654</v>
      </c>
      <c r="N830" s="178" t="s">
        <v>185</v>
      </c>
      <c r="O830" s="177">
        <v>42094</v>
      </c>
      <c r="P830" s="179">
        <f t="shared" si="684"/>
        <v>6</v>
      </c>
      <c r="Q830" s="180" t="s">
        <v>3162</v>
      </c>
      <c r="R830" s="178" t="s">
        <v>17</v>
      </c>
      <c r="S830" s="178" t="s">
        <v>101</v>
      </c>
      <c r="T830" s="178" t="s">
        <v>1391</v>
      </c>
      <c r="U830" s="181">
        <v>42094</v>
      </c>
      <c r="V830" s="178" t="s">
        <v>186</v>
      </c>
      <c r="W830" s="182">
        <f t="shared" si="685"/>
        <v>0</v>
      </c>
      <c r="X830" s="182" t="str">
        <f t="shared" si="686"/>
        <v>Correcto</v>
      </c>
    </row>
    <row r="831" spans="1:24" ht="18" customHeight="1" x14ac:dyDescent="0.25">
      <c r="A831" s="186">
        <v>822</v>
      </c>
      <c r="B831" s="173" t="s">
        <v>3163</v>
      </c>
      <c r="C831" s="174">
        <v>42088</v>
      </c>
      <c r="D831" s="175">
        <v>2</v>
      </c>
      <c r="E831" s="175" t="s">
        <v>93</v>
      </c>
      <c r="F831" s="176" t="s">
        <v>1914</v>
      </c>
      <c r="G831" s="175" t="s">
        <v>202</v>
      </c>
      <c r="H831" s="177">
        <v>42089</v>
      </c>
      <c r="I831" s="175" t="s">
        <v>187</v>
      </c>
      <c r="J831" s="175" t="s">
        <v>103</v>
      </c>
      <c r="K831" s="180" t="s">
        <v>3164</v>
      </c>
      <c r="L831" s="177">
        <v>42089</v>
      </c>
      <c r="M831" s="178" t="s">
        <v>1654</v>
      </c>
      <c r="N831" s="178" t="s">
        <v>185</v>
      </c>
      <c r="O831" s="177">
        <v>42089</v>
      </c>
      <c r="P831" s="179">
        <f t="shared" si="684"/>
        <v>1</v>
      </c>
      <c r="Q831" s="180" t="s">
        <v>3164</v>
      </c>
      <c r="R831" s="178" t="s">
        <v>17</v>
      </c>
      <c r="S831" s="178" t="s">
        <v>3165</v>
      </c>
      <c r="T831" s="178">
        <v>1103649800</v>
      </c>
      <c r="U831" s="181">
        <v>42089</v>
      </c>
      <c r="V831" s="178" t="s">
        <v>186</v>
      </c>
      <c r="W831" s="182">
        <f t="shared" si="685"/>
        <v>0</v>
      </c>
      <c r="X831" s="182" t="str">
        <f t="shared" si="686"/>
        <v>Correcto</v>
      </c>
    </row>
    <row r="832" spans="1:24" ht="18" customHeight="1" x14ac:dyDescent="0.25">
      <c r="A832" s="186">
        <v>823</v>
      </c>
      <c r="B832" s="173" t="s">
        <v>3166</v>
      </c>
      <c r="C832" s="174">
        <v>42088</v>
      </c>
      <c r="D832" s="175">
        <v>2</v>
      </c>
      <c r="E832" s="175" t="s">
        <v>93</v>
      </c>
      <c r="F832" s="176" t="s">
        <v>825</v>
      </c>
      <c r="G832" s="175" t="s">
        <v>202</v>
      </c>
      <c r="H832" s="177">
        <v>42093</v>
      </c>
      <c r="I832" s="175" t="s">
        <v>187</v>
      </c>
      <c r="J832" s="175" t="s">
        <v>103</v>
      </c>
      <c r="K832" s="178" t="s">
        <v>3167</v>
      </c>
      <c r="L832" s="177">
        <v>42093</v>
      </c>
      <c r="M832" s="178" t="s">
        <v>1654</v>
      </c>
      <c r="N832" s="178" t="s">
        <v>185</v>
      </c>
      <c r="O832" s="177">
        <v>42095</v>
      </c>
      <c r="P832" s="179">
        <f t="shared" si="684"/>
        <v>7</v>
      </c>
      <c r="Q832" s="180" t="s">
        <v>3168</v>
      </c>
      <c r="R832" s="178" t="s">
        <v>17</v>
      </c>
      <c r="S832" s="178" t="s">
        <v>101</v>
      </c>
      <c r="T832" s="178" t="s">
        <v>1442</v>
      </c>
      <c r="U832" s="181">
        <v>42100</v>
      </c>
      <c r="V832" s="178" t="s">
        <v>186</v>
      </c>
      <c r="W832" s="182">
        <f t="shared" si="685"/>
        <v>0</v>
      </c>
      <c r="X832" s="182" t="str">
        <f t="shared" si="686"/>
        <v>Correcto</v>
      </c>
    </row>
    <row r="833" spans="1:24" ht="18" customHeight="1" x14ac:dyDescent="0.25">
      <c r="A833" s="186">
        <v>824</v>
      </c>
      <c r="B833" s="173" t="s">
        <v>3169</v>
      </c>
      <c r="C833" s="174">
        <v>42088</v>
      </c>
      <c r="D833" s="175">
        <v>2</v>
      </c>
      <c r="E833" s="175" t="s">
        <v>93</v>
      </c>
      <c r="F833" s="176" t="s">
        <v>825</v>
      </c>
      <c r="G833" s="175" t="s">
        <v>202</v>
      </c>
      <c r="H833" s="177">
        <v>42093</v>
      </c>
      <c r="I833" s="175" t="s">
        <v>187</v>
      </c>
      <c r="J833" s="175" t="s">
        <v>103</v>
      </c>
      <c r="K833" s="178" t="s">
        <v>3170</v>
      </c>
      <c r="L833" s="177">
        <v>42093</v>
      </c>
      <c r="M833" s="178" t="s">
        <v>1654</v>
      </c>
      <c r="N833" s="178" t="s">
        <v>185</v>
      </c>
      <c r="O833" s="177">
        <v>42095</v>
      </c>
      <c r="P833" s="179">
        <f t="shared" si="684"/>
        <v>7</v>
      </c>
      <c r="Q833" s="180" t="s">
        <v>3171</v>
      </c>
      <c r="R833" s="178" t="s">
        <v>17</v>
      </c>
      <c r="S833" s="178" t="s">
        <v>101</v>
      </c>
      <c r="T833" s="178" t="s">
        <v>1017</v>
      </c>
      <c r="U833" s="181">
        <v>42100</v>
      </c>
      <c r="V833" s="178" t="s">
        <v>186</v>
      </c>
      <c r="W833" s="182">
        <f t="shared" si="685"/>
        <v>0</v>
      </c>
      <c r="X833" s="182" t="str">
        <f t="shared" si="686"/>
        <v>Correcto</v>
      </c>
    </row>
    <row r="834" spans="1:24" ht="18" customHeight="1" x14ac:dyDescent="0.25">
      <c r="A834" s="186">
        <v>825</v>
      </c>
      <c r="B834" s="173" t="s">
        <v>3172</v>
      </c>
      <c r="C834" s="174">
        <v>42088</v>
      </c>
      <c r="D834" s="175">
        <v>2</v>
      </c>
      <c r="E834" s="175" t="s">
        <v>93</v>
      </c>
      <c r="F834" s="176" t="s">
        <v>825</v>
      </c>
      <c r="G834" s="175" t="s">
        <v>202</v>
      </c>
      <c r="H834" s="177">
        <v>42093</v>
      </c>
      <c r="I834" s="175" t="s">
        <v>187</v>
      </c>
      <c r="J834" s="175" t="s">
        <v>103</v>
      </c>
      <c r="K834" s="178" t="s">
        <v>3173</v>
      </c>
      <c r="L834" s="177">
        <v>42093</v>
      </c>
      <c r="M834" s="178" t="s">
        <v>1654</v>
      </c>
      <c r="N834" s="178" t="s">
        <v>185</v>
      </c>
      <c r="O834" s="177">
        <v>42095</v>
      </c>
      <c r="P834" s="179">
        <f t="shared" si="684"/>
        <v>7</v>
      </c>
      <c r="Q834" s="180" t="s">
        <v>3174</v>
      </c>
      <c r="R834" s="178" t="s">
        <v>17</v>
      </c>
      <c r="S834" s="178" t="s">
        <v>101</v>
      </c>
      <c r="T834" s="178" t="s">
        <v>2258</v>
      </c>
      <c r="U834" s="181">
        <v>42101</v>
      </c>
      <c r="V834" s="178" t="s">
        <v>186</v>
      </c>
      <c r="W834" s="182">
        <f t="shared" si="685"/>
        <v>0</v>
      </c>
      <c r="X834" s="182" t="str">
        <f t="shared" si="686"/>
        <v>Correcto</v>
      </c>
    </row>
    <row r="835" spans="1:24" ht="18" customHeight="1" x14ac:dyDescent="0.25">
      <c r="A835" s="186">
        <v>826</v>
      </c>
      <c r="B835" s="173" t="s">
        <v>3175</v>
      </c>
      <c r="C835" s="174">
        <v>42088</v>
      </c>
      <c r="D835" s="175">
        <v>2</v>
      </c>
      <c r="E835" s="175" t="s">
        <v>93</v>
      </c>
      <c r="F835" s="176" t="s">
        <v>825</v>
      </c>
      <c r="G835" s="175" t="s">
        <v>202</v>
      </c>
      <c r="H835" s="177">
        <v>42089</v>
      </c>
      <c r="I835" s="175" t="s">
        <v>187</v>
      </c>
      <c r="J835" s="175" t="s">
        <v>103</v>
      </c>
      <c r="K835" s="178" t="s">
        <v>3176</v>
      </c>
      <c r="L835" s="177">
        <v>42089</v>
      </c>
      <c r="M835" s="178" t="s">
        <v>1654</v>
      </c>
      <c r="N835" s="178" t="s">
        <v>185</v>
      </c>
      <c r="O835" s="177">
        <v>42095</v>
      </c>
      <c r="P835" s="179">
        <f t="shared" si="684"/>
        <v>7</v>
      </c>
      <c r="Q835" s="180" t="s">
        <v>3177</v>
      </c>
      <c r="R835" s="178" t="s">
        <v>17</v>
      </c>
      <c r="S835" s="178" t="s">
        <v>101</v>
      </c>
      <c r="T835" s="178" t="s">
        <v>953</v>
      </c>
      <c r="U835" s="181">
        <v>42095</v>
      </c>
      <c r="V835" s="178" t="s">
        <v>186</v>
      </c>
      <c r="W835" s="182">
        <f t="shared" si="685"/>
        <v>0</v>
      </c>
      <c r="X835" s="182" t="str">
        <f t="shared" si="686"/>
        <v>Correcto</v>
      </c>
    </row>
    <row r="836" spans="1:24" ht="18" customHeight="1" x14ac:dyDescent="0.25">
      <c r="A836" s="186">
        <v>827</v>
      </c>
      <c r="B836" s="173" t="s">
        <v>3178</v>
      </c>
      <c r="C836" s="174">
        <v>42088</v>
      </c>
      <c r="D836" s="175">
        <v>2</v>
      </c>
      <c r="E836" s="175" t="s">
        <v>93</v>
      </c>
      <c r="F836" s="176" t="s">
        <v>825</v>
      </c>
      <c r="G836" s="175" t="s">
        <v>202</v>
      </c>
      <c r="H836" s="177">
        <v>42089</v>
      </c>
      <c r="I836" s="175" t="s">
        <v>187</v>
      </c>
      <c r="J836" s="175" t="s">
        <v>103</v>
      </c>
      <c r="K836" s="178" t="s">
        <v>3179</v>
      </c>
      <c r="L836" s="177">
        <v>42089</v>
      </c>
      <c r="M836" s="178" t="s">
        <v>1654</v>
      </c>
      <c r="N836" s="178" t="s">
        <v>185</v>
      </c>
      <c r="O836" s="177">
        <v>42095</v>
      </c>
      <c r="P836" s="179">
        <f t="shared" si="684"/>
        <v>7</v>
      </c>
      <c r="Q836" s="180" t="s">
        <v>3180</v>
      </c>
      <c r="R836" s="178" t="s">
        <v>17</v>
      </c>
      <c r="S836" s="178" t="s">
        <v>101</v>
      </c>
      <c r="T836" s="178" t="s">
        <v>953</v>
      </c>
      <c r="U836" s="181">
        <v>42095</v>
      </c>
      <c r="V836" s="178" t="s">
        <v>186</v>
      </c>
      <c r="W836" s="182">
        <f t="shared" si="685"/>
        <v>0</v>
      </c>
      <c r="X836" s="182" t="str">
        <f t="shared" si="686"/>
        <v>Correcto</v>
      </c>
    </row>
    <row r="837" spans="1:24" ht="18" customHeight="1" x14ac:dyDescent="0.25">
      <c r="A837" s="186">
        <v>828</v>
      </c>
      <c r="B837" s="173" t="s">
        <v>3181</v>
      </c>
      <c r="C837" s="174">
        <v>42088</v>
      </c>
      <c r="D837" s="175">
        <v>2</v>
      </c>
      <c r="E837" s="175" t="s">
        <v>93</v>
      </c>
      <c r="F837" s="176" t="s">
        <v>825</v>
      </c>
      <c r="G837" s="175" t="s">
        <v>202</v>
      </c>
      <c r="H837" s="177" t="s">
        <v>3182</v>
      </c>
      <c r="I837" s="175" t="s">
        <v>187</v>
      </c>
      <c r="J837" s="175" t="s">
        <v>103</v>
      </c>
      <c r="K837" s="178" t="s">
        <v>3183</v>
      </c>
      <c r="L837" s="177" t="s">
        <v>3182</v>
      </c>
      <c r="M837" s="178" t="s">
        <v>1654</v>
      </c>
      <c r="N837" s="178" t="s">
        <v>185</v>
      </c>
      <c r="O837" s="177">
        <v>42100</v>
      </c>
      <c r="P837" s="179">
        <f t="shared" si="684"/>
        <v>12</v>
      </c>
      <c r="Q837" s="180" t="s">
        <v>3184</v>
      </c>
      <c r="R837" s="178" t="s">
        <v>17</v>
      </c>
      <c r="S837" s="178" t="s">
        <v>101</v>
      </c>
      <c r="T837" s="178" t="s">
        <v>953</v>
      </c>
      <c r="U837" s="181">
        <v>42101</v>
      </c>
      <c r="V837" s="178" t="s">
        <v>186</v>
      </c>
      <c r="W837" s="182">
        <f t="shared" si="685"/>
        <v>0</v>
      </c>
      <c r="X837" s="182" t="str">
        <f t="shared" si="686"/>
        <v>Correcto</v>
      </c>
    </row>
    <row r="838" spans="1:24" ht="18" customHeight="1" x14ac:dyDescent="0.25">
      <c r="A838" s="186">
        <v>829</v>
      </c>
      <c r="B838" s="173" t="s">
        <v>3185</v>
      </c>
      <c r="C838" s="174">
        <v>42088</v>
      </c>
      <c r="D838" s="175">
        <v>2</v>
      </c>
      <c r="E838" s="175" t="s">
        <v>93</v>
      </c>
      <c r="F838" s="176" t="s">
        <v>825</v>
      </c>
      <c r="G838" s="175" t="s">
        <v>202</v>
      </c>
      <c r="H838" s="177">
        <v>42093</v>
      </c>
      <c r="I838" s="175" t="s">
        <v>187</v>
      </c>
      <c r="J838" s="175" t="s">
        <v>103</v>
      </c>
      <c r="K838" s="178" t="s">
        <v>3186</v>
      </c>
      <c r="L838" s="177">
        <v>42093</v>
      </c>
      <c r="M838" s="178" t="s">
        <v>1654</v>
      </c>
      <c r="N838" s="178" t="s">
        <v>185</v>
      </c>
      <c r="O838" s="177">
        <v>42095</v>
      </c>
      <c r="P838" s="179">
        <f t="shared" si="684"/>
        <v>7</v>
      </c>
      <c r="Q838" s="180" t="s">
        <v>3187</v>
      </c>
      <c r="R838" s="178" t="s">
        <v>17</v>
      </c>
      <c r="S838" s="178" t="s">
        <v>101</v>
      </c>
      <c r="T838" s="178" t="s">
        <v>953</v>
      </c>
      <c r="U838" s="181">
        <v>42101</v>
      </c>
      <c r="V838" s="178" t="s">
        <v>186</v>
      </c>
      <c r="W838" s="182">
        <f t="shared" si="685"/>
        <v>0</v>
      </c>
      <c r="X838" s="182" t="str">
        <f t="shared" si="686"/>
        <v>Correcto</v>
      </c>
    </row>
    <row r="839" spans="1:24" ht="18" customHeight="1" x14ac:dyDescent="0.25">
      <c r="A839" s="186">
        <v>830</v>
      </c>
      <c r="B839" s="173" t="s">
        <v>3188</v>
      </c>
      <c r="C839" s="174">
        <v>42089</v>
      </c>
      <c r="D839" s="175">
        <v>2</v>
      </c>
      <c r="E839" s="175" t="s">
        <v>93</v>
      </c>
      <c r="F839" s="176" t="s">
        <v>1914</v>
      </c>
      <c r="G839" s="175" t="s">
        <v>202</v>
      </c>
      <c r="H839" s="177">
        <v>42093</v>
      </c>
      <c r="I839" s="175" t="s">
        <v>187</v>
      </c>
      <c r="J839" s="175" t="s">
        <v>103</v>
      </c>
      <c r="K839" s="180" t="s">
        <v>3189</v>
      </c>
      <c r="L839" s="177">
        <v>42093</v>
      </c>
      <c r="M839" s="178" t="s">
        <v>1654</v>
      </c>
      <c r="N839" s="178" t="s">
        <v>185</v>
      </c>
      <c r="O839" s="177">
        <v>42093</v>
      </c>
      <c r="P839" s="179">
        <f t="shared" si="684"/>
        <v>4</v>
      </c>
      <c r="Q839" s="180" t="s">
        <v>3189</v>
      </c>
      <c r="R839" s="178" t="s">
        <v>17</v>
      </c>
      <c r="S839" s="178" t="s">
        <v>3190</v>
      </c>
      <c r="T839" s="178">
        <v>110464220</v>
      </c>
      <c r="U839" s="181">
        <v>42095</v>
      </c>
      <c r="V839" s="178" t="s">
        <v>186</v>
      </c>
      <c r="W839" s="182">
        <f t="shared" si="685"/>
        <v>0</v>
      </c>
      <c r="X839" s="182" t="str">
        <f t="shared" si="686"/>
        <v>Correcto</v>
      </c>
    </row>
    <row r="840" spans="1:24" ht="18" customHeight="1" x14ac:dyDescent="0.25">
      <c r="A840" s="186">
        <v>831</v>
      </c>
      <c r="B840" s="173" t="s">
        <v>3191</v>
      </c>
      <c r="C840" s="174">
        <v>42089</v>
      </c>
      <c r="D840" s="175">
        <v>12</v>
      </c>
      <c r="E840" s="175" t="s">
        <v>93</v>
      </c>
      <c r="F840" s="176" t="s">
        <v>825</v>
      </c>
      <c r="G840" s="175" t="s">
        <v>202</v>
      </c>
      <c r="H840" s="177">
        <v>42094</v>
      </c>
      <c r="I840" s="175" t="s">
        <v>187</v>
      </c>
      <c r="J840" s="175" t="s">
        <v>103</v>
      </c>
      <c r="K840" s="178" t="s">
        <v>3192</v>
      </c>
      <c r="L840" s="177">
        <v>42094</v>
      </c>
      <c r="M840" s="178" t="s">
        <v>1654</v>
      </c>
      <c r="N840" s="178" t="s">
        <v>185</v>
      </c>
      <c r="O840" s="177">
        <v>42100</v>
      </c>
      <c r="P840" s="179">
        <f t="shared" si="684"/>
        <v>11</v>
      </c>
      <c r="Q840" s="180" t="s">
        <v>3193</v>
      </c>
      <c r="R840" s="178" t="s">
        <v>2438</v>
      </c>
      <c r="S840" s="178" t="s">
        <v>3194</v>
      </c>
      <c r="T840" s="178">
        <v>1102591177</v>
      </c>
      <c r="U840" s="181">
        <v>42100</v>
      </c>
      <c r="V840" s="178" t="s">
        <v>186</v>
      </c>
      <c r="W840" s="182">
        <f t="shared" si="685"/>
        <v>0</v>
      </c>
      <c r="X840" s="182" t="str">
        <f t="shared" si="686"/>
        <v>Correcto</v>
      </c>
    </row>
    <row r="841" spans="1:24" ht="18" customHeight="1" x14ac:dyDescent="0.25">
      <c r="A841" s="186">
        <v>832</v>
      </c>
      <c r="B841" s="173" t="s">
        <v>3195</v>
      </c>
      <c r="C841" s="174">
        <v>42089</v>
      </c>
      <c r="D841" s="175">
        <v>12</v>
      </c>
      <c r="E841" s="175" t="s">
        <v>93</v>
      </c>
      <c r="F841" s="176" t="s">
        <v>825</v>
      </c>
      <c r="G841" s="175" t="s">
        <v>202</v>
      </c>
      <c r="H841" s="177">
        <v>42094</v>
      </c>
      <c r="I841" s="175" t="s">
        <v>187</v>
      </c>
      <c r="J841" s="175" t="s">
        <v>103</v>
      </c>
      <c r="K841" s="178" t="s">
        <v>3196</v>
      </c>
      <c r="L841" s="177">
        <v>42094</v>
      </c>
      <c r="M841" s="178" t="s">
        <v>1654</v>
      </c>
      <c r="N841" s="178" t="s">
        <v>185</v>
      </c>
      <c r="O841" s="177">
        <v>42100</v>
      </c>
      <c r="P841" s="179">
        <f t="shared" ref="P841:P904" si="687">O841-C841</f>
        <v>11</v>
      </c>
      <c r="Q841" s="180" t="s">
        <v>3197</v>
      </c>
      <c r="R841" s="178" t="s">
        <v>2438</v>
      </c>
      <c r="S841" s="178" t="s">
        <v>3194</v>
      </c>
      <c r="T841" s="178">
        <v>1102591177</v>
      </c>
      <c r="U841" s="181">
        <v>42100</v>
      </c>
      <c r="V841" s="178" t="s">
        <v>186</v>
      </c>
      <c r="W841" s="182">
        <f t="shared" ref="W841:W904" si="688">COUNTBLANK(C841:V841)</f>
        <v>0</v>
      </c>
      <c r="X841" s="182" t="str">
        <f t="shared" ref="X841:X904" si="689">IF(W841=0,"Correcto","Incorrecto")</f>
        <v>Correcto</v>
      </c>
    </row>
    <row r="842" spans="1:24" ht="18" customHeight="1" x14ac:dyDescent="0.25">
      <c r="A842" s="186">
        <v>833</v>
      </c>
      <c r="B842" s="173" t="s">
        <v>3198</v>
      </c>
      <c r="C842" s="174">
        <v>42089</v>
      </c>
      <c r="D842" s="175">
        <v>5</v>
      </c>
      <c r="E842" s="175" t="s">
        <v>93</v>
      </c>
      <c r="F842" s="176" t="s">
        <v>825</v>
      </c>
      <c r="G842" s="175" t="s">
        <v>202</v>
      </c>
      <c r="H842" s="177">
        <v>42094</v>
      </c>
      <c r="I842" s="175" t="s">
        <v>187</v>
      </c>
      <c r="J842" s="175" t="s">
        <v>103</v>
      </c>
      <c r="K842" s="178" t="s">
        <v>3199</v>
      </c>
      <c r="L842" s="177">
        <v>42094</v>
      </c>
      <c r="M842" s="178" t="s">
        <v>1654</v>
      </c>
      <c r="N842" s="178" t="s">
        <v>185</v>
      </c>
      <c r="O842" s="177">
        <v>42100</v>
      </c>
      <c r="P842" s="179">
        <f t="shared" si="687"/>
        <v>11</v>
      </c>
      <c r="Q842" s="180" t="s">
        <v>3200</v>
      </c>
      <c r="R842" s="178" t="s">
        <v>2438</v>
      </c>
      <c r="S842" s="178" t="s">
        <v>3194</v>
      </c>
      <c r="T842" s="178">
        <v>1102591177</v>
      </c>
      <c r="U842" s="181">
        <v>42100</v>
      </c>
      <c r="V842" s="178" t="s">
        <v>186</v>
      </c>
      <c r="W842" s="182">
        <f t="shared" si="688"/>
        <v>0</v>
      </c>
      <c r="X842" s="182" t="str">
        <f t="shared" si="689"/>
        <v>Correcto</v>
      </c>
    </row>
    <row r="843" spans="1:24" ht="18" customHeight="1" x14ac:dyDescent="0.25">
      <c r="A843" s="186">
        <v>834</v>
      </c>
      <c r="B843" s="173" t="s">
        <v>3201</v>
      </c>
      <c r="C843" s="174">
        <v>42089</v>
      </c>
      <c r="D843" s="175">
        <v>3</v>
      </c>
      <c r="E843" s="175" t="s">
        <v>93</v>
      </c>
      <c r="F843" s="176" t="s">
        <v>3202</v>
      </c>
      <c r="G843" s="175" t="s">
        <v>202</v>
      </c>
      <c r="H843" s="177">
        <v>42101</v>
      </c>
      <c r="I843" s="175" t="s">
        <v>187</v>
      </c>
      <c r="J843" s="175" t="s">
        <v>103</v>
      </c>
      <c r="K843" s="178" t="s">
        <v>3203</v>
      </c>
      <c r="L843" s="177">
        <v>42101</v>
      </c>
      <c r="M843" s="178" t="s">
        <v>3204</v>
      </c>
      <c r="N843" s="178" t="s">
        <v>1079</v>
      </c>
      <c r="O843" s="177">
        <v>42103</v>
      </c>
      <c r="P843" s="179">
        <f t="shared" si="687"/>
        <v>14</v>
      </c>
      <c r="Q843" s="180" t="s">
        <v>3205</v>
      </c>
      <c r="R843" s="178" t="s">
        <v>17</v>
      </c>
      <c r="S843" s="178" t="s">
        <v>101</v>
      </c>
      <c r="T843" s="178" t="s">
        <v>2258</v>
      </c>
      <c r="U843" s="181">
        <v>42104</v>
      </c>
      <c r="V843" s="178" t="s">
        <v>186</v>
      </c>
      <c r="W843" s="182">
        <f t="shared" si="688"/>
        <v>0</v>
      </c>
      <c r="X843" s="182" t="str">
        <f t="shared" si="689"/>
        <v>Correcto</v>
      </c>
    </row>
    <row r="844" spans="1:24" ht="18" customHeight="1" x14ac:dyDescent="0.25">
      <c r="A844" s="186">
        <v>835</v>
      </c>
      <c r="B844" s="173" t="s">
        <v>3206</v>
      </c>
      <c r="C844" s="174">
        <v>42089</v>
      </c>
      <c r="D844" s="175">
        <v>2</v>
      </c>
      <c r="E844" s="175" t="s">
        <v>93</v>
      </c>
      <c r="F844" s="176" t="s">
        <v>1914</v>
      </c>
      <c r="G844" s="175" t="s">
        <v>202</v>
      </c>
      <c r="H844" s="177">
        <v>42093</v>
      </c>
      <c r="I844" s="175" t="s">
        <v>187</v>
      </c>
      <c r="J844" s="175" t="s">
        <v>103</v>
      </c>
      <c r="K844" s="180" t="s">
        <v>3207</v>
      </c>
      <c r="L844" s="177">
        <v>42093</v>
      </c>
      <c r="M844" s="178" t="s">
        <v>1654</v>
      </c>
      <c r="N844" s="178" t="s">
        <v>185</v>
      </c>
      <c r="O844" s="177">
        <v>42093</v>
      </c>
      <c r="P844" s="179">
        <f t="shared" si="687"/>
        <v>4</v>
      </c>
      <c r="Q844" s="180" t="s">
        <v>3207</v>
      </c>
      <c r="R844" s="178" t="s">
        <v>17</v>
      </c>
      <c r="S844" s="178" t="s">
        <v>3208</v>
      </c>
      <c r="T844" s="178">
        <v>1104774938</v>
      </c>
      <c r="U844" s="181">
        <v>42095</v>
      </c>
      <c r="V844" s="178" t="s">
        <v>186</v>
      </c>
      <c r="W844" s="182">
        <f t="shared" si="688"/>
        <v>0</v>
      </c>
      <c r="X844" s="182" t="str">
        <f t="shared" si="689"/>
        <v>Correcto</v>
      </c>
    </row>
    <row r="845" spans="1:24" ht="18" customHeight="1" x14ac:dyDescent="0.25">
      <c r="A845" s="186">
        <v>836</v>
      </c>
      <c r="B845" s="173" t="s">
        <v>3209</v>
      </c>
      <c r="C845" s="174">
        <v>42089</v>
      </c>
      <c r="D845" s="175">
        <v>2</v>
      </c>
      <c r="E845" s="175" t="s">
        <v>93</v>
      </c>
      <c r="F845" s="176" t="s">
        <v>825</v>
      </c>
      <c r="G845" s="175" t="s">
        <v>202</v>
      </c>
      <c r="H845" s="177">
        <v>42094</v>
      </c>
      <c r="I845" s="175" t="s">
        <v>187</v>
      </c>
      <c r="J845" s="175" t="s">
        <v>103</v>
      </c>
      <c r="K845" s="178" t="s">
        <v>3210</v>
      </c>
      <c r="L845" s="177">
        <v>42094</v>
      </c>
      <c r="M845" s="178" t="s">
        <v>1654</v>
      </c>
      <c r="N845" s="178" t="s">
        <v>185</v>
      </c>
      <c r="O845" s="177">
        <v>42100</v>
      </c>
      <c r="P845" s="179">
        <f t="shared" si="687"/>
        <v>11</v>
      </c>
      <c r="Q845" s="180" t="s">
        <v>3211</v>
      </c>
      <c r="R845" s="178" t="s">
        <v>17</v>
      </c>
      <c r="S845" s="178" t="s">
        <v>101</v>
      </c>
      <c r="T845" s="178" t="s">
        <v>1163</v>
      </c>
      <c r="U845" s="181">
        <v>42100</v>
      </c>
      <c r="V845" s="178" t="s">
        <v>186</v>
      </c>
      <c r="W845" s="182">
        <f t="shared" si="688"/>
        <v>0</v>
      </c>
      <c r="X845" s="182" t="str">
        <f t="shared" si="689"/>
        <v>Correcto</v>
      </c>
    </row>
    <row r="846" spans="1:24" ht="18" customHeight="1" x14ac:dyDescent="0.25">
      <c r="A846" s="186">
        <v>837</v>
      </c>
      <c r="B846" s="173" t="s">
        <v>3212</v>
      </c>
      <c r="C846" s="174">
        <v>42089</v>
      </c>
      <c r="D846" s="175">
        <v>2</v>
      </c>
      <c r="E846" s="175" t="s">
        <v>93</v>
      </c>
      <c r="F846" s="176" t="s">
        <v>825</v>
      </c>
      <c r="G846" s="175" t="s">
        <v>202</v>
      </c>
      <c r="H846" s="177">
        <v>42094</v>
      </c>
      <c r="I846" s="175" t="s">
        <v>187</v>
      </c>
      <c r="J846" s="175" t="s">
        <v>103</v>
      </c>
      <c r="K846" s="178" t="s">
        <v>3213</v>
      </c>
      <c r="L846" s="177">
        <v>42094</v>
      </c>
      <c r="M846" s="178" t="s">
        <v>1654</v>
      </c>
      <c r="N846" s="178" t="s">
        <v>185</v>
      </c>
      <c r="O846" s="177">
        <v>42100</v>
      </c>
      <c r="P846" s="179">
        <f t="shared" si="687"/>
        <v>11</v>
      </c>
      <c r="Q846" s="180" t="s">
        <v>3214</v>
      </c>
      <c r="R846" s="178" t="s">
        <v>17</v>
      </c>
      <c r="S846" s="178" t="s">
        <v>101</v>
      </c>
      <c r="T846" s="178" t="s">
        <v>1012</v>
      </c>
      <c r="U846" s="181">
        <v>42100</v>
      </c>
      <c r="V846" s="178" t="s">
        <v>186</v>
      </c>
      <c r="W846" s="182">
        <f t="shared" si="688"/>
        <v>0</v>
      </c>
      <c r="X846" s="182" t="str">
        <f t="shared" si="689"/>
        <v>Correcto</v>
      </c>
    </row>
    <row r="847" spans="1:24" ht="18" customHeight="1" x14ac:dyDescent="0.25">
      <c r="A847" s="186">
        <v>838</v>
      </c>
      <c r="B847" s="173" t="s">
        <v>3215</v>
      </c>
      <c r="C847" s="174">
        <v>42089</v>
      </c>
      <c r="D847" s="175">
        <v>2</v>
      </c>
      <c r="E847" s="175" t="s">
        <v>93</v>
      </c>
      <c r="F847" s="176" t="s">
        <v>1914</v>
      </c>
      <c r="G847" s="175" t="s">
        <v>202</v>
      </c>
      <c r="H847" s="177">
        <v>42093</v>
      </c>
      <c r="I847" s="175" t="s">
        <v>187</v>
      </c>
      <c r="J847" s="175" t="s">
        <v>103</v>
      </c>
      <c r="K847" s="180" t="s">
        <v>3216</v>
      </c>
      <c r="L847" s="177">
        <v>42093</v>
      </c>
      <c r="M847" s="178" t="s">
        <v>1654</v>
      </c>
      <c r="N847" s="178" t="s">
        <v>185</v>
      </c>
      <c r="O847" s="177">
        <v>42093</v>
      </c>
      <c r="P847" s="179">
        <f t="shared" si="687"/>
        <v>4</v>
      </c>
      <c r="Q847" s="180" t="s">
        <v>3216</v>
      </c>
      <c r="R847" s="178" t="s">
        <v>17</v>
      </c>
      <c r="S847" s="178" t="s">
        <v>3217</v>
      </c>
      <c r="T847" s="178">
        <v>1720824927</v>
      </c>
      <c r="U847" s="181">
        <v>42093</v>
      </c>
      <c r="V847" s="178" t="s">
        <v>186</v>
      </c>
      <c r="W847" s="182">
        <f t="shared" si="688"/>
        <v>0</v>
      </c>
      <c r="X847" s="182" t="str">
        <f t="shared" si="689"/>
        <v>Correcto</v>
      </c>
    </row>
    <row r="848" spans="1:24" ht="18" customHeight="1" x14ac:dyDescent="0.25">
      <c r="A848" s="186">
        <v>839</v>
      </c>
      <c r="B848" s="173" t="s">
        <v>3218</v>
      </c>
      <c r="C848" s="174">
        <v>42090</v>
      </c>
      <c r="D848" s="175">
        <v>2</v>
      </c>
      <c r="E848" s="175" t="s">
        <v>93</v>
      </c>
      <c r="F848" s="176" t="s">
        <v>825</v>
      </c>
      <c r="G848" s="175" t="s">
        <v>202</v>
      </c>
      <c r="H848" s="177">
        <v>42094</v>
      </c>
      <c r="I848" s="175" t="s">
        <v>187</v>
      </c>
      <c r="J848" s="175" t="s">
        <v>103</v>
      </c>
      <c r="K848" s="178" t="s">
        <v>3219</v>
      </c>
      <c r="L848" s="177">
        <v>42094</v>
      </c>
      <c r="M848" s="178" t="s">
        <v>1654</v>
      </c>
      <c r="N848" s="178" t="s">
        <v>185</v>
      </c>
      <c r="O848" s="177">
        <v>42100</v>
      </c>
      <c r="P848" s="179">
        <f t="shared" si="687"/>
        <v>10</v>
      </c>
      <c r="Q848" s="180" t="s">
        <v>3220</v>
      </c>
      <c r="R848" s="178" t="s">
        <v>17</v>
      </c>
      <c r="S848" s="178" t="s">
        <v>101</v>
      </c>
      <c r="T848" s="178" t="s">
        <v>1163</v>
      </c>
      <c r="U848" s="181">
        <v>42100</v>
      </c>
      <c r="V848" s="178" t="s">
        <v>186</v>
      </c>
      <c r="W848" s="182">
        <f t="shared" si="688"/>
        <v>0</v>
      </c>
      <c r="X848" s="182" t="str">
        <f t="shared" si="689"/>
        <v>Correcto</v>
      </c>
    </row>
    <row r="849" spans="1:24" ht="18" customHeight="1" x14ac:dyDescent="0.25">
      <c r="A849" s="186">
        <v>840</v>
      </c>
      <c r="B849" s="173" t="s">
        <v>3221</v>
      </c>
      <c r="C849" s="174">
        <v>42093</v>
      </c>
      <c r="D849" s="175">
        <v>2</v>
      </c>
      <c r="E849" s="175" t="s">
        <v>93</v>
      </c>
      <c r="F849" s="176" t="s">
        <v>825</v>
      </c>
      <c r="G849" s="175" t="s">
        <v>202</v>
      </c>
      <c r="H849" s="177">
        <v>42094</v>
      </c>
      <c r="I849" s="175" t="s">
        <v>187</v>
      </c>
      <c r="J849" s="175" t="s">
        <v>103</v>
      </c>
      <c r="K849" s="178" t="s">
        <v>3222</v>
      </c>
      <c r="L849" s="177">
        <v>42094</v>
      </c>
      <c r="M849" s="178" t="s">
        <v>1654</v>
      </c>
      <c r="N849" s="178" t="s">
        <v>185</v>
      </c>
      <c r="O849" s="177">
        <v>42100</v>
      </c>
      <c r="P849" s="179">
        <f t="shared" si="687"/>
        <v>7</v>
      </c>
      <c r="Q849" s="180" t="s">
        <v>3223</v>
      </c>
      <c r="R849" s="178" t="s">
        <v>605</v>
      </c>
      <c r="S849" s="178" t="s">
        <v>101</v>
      </c>
      <c r="T849" s="178" t="s">
        <v>3224</v>
      </c>
      <c r="U849" s="181">
        <v>42101</v>
      </c>
      <c r="V849" s="178" t="s">
        <v>186</v>
      </c>
      <c r="W849" s="182">
        <f t="shared" si="688"/>
        <v>0</v>
      </c>
      <c r="X849" s="182" t="str">
        <f t="shared" si="689"/>
        <v>Correcto</v>
      </c>
    </row>
    <row r="850" spans="1:24" ht="18" customHeight="1" x14ac:dyDescent="0.25">
      <c r="A850" s="186">
        <v>841</v>
      </c>
      <c r="B850" s="173" t="s">
        <v>3225</v>
      </c>
      <c r="C850" s="174">
        <v>42093</v>
      </c>
      <c r="D850" s="175">
        <v>2</v>
      </c>
      <c r="E850" s="175" t="s">
        <v>93</v>
      </c>
      <c r="F850" s="176" t="s">
        <v>825</v>
      </c>
      <c r="G850" s="175" t="s">
        <v>202</v>
      </c>
      <c r="H850" s="177">
        <v>42094</v>
      </c>
      <c r="I850" s="175" t="s">
        <v>187</v>
      </c>
      <c r="J850" s="175" t="s">
        <v>103</v>
      </c>
      <c r="K850" s="178" t="s">
        <v>3226</v>
      </c>
      <c r="L850" s="177">
        <v>42094</v>
      </c>
      <c r="M850" s="178" t="s">
        <v>1654</v>
      </c>
      <c r="N850" s="178" t="s">
        <v>185</v>
      </c>
      <c r="O850" s="177">
        <v>42101</v>
      </c>
      <c r="P850" s="179">
        <f t="shared" si="687"/>
        <v>8</v>
      </c>
      <c r="Q850" s="180" t="s">
        <v>3227</v>
      </c>
      <c r="R850" s="178" t="s">
        <v>17</v>
      </c>
      <c r="S850" s="178" t="s">
        <v>101</v>
      </c>
      <c r="T850" s="178" t="s">
        <v>3228</v>
      </c>
      <c r="U850" s="181">
        <v>42101</v>
      </c>
      <c r="V850" s="178" t="s">
        <v>186</v>
      </c>
      <c r="W850" s="182">
        <f t="shared" si="688"/>
        <v>0</v>
      </c>
      <c r="X850" s="182" t="str">
        <f t="shared" si="689"/>
        <v>Correcto</v>
      </c>
    </row>
    <row r="851" spans="1:24" ht="18" customHeight="1" x14ac:dyDescent="0.25">
      <c r="A851" s="186">
        <v>842</v>
      </c>
      <c r="B851" s="173" t="s">
        <v>3229</v>
      </c>
      <c r="C851" s="174">
        <v>42093</v>
      </c>
      <c r="D851" s="175">
        <v>2</v>
      </c>
      <c r="E851" s="175" t="s">
        <v>93</v>
      </c>
      <c r="F851" s="176" t="s">
        <v>1914</v>
      </c>
      <c r="G851" s="175" t="s">
        <v>202</v>
      </c>
      <c r="H851" s="177">
        <v>42093</v>
      </c>
      <c r="I851" s="175" t="s">
        <v>187</v>
      </c>
      <c r="J851" s="175" t="s">
        <v>103</v>
      </c>
      <c r="K851" s="180" t="s">
        <v>3230</v>
      </c>
      <c r="L851" s="177">
        <v>42093</v>
      </c>
      <c r="M851" s="178" t="s">
        <v>1654</v>
      </c>
      <c r="N851" s="178" t="s">
        <v>185</v>
      </c>
      <c r="O851" s="177">
        <v>42093</v>
      </c>
      <c r="P851" s="179">
        <f t="shared" si="687"/>
        <v>0</v>
      </c>
      <c r="Q851" s="180" t="s">
        <v>3230</v>
      </c>
      <c r="R851" s="178" t="s">
        <v>17</v>
      </c>
      <c r="S851" s="178" t="s">
        <v>3231</v>
      </c>
      <c r="T851" s="178">
        <v>1104450562</v>
      </c>
      <c r="U851" s="181">
        <v>42095</v>
      </c>
      <c r="V851" s="178" t="s">
        <v>186</v>
      </c>
      <c r="W851" s="182">
        <f t="shared" si="688"/>
        <v>0</v>
      </c>
      <c r="X851" s="182" t="str">
        <f t="shared" si="689"/>
        <v>Correcto</v>
      </c>
    </row>
    <row r="852" spans="1:24" ht="18" customHeight="1" x14ac:dyDescent="0.25">
      <c r="A852" s="186">
        <v>843</v>
      </c>
      <c r="B852" s="173" t="s">
        <v>3232</v>
      </c>
      <c r="C852" s="174">
        <v>42093</v>
      </c>
      <c r="D852" s="175">
        <v>2</v>
      </c>
      <c r="E852" s="175" t="s">
        <v>93</v>
      </c>
      <c r="F852" s="176" t="s">
        <v>825</v>
      </c>
      <c r="G852" s="175" t="s">
        <v>202</v>
      </c>
      <c r="H852" s="177">
        <v>42094</v>
      </c>
      <c r="I852" s="175" t="s">
        <v>187</v>
      </c>
      <c r="J852" s="175" t="s">
        <v>103</v>
      </c>
      <c r="K852" s="178" t="s">
        <v>3233</v>
      </c>
      <c r="L852" s="177">
        <v>42094</v>
      </c>
      <c r="M852" s="178" t="s">
        <v>1654</v>
      </c>
      <c r="N852" s="178" t="s">
        <v>185</v>
      </c>
      <c r="O852" s="177">
        <v>42100</v>
      </c>
      <c r="P852" s="179">
        <f t="shared" si="687"/>
        <v>7</v>
      </c>
      <c r="Q852" s="180" t="s">
        <v>3234</v>
      </c>
      <c r="R852" s="178" t="s">
        <v>17</v>
      </c>
      <c r="S852" s="178" t="s">
        <v>101</v>
      </c>
      <c r="T852" s="178" t="s">
        <v>1339</v>
      </c>
      <c r="U852" s="181">
        <v>42100</v>
      </c>
      <c r="V852" s="178" t="s">
        <v>186</v>
      </c>
      <c r="W852" s="182">
        <f t="shared" si="688"/>
        <v>0</v>
      </c>
      <c r="X852" s="182" t="str">
        <f t="shared" si="689"/>
        <v>Correcto</v>
      </c>
    </row>
    <row r="853" spans="1:24" ht="18" customHeight="1" x14ac:dyDescent="0.25">
      <c r="A853" s="186">
        <v>844</v>
      </c>
      <c r="B853" s="173" t="s">
        <v>3235</v>
      </c>
      <c r="C853" s="174">
        <v>42093</v>
      </c>
      <c r="D853" s="175">
        <v>2</v>
      </c>
      <c r="E853" s="175" t="s">
        <v>93</v>
      </c>
      <c r="F853" s="176" t="s">
        <v>825</v>
      </c>
      <c r="G853" s="175" t="s">
        <v>202</v>
      </c>
      <c r="H853" s="177">
        <v>42100</v>
      </c>
      <c r="I853" s="175" t="s">
        <v>187</v>
      </c>
      <c r="J853" s="175" t="s">
        <v>103</v>
      </c>
      <c r="K853" s="178" t="s">
        <v>3236</v>
      </c>
      <c r="L853" s="177">
        <v>42100</v>
      </c>
      <c r="M853" s="178" t="s">
        <v>1654</v>
      </c>
      <c r="N853" s="178" t="s">
        <v>185</v>
      </c>
      <c r="O853" s="177">
        <v>42101</v>
      </c>
      <c r="P853" s="179">
        <f t="shared" si="687"/>
        <v>8</v>
      </c>
      <c r="Q853" s="180" t="s">
        <v>3237</v>
      </c>
      <c r="R853" s="178" t="s">
        <v>17</v>
      </c>
      <c r="S853" s="178" t="s">
        <v>101</v>
      </c>
      <c r="T853" s="178" t="s">
        <v>3238</v>
      </c>
      <c r="U853" s="181">
        <v>42103</v>
      </c>
      <c r="V853" s="178" t="s">
        <v>186</v>
      </c>
      <c r="W853" s="182">
        <f t="shared" si="688"/>
        <v>0</v>
      </c>
      <c r="X853" s="182" t="str">
        <f t="shared" si="689"/>
        <v>Correcto</v>
      </c>
    </row>
    <row r="854" spans="1:24" ht="18" customHeight="1" x14ac:dyDescent="0.25">
      <c r="A854" s="186">
        <v>845</v>
      </c>
      <c r="B854" s="173" t="s">
        <v>3239</v>
      </c>
      <c r="C854" s="174">
        <v>42093</v>
      </c>
      <c r="D854" s="175">
        <v>2</v>
      </c>
      <c r="E854" s="175" t="s">
        <v>93</v>
      </c>
      <c r="F854" s="176" t="s">
        <v>825</v>
      </c>
      <c r="G854" s="175" t="s">
        <v>202</v>
      </c>
      <c r="H854" s="177">
        <v>42094</v>
      </c>
      <c r="I854" s="175" t="s">
        <v>187</v>
      </c>
      <c r="J854" s="175" t="s">
        <v>103</v>
      </c>
      <c r="K854" s="178" t="s">
        <v>3240</v>
      </c>
      <c r="L854" s="177">
        <v>42094</v>
      </c>
      <c r="M854" s="178" t="s">
        <v>1654</v>
      </c>
      <c r="N854" s="178" t="s">
        <v>185</v>
      </c>
      <c r="O854" s="177">
        <v>42100</v>
      </c>
      <c r="P854" s="179">
        <f t="shared" si="687"/>
        <v>7</v>
      </c>
      <c r="Q854" s="180" t="s">
        <v>3241</v>
      </c>
      <c r="R854" s="178" t="s">
        <v>17</v>
      </c>
      <c r="S854" s="178" t="s">
        <v>101</v>
      </c>
      <c r="T854" s="178" t="s">
        <v>953</v>
      </c>
      <c r="U854" s="181">
        <v>42101</v>
      </c>
      <c r="V854" s="178" t="s">
        <v>186</v>
      </c>
      <c r="W854" s="182">
        <f t="shared" si="688"/>
        <v>0</v>
      </c>
      <c r="X854" s="182" t="str">
        <f t="shared" si="689"/>
        <v>Correcto</v>
      </c>
    </row>
    <row r="855" spans="1:24" ht="18" customHeight="1" x14ac:dyDescent="0.25">
      <c r="A855" s="186">
        <v>846</v>
      </c>
      <c r="B855" s="173" t="s">
        <v>3242</v>
      </c>
      <c r="C855" s="174">
        <v>42093</v>
      </c>
      <c r="D855" s="175">
        <v>2</v>
      </c>
      <c r="E855" s="175" t="s">
        <v>93</v>
      </c>
      <c r="F855" s="176" t="s">
        <v>825</v>
      </c>
      <c r="G855" s="175" t="s">
        <v>202</v>
      </c>
      <c r="H855" s="177">
        <v>42100</v>
      </c>
      <c r="I855" s="175" t="s">
        <v>187</v>
      </c>
      <c r="J855" s="175" t="s">
        <v>103</v>
      </c>
      <c r="K855" s="178" t="s">
        <v>3243</v>
      </c>
      <c r="L855" s="177">
        <v>42100</v>
      </c>
      <c r="M855" s="178" t="s">
        <v>1654</v>
      </c>
      <c r="N855" s="178" t="s">
        <v>185</v>
      </c>
      <c r="O855" s="177">
        <v>42101</v>
      </c>
      <c r="P855" s="179">
        <f t="shared" si="687"/>
        <v>8</v>
      </c>
      <c r="Q855" s="180" t="s">
        <v>3244</v>
      </c>
      <c r="R855" s="178" t="s">
        <v>17</v>
      </c>
      <c r="S855" s="178" t="s">
        <v>101</v>
      </c>
      <c r="T855" s="178" t="s">
        <v>1024</v>
      </c>
      <c r="U855" s="181">
        <v>42103</v>
      </c>
      <c r="V855" s="178" t="s">
        <v>186</v>
      </c>
      <c r="W855" s="182">
        <f t="shared" si="688"/>
        <v>0</v>
      </c>
      <c r="X855" s="182" t="str">
        <f t="shared" si="689"/>
        <v>Correcto</v>
      </c>
    </row>
    <row r="856" spans="1:24" ht="18" customHeight="1" x14ac:dyDescent="0.25">
      <c r="A856" s="186">
        <v>847</v>
      </c>
      <c r="B856" s="173" t="s">
        <v>3245</v>
      </c>
      <c r="C856" s="174">
        <v>42093</v>
      </c>
      <c r="D856" s="175">
        <v>2</v>
      </c>
      <c r="E856" s="175" t="s">
        <v>93</v>
      </c>
      <c r="F856" s="176" t="s">
        <v>1914</v>
      </c>
      <c r="G856" s="175" t="s">
        <v>202</v>
      </c>
      <c r="H856" s="177">
        <v>42093</v>
      </c>
      <c r="I856" s="175" t="s">
        <v>187</v>
      </c>
      <c r="J856" s="175" t="s">
        <v>103</v>
      </c>
      <c r="K856" s="180" t="s">
        <v>3246</v>
      </c>
      <c r="L856" s="177">
        <v>42093</v>
      </c>
      <c r="M856" s="178" t="s">
        <v>1654</v>
      </c>
      <c r="N856" s="178" t="s">
        <v>185</v>
      </c>
      <c r="O856" s="177">
        <v>42093</v>
      </c>
      <c r="P856" s="179">
        <f t="shared" si="687"/>
        <v>0</v>
      </c>
      <c r="Q856" s="180" t="s">
        <v>3246</v>
      </c>
      <c r="R856" s="178" t="s">
        <v>17</v>
      </c>
      <c r="S856" s="178" t="s">
        <v>3247</v>
      </c>
      <c r="T856" s="178">
        <v>1102118674</v>
      </c>
      <c r="U856" s="181">
        <v>42095</v>
      </c>
      <c r="V856" s="178" t="s">
        <v>186</v>
      </c>
      <c r="W856" s="182">
        <f t="shared" si="688"/>
        <v>0</v>
      </c>
      <c r="X856" s="182" t="str">
        <f t="shared" si="689"/>
        <v>Correcto</v>
      </c>
    </row>
    <row r="857" spans="1:24" ht="18" customHeight="1" x14ac:dyDescent="0.25">
      <c r="A857" s="193">
        <v>848</v>
      </c>
      <c r="B857" s="187" t="s">
        <v>3248</v>
      </c>
      <c r="C857" s="188">
        <v>42095</v>
      </c>
      <c r="D857" s="194">
        <v>44</v>
      </c>
      <c r="E857" s="189" t="s">
        <v>93</v>
      </c>
      <c r="F857" s="187" t="s">
        <v>1654</v>
      </c>
      <c r="G857" s="189" t="s">
        <v>202</v>
      </c>
      <c r="H857" s="188">
        <v>42102</v>
      </c>
      <c r="I857" s="189" t="s">
        <v>187</v>
      </c>
      <c r="J857" s="189" t="s">
        <v>103</v>
      </c>
      <c r="K857" s="187" t="s">
        <v>3249</v>
      </c>
      <c r="L857" s="188">
        <v>42102</v>
      </c>
      <c r="M857" s="187" t="s">
        <v>1914</v>
      </c>
      <c r="N857" s="190" t="s">
        <v>185</v>
      </c>
      <c r="O857" s="188">
        <v>42102</v>
      </c>
      <c r="P857" s="191">
        <f t="shared" si="687"/>
        <v>7</v>
      </c>
      <c r="Q857" s="187" t="s">
        <v>3249</v>
      </c>
      <c r="R857" s="190" t="s">
        <v>17</v>
      </c>
      <c r="S857" s="187" t="s">
        <v>3250</v>
      </c>
      <c r="T857" s="190">
        <v>1104838925</v>
      </c>
      <c r="U857" s="195">
        <v>42132</v>
      </c>
      <c r="V857" s="190" t="s">
        <v>186</v>
      </c>
      <c r="W857" s="192">
        <f t="shared" si="688"/>
        <v>0</v>
      </c>
      <c r="X857" s="192" t="str">
        <f t="shared" si="689"/>
        <v>Correcto</v>
      </c>
    </row>
    <row r="858" spans="1:24" ht="18" customHeight="1" x14ac:dyDescent="0.25">
      <c r="A858" s="193">
        <v>849</v>
      </c>
      <c r="B858" s="187" t="s">
        <v>3251</v>
      </c>
      <c r="C858" s="188">
        <v>42095</v>
      </c>
      <c r="D858" s="194">
        <v>2</v>
      </c>
      <c r="E858" s="189" t="s">
        <v>93</v>
      </c>
      <c r="F858" s="187" t="s">
        <v>1654</v>
      </c>
      <c r="G858" s="189" t="s">
        <v>202</v>
      </c>
      <c r="H858" s="188">
        <v>42095</v>
      </c>
      <c r="I858" s="189" t="s">
        <v>187</v>
      </c>
      <c r="J858" s="189" t="s">
        <v>103</v>
      </c>
      <c r="K858" s="187" t="s">
        <v>3252</v>
      </c>
      <c r="L858" s="188">
        <v>42095</v>
      </c>
      <c r="M858" s="187" t="s">
        <v>1914</v>
      </c>
      <c r="N858" s="190" t="s">
        <v>185</v>
      </c>
      <c r="O858" s="188">
        <v>42095</v>
      </c>
      <c r="P858" s="191">
        <f t="shared" si="687"/>
        <v>0</v>
      </c>
      <c r="Q858" s="187" t="s">
        <v>3252</v>
      </c>
      <c r="R858" s="190" t="s">
        <v>17</v>
      </c>
      <c r="S858" s="187" t="s">
        <v>3253</v>
      </c>
      <c r="T858" s="190">
        <v>1105964710</v>
      </c>
      <c r="U858" s="195">
        <v>42095</v>
      </c>
      <c r="V858" s="190" t="s">
        <v>186</v>
      </c>
      <c r="W858" s="192">
        <f t="shared" si="688"/>
        <v>0</v>
      </c>
      <c r="X858" s="192" t="str">
        <f t="shared" si="689"/>
        <v>Correcto</v>
      </c>
    </row>
    <row r="859" spans="1:24" ht="18" customHeight="1" x14ac:dyDescent="0.25">
      <c r="A859" s="193">
        <v>850</v>
      </c>
      <c r="B859" s="187" t="s">
        <v>3254</v>
      </c>
      <c r="C859" s="188">
        <v>42095</v>
      </c>
      <c r="D859" s="194">
        <v>13</v>
      </c>
      <c r="E859" s="189" t="s">
        <v>93</v>
      </c>
      <c r="F859" s="187" t="s">
        <v>1654</v>
      </c>
      <c r="G859" s="189" t="s">
        <v>202</v>
      </c>
      <c r="H859" s="188">
        <v>42100</v>
      </c>
      <c r="I859" s="189" t="s">
        <v>187</v>
      </c>
      <c r="J859" s="189" t="s">
        <v>103</v>
      </c>
      <c r="K859" s="187" t="s">
        <v>3255</v>
      </c>
      <c r="L859" s="188">
        <v>42100</v>
      </c>
      <c r="M859" s="187" t="s">
        <v>1914</v>
      </c>
      <c r="N859" s="190" t="s">
        <v>185</v>
      </c>
      <c r="O859" s="188">
        <v>42100</v>
      </c>
      <c r="P859" s="191">
        <f t="shared" si="687"/>
        <v>5</v>
      </c>
      <c r="Q859" s="187" t="s">
        <v>3255</v>
      </c>
      <c r="R859" s="190" t="s">
        <v>17</v>
      </c>
      <c r="S859" s="187" t="s">
        <v>3256</v>
      </c>
      <c r="T859" s="190">
        <v>1104175300</v>
      </c>
      <c r="U859" s="195">
        <v>42101</v>
      </c>
      <c r="V859" s="190" t="s">
        <v>186</v>
      </c>
      <c r="W859" s="192">
        <f t="shared" si="688"/>
        <v>0</v>
      </c>
      <c r="X859" s="192" t="str">
        <f t="shared" si="689"/>
        <v>Correcto</v>
      </c>
    </row>
    <row r="860" spans="1:24" ht="18" customHeight="1" x14ac:dyDescent="0.25">
      <c r="A860" s="193">
        <v>851</v>
      </c>
      <c r="B860" s="187" t="s">
        <v>3257</v>
      </c>
      <c r="C860" s="188">
        <v>42095</v>
      </c>
      <c r="D860" s="194">
        <v>3</v>
      </c>
      <c r="E860" s="189" t="s">
        <v>93</v>
      </c>
      <c r="F860" s="187" t="s">
        <v>1654</v>
      </c>
      <c r="G860" s="189" t="s">
        <v>202</v>
      </c>
      <c r="H860" s="188">
        <v>42100</v>
      </c>
      <c r="I860" s="189" t="s">
        <v>187</v>
      </c>
      <c r="J860" s="189" t="s">
        <v>103</v>
      </c>
      <c r="K860" s="187" t="s">
        <v>3258</v>
      </c>
      <c r="L860" s="188">
        <v>42100</v>
      </c>
      <c r="M860" s="187" t="s">
        <v>1914</v>
      </c>
      <c r="N860" s="190" t="s">
        <v>185</v>
      </c>
      <c r="O860" s="188">
        <v>42100</v>
      </c>
      <c r="P860" s="191">
        <f t="shared" si="687"/>
        <v>5</v>
      </c>
      <c r="Q860" s="187" t="s">
        <v>3258</v>
      </c>
      <c r="R860" s="190" t="s">
        <v>17</v>
      </c>
      <c r="S860" s="187" t="s">
        <v>3259</v>
      </c>
      <c r="T860" s="190">
        <v>1102534870</v>
      </c>
      <c r="U860" s="195">
        <v>42101</v>
      </c>
      <c r="V860" s="190" t="s">
        <v>186</v>
      </c>
      <c r="W860" s="192">
        <f t="shared" si="688"/>
        <v>0</v>
      </c>
      <c r="X860" s="192" t="str">
        <f t="shared" si="689"/>
        <v>Correcto</v>
      </c>
    </row>
    <row r="861" spans="1:24" ht="18" customHeight="1" x14ac:dyDescent="0.25">
      <c r="A861" s="193">
        <v>852</v>
      </c>
      <c r="B861" s="187" t="s">
        <v>3260</v>
      </c>
      <c r="C861" s="188">
        <v>42095</v>
      </c>
      <c r="D861" s="194">
        <v>2</v>
      </c>
      <c r="E861" s="189" t="s">
        <v>93</v>
      </c>
      <c r="F861" s="187" t="s">
        <v>1654</v>
      </c>
      <c r="G861" s="189" t="s">
        <v>202</v>
      </c>
      <c r="H861" s="188">
        <v>42095</v>
      </c>
      <c r="I861" s="189" t="s">
        <v>187</v>
      </c>
      <c r="J861" s="189" t="s">
        <v>103</v>
      </c>
      <c r="K861" s="187" t="s">
        <v>3261</v>
      </c>
      <c r="L861" s="188">
        <v>42095</v>
      </c>
      <c r="M861" s="187" t="s">
        <v>1914</v>
      </c>
      <c r="N861" s="190" t="s">
        <v>185</v>
      </c>
      <c r="O861" s="188">
        <v>42095</v>
      </c>
      <c r="P861" s="191">
        <f t="shared" si="687"/>
        <v>0</v>
      </c>
      <c r="Q861" s="187" t="s">
        <v>3261</v>
      </c>
      <c r="R861" s="190" t="s">
        <v>17</v>
      </c>
      <c r="S861" s="187" t="s">
        <v>3262</v>
      </c>
      <c r="T861" s="190">
        <v>1104886468</v>
      </c>
      <c r="U861" s="195">
        <v>42098</v>
      </c>
      <c r="V861" s="190" t="s">
        <v>186</v>
      </c>
      <c r="W861" s="192">
        <f t="shared" si="688"/>
        <v>0</v>
      </c>
      <c r="X861" s="192" t="str">
        <f t="shared" si="689"/>
        <v>Correcto</v>
      </c>
    </row>
    <row r="862" spans="1:24" ht="18" customHeight="1" x14ac:dyDescent="0.25">
      <c r="A862" s="193">
        <v>853</v>
      </c>
      <c r="B862" s="187" t="s">
        <v>3263</v>
      </c>
      <c r="C862" s="188">
        <v>42095</v>
      </c>
      <c r="D862" s="194">
        <v>6</v>
      </c>
      <c r="E862" s="189" t="s">
        <v>93</v>
      </c>
      <c r="F862" s="187" t="s">
        <v>1654</v>
      </c>
      <c r="G862" s="189" t="s">
        <v>202</v>
      </c>
      <c r="H862" s="188">
        <v>42100</v>
      </c>
      <c r="I862" s="189" t="s">
        <v>187</v>
      </c>
      <c r="J862" s="189" t="s">
        <v>103</v>
      </c>
      <c r="K862" s="187" t="s">
        <v>3264</v>
      </c>
      <c r="L862" s="188">
        <v>42100</v>
      </c>
      <c r="M862" s="187" t="s">
        <v>1914</v>
      </c>
      <c r="N862" s="190" t="s">
        <v>185</v>
      </c>
      <c r="O862" s="188">
        <v>42100</v>
      </c>
      <c r="P862" s="191">
        <f t="shared" si="687"/>
        <v>5</v>
      </c>
      <c r="Q862" s="187" t="s">
        <v>3264</v>
      </c>
      <c r="R862" s="190" t="s">
        <v>17</v>
      </c>
      <c r="S862" s="187" t="s">
        <v>3265</v>
      </c>
      <c r="T862" s="190">
        <v>1721682340</v>
      </c>
      <c r="U862" s="195">
        <v>42101</v>
      </c>
      <c r="V862" s="190" t="s">
        <v>186</v>
      </c>
      <c r="W862" s="192">
        <f t="shared" si="688"/>
        <v>0</v>
      </c>
      <c r="X862" s="192" t="str">
        <f t="shared" si="689"/>
        <v>Correcto</v>
      </c>
    </row>
    <row r="863" spans="1:24" ht="18" customHeight="1" x14ac:dyDescent="0.25">
      <c r="A863" s="193">
        <v>854</v>
      </c>
      <c r="B863" s="187" t="s">
        <v>3266</v>
      </c>
      <c r="C863" s="188">
        <v>42095</v>
      </c>
      <c r="D863" s="194">
        <v>2</v>
      </c>
      <c r="E863" s="189" t="s">
        <v>93</v>
      </c>
      <c r="F863" s="187" t="s">
        <v>1654</v>
      </c>
      <c r="G863" s="189" t="s">
        <v>202</v>
      </c>
      <c r="H863" s="188">
        <v>42095</v>
      </c>
      <c r="I863" s="189" t="s">
        <v>187</v>
      </c>
      <c r="J863" s="189" t="s">
        <v>103</v>
      </c>
      <c r="K863" s="187" t="s">
        <v>3267</v>
      </c>
      <c r="L863" s="188">
        <v>42095</v>
      </c>
      <c r="M863" s="187" t="s">
        <v>1914</v>
      </c>
      <c r="N863" s="190" t="s">
        <v>185</v>
      </c>
      <c r="O863" s="188">
        <v>42095</v>
      </c>
      <c r="P863" s="191">
        <f t="shared" si="687"/>
        <v>0</v>
      </c>
      <c r="Q863" s="187" t="s">
        <v>3267</v>
      </c>
      <c r="R863" s="190" t="s">
        <v>17</v>
      </c>
      <c r="S863" s="187" t="s">
        <v>3268</v>
      </c>
      <c r="T863" s="190">
        <v>1103123467</v>
      </c>
      <c r="U863" s="195">
        <v>42098</v>
      </c>
      <c r="V863" s="190" t="s">
        <v>186</v>
      </c>
      <c r="W863" s="192">
        <f t="shared" si="688"/>
        <v>0</v>
      </c>
      <c r="X863" s="192" t="str">
        <f t="shared" si="689"/>
        <v>Correcto</v>
      </c>
    </row>
    <row r="864" spans="1:24" ht="18" customHeight="1" x14ac:dyDescent="0.25">
      <c r="A864" s="193">
        <v>855</v>
      </c>
      <c r="B864" s="187" t="s">
        <v>3269</v>
      </c>
      <c r="C864" s="188">
        <v>42095</v>
      </c>
      <c r="D864" s="194">
        <v>9</v>
      </c>
      <c r="E864" s="189" t="s">
        <v>93</v>
      </c>
      <c r="F864" s="187" t="s">
        <v>1654</v>
      </c>
      <c r="G864" s="189" t="s">
        <v>202</v>
      </c>
      <c r="H864" s="188">
        <v>42100</v>
      </c>
      <c r="I864" s="189" t="s">
        <v>187</v>
      </c>
      <c r="J864" s="189" t="s">
        <v>103</v>
      </c>
      <c r="K864" s="187" t="s">
        <v>3270</v>
      </c>
      <c r="L864" s="188">
        <v>42100</v>
      </c>
      <c r="M864" s="187" t="s">
        <v>1914</v>
      </c>
      <c r="N864" s="190" t="s">
        <v>185</v>
      </c>
      <c r="O864" s="188">
        <v>42100</v>
      </c>
      <c r="P864" s="191">
        <f t="shared" si="687"/>
        <v>5</v>
      </c>
      <c r="Q864" s="187" t="s">
        <v>3270</v>
      </c>
      <c r="R864" s="190" t="s">
        <v>17</v>
      </c>
      <c r="S864" s="187" t="s">
        <v>3271</v>
      </c>
      <c r="T864" s="190">
        <v>704016062</v>
      </c>
      <c r="U864" s="195">
        <v>42101</v>
      </c>
      <c r="V864" s="190" t="s">
        <v>186</v>
      </c>
      <c r="W864" s="192">
        <f t="shared" si="688"/>
        <v>0</v>
      </c>
      <c r="X864" s="192" t="str">
        <f t="shared" si="689"/>
        <v>Correcto</v>
      </c>
    </row>
    <row r="865" spans="1:24" ht="18" customHeight="1" x14ac:dyDescent="0.25">
      <c r="A865" s="193">
        <v>856</v>
      </c>
      <c r="B865" s="187" t="s">
        <v>3272</v>
      </c>
      <c r="C865" s="188">
        <v>42095</v>
      </c>
      <c r="D865" s="194">
        <v>2</v>
      </c>
      <c r="E865" s="189" t="s">
        <v>93</v>
      </c>
      <c r="F865" s="187" t="s">
        <v>825</v>
      </c>
      <c r="G865" s="189" t="s">
        <v>202</v>
      </c>
      <c r="H865" s="188">
        <v>42101</v>
      </c>
      <c r="I865" s="189" t="s">
        <v>187</v>
      </c>
      <c r="J865" s="189" t="s">
        <v>103</v>
      </c>
      <c r="K865" s="187" t="s">
        <v>3273</v>
      </c>
      <c r="L865" s="188">
        <v>42101</v>
      </c>
      <c r="M865" s="187" t="s">
        <v>1914</v>
      </c>
      <c r="N865" s="190" t="s">
        <v>185</v>
      </c>
      <c r="O865" s="188">
        <v>42102</v>
      </c>
      <c r="P865" s="191">
        <f t="shared" si="687"/>
        <v>7</v>
      </c>
      <c r="Q865" s="187" t="s">
        <v>3274</v>
      </c>
      <c r="R865" s="190" t="s">
        <v>17</v>
      </c>
      <c r="S865" s="187" t="s">
        <v>101</v>
      </c>
      <c r="T865" s="187" t="s">
        <v>953</v>
      </c>
      <c r="U865" s="195">
        <v>42103</v>
      </c>
      <c r="V865" s="190" t="s">
        <v>186</v>
      </c>
      <c r="W865" s="192">
        <f t="shared" si="688"/>
        <v>0</v>
      </c>
      <c r="X865" s="192" t="str">
        <f t="shared" si="689"/>
        <v>Correcto</v>
      </c>
    </row>
    <row r="866" spans="1:24" ht="18" customHeight="1" x14ac:dyDescent="0.25">
      <c r="A866" s="193">
        <v>857</v>
      </c>
      <c r="B866" s="187" t="s">
        <v>3275</v>
      </c>
      <c r="C866" s="188">
        <v>42095</v>
      </c>
      <c r="D866" s="194">
        <v>2</v>
      </c>
      <c r="E866" s="189" t="s">
        <v>93</v>
      </c>
      <c r="F866" s="187" t="s">
        <v>1654</v>
      </c>
      <c r="G866" s="189" t="s">
        <v>202</v>
      </c>
      <c r="H866" s="188">
        <v>42100</v>
      </c>
      <c r="I866" s="189" t="s">
        <v>187</v>
      </c>
      <c r="J866" s="189" t="s">
        <v>103</v>
      </c>
      <c r="K866" s="187" t="s">
        <v>3276</v>
      </c>
      <c r="L866" s="188">
        <v>42100</v>
      </c>
      <c r="M866" s="187" t="s">
        <v>1914</v>
      </c>
      <c r="N866" s="190" t="s">
        <v>185</v>
      </c>
      <c r="O866" s="188">
        <v>42100</v>
      </c>
      <c r="P866" s="191">
        <f t="shared" si="687"/>
        <v>5</v>
      </c>
      <c r="Q866" s="187" t="s">
        <v>3276</v>
      </c>
      <c r="R866" s="190" t="s">
        <v>17</v>
      </c>
      <c r="S866" s="187" t="s">
        <v>3277</v>
      </c>
      <c r="T866" s="190">
        <v>1705604153</v>
      </c>
      <c r="U866" s="195">
        <v>42101</v>
      </c>
      <c r="V866" s="190" t="s">
        <v>186</v>
      </c>
      <c r="W866" s="192">
        <f t="shared" si="688"/>
        <v>0</v>
      </c>
      <c r="X866" s="192" t="str">
        <f t="shared" si="689"/>
        <v>Correcto</v>
      </c>
    </row>
    <row r="867" spans="1:24" ht="18" customHeight="1" x14ac:dyDescent="0.25">
      <c r="A867" s="193">
        <v>858</v>
      </c>
      <c r="B867" s="187" t="s">
        <v>3278</v>
      </c>
      <c r="C867" s="188">
        <v>42095</v>
      </c>
      <c r="D867" s="194">
        <v>3</v>
      </c>
      <c r="E867" s="189" t="s">
        <v>93</v>
      </c>
      <c r="F867" s="187" t="s">
        <v>825</v>
      </c>
      <c r="G867" s="189" t="s">
        <v>202</v>
      </c>
      <c r="H867" s="188">
        <v>42100</v>
      </c>
      <c r="I867" s="189" t="s">
        <v>187</v>
      </c>
      <c r="J867" s="189" t="s">
        <v>103</v>
      </c>
      <c r="K867" s="187" t="s">
        <v>3279</v>
      </c>
      <c r="L867" s="188">
        <v>42100</v>
      </c>
      <c r="M867" s="187" t="s">
        <v>1914</v>
      </c>
      <c r="N867" s="190" t="s">
        <v>185</v>
      </c>
      <c r="O867" s="188">
        <v>42100</v>
      </c>
      <c r="P867" s="191">
        <f t="shared" si="687"/>
        <v>5</v>
      </c>
      <c r="Q867" s="187" t="s">
        <v>3280</v>
      </c>
      <c r="R867" s="190" t="s">
        <v>17</v>
      </c>
      <c r="S867" s="187" t="s">
        <v>101</v>
      </c>
      <c r="T867" s="187" t="s">
        <v>1496</v>
      </c>
      <c r="U867" s="195">
        <v>42100</v>
      </c>
      <c r="V867" s="190" t="s">
        <v>186</v>
      </c>
      <c r="W867" s="192">
        <f t="shared" si="688"/>
        <v>0</v>
      </c>
      <c r="X867" s="192" t="str">
        <f t="shared" si="689"/>
        <v>Correcto</v>
      </c>
    </row>
    <row r="868" spans="1:24" ht="18" customHeight="1" x14ac:dyDescent="0.25">
      <c r="A868" s="193">
        <v>859</v>
      </c>
      <c r="B868" s="187" t="s">
        <v>3281</v>
      </c>
      <c r="C868" s="188">
        <v>42095</v>
      </c>
      <c r="D868" s="194">
        <v>2</v>
      </c>
      <c r="E868" s="189" t="s">
        <v>93</v>
      </c>
      <c r="F868" s="187" t="s">
        <v>825</v>
      </c>
      <c r="G868" s="189" t="s">
        <v>202</v>
      </c>
      <c r="H868" s="188">
        <v>42100</v>
      </c>
      <c r="I868" s="189" t="s">
        <v>187</v>
      </c>
      <c r="J868" s="189" t="s">
        <v>103</v>
      </c>
      <c r="K868" s="187" t="s">
        <v>3282</v>
      </c>
      <c r="L868" s="188">
        <v>42100</v>
      </c>
      <c r="M868" s="187" t="s">
        <v>1914</v>
      </c>
      <c r="N868" s="190" t="s">
        <v>185</v>
      </c>
      <c r="O868" s="188">
        <v>42101</v>
      </c>
      <c r="P868" s="191">
        <f t="shared" si="687"/>
        <v>6</v>
      </c>
      <c r="Q868" s="187" t="s">
        <v>3283</v>
      </c>
      <c r="R868" s="190" t="s">
        <v>17</v>
      </c>
      <c r="S868" s="187" t="s">
        <v>101</v>
      </c>
      <c r="T868" s="187" t="s">
        <v>1017</v>
      </c>
      <c r="U868" s="195">
        <v>42103</v>
      </c>
      <c r="V868" s="190" t="s">
        <v>186</v>
      </c>
      <c r="W868" s="192">
        <f t="shared" si="688"/>
        <v>0</v>
      </c>
      <c r="X868" s="192" t="str">
        <f t="shared" si="689"/>
        <v>Correcto</v>
      </c>
    </row>
    <row r="869" spans="1:24" ht="18" customHeight="1" x14ac:dyDescent="0.25">
      <c r="A869" s="193">
        <v>860</v>
      </c>
      <c r="B869" s="187" t="s">
        <v>3284</v>
      </c>
      <c r="C869" s="188">
        <v>42095</v>
      </c>
      <c r="D869" s="194">
        <v>2</v>
      </c>
      <c r="E869" s="189" t="s">
        <v>93</v>
      </c>
      <c r="F869" s="187" t="s">
        <v>825</v>
      </c>
      <c r="G869" s="189" t="s">
        <v>202</v>
      </c>
      <c r="H869" s="188">
        <v>42095</v>
      </c>
      <c r="I869" s="189" t="s">
        <v>187</v>
      </c>
      <c r="J869" s="189" t="s">
        <v>103</v>
      </c>
      <c r="K869" s="187" t="s">
        <v>3285</v>
      </c>
      <c r="L869" s="188">
        <v>42095</v>
      </c>
      <c r="M869" s="187" t="s">
        <v>1914</v>
      </c>
      <c r="N869" s="190" t="s">
        <v>185</v>
      </c>
      <c r="O869" s="188">
        <v>42103</v>
      </c>
      <c r="P869" s="191">
        <f t="shared" si="687"/>
        <v>8</v>
      </c>
      <c r="Q869" s="187" t="s">
        <v>3286</v>
      </c>
      <c r="R869" s="190" t="s">
        <v>17</v>
      </c>
      <c r="S869" s="187" t="s">
        <v>101</v>
      </c>
      <c r="T869" s="187" t="s">
        <v>3287</v>
      </c>
      <c r="U869" s="195">
        <v>42103</v>
      </c>
      <c r="V869" s="190" t="s">
        <v>186</v>
      </c>
      <c r="W869" s="192">
        <f t="shared" si="688"/>
        <v>0</v>
      </c>
      <c r="X869" s="192" t="str">
        <f t="shared" si="689"/>
        <v>Correcto</v>
      </c>
    </row>
    <row r="870" spans="1:24" ht="18" customHeight="1" x14ac:dyDescent="0.25">
      <c r="A870" s="193">
        <v>861</v>
      </c>
      <c r="B870" s="187" t="s">
        <v>3288</v>
      </c>
      <c r="C870" s="188">
        <v>42095</v>
      </c>
      <c r="D870" s="194">
        <v>2</v>
      </c>
      <c r="E870" s="189" t="s">
        <v>93</v>
      </c>
      <c r="F870" s="187" t="s">
        <v>825</v>
      </c>
      <c r="G870" s="189" t="s">
        <v>202</v>
      </c>
      <c r="H870" s="188">
        <v>42101</v>
      </c>
      <c r="I870" s="189" t="s">
        <v>187</v>
      </c>
      <c r="J870" s="189" t="s">
        <v>103</v>
      </c>
      <c r="K870" s="187" t="s">
        <v>3289</v>
      </c>
      <c r="L870" s="188">
        <v>42101</v>
      </c>
      <c r="M870" s="187" t="s">
        <v>1914</v>
      </c>
      <c r="N870" s="190" t="s">
        <v>185</v>
      </c>
      <c r="O870" s="188">
        <v>42101</v>
      </c>
      <c r="P870" s="191">
        <f t="shared" si="687"/>
        <v>6</v>
      </c>
      <c r="Q870" s="187" t="s">
        <v>3289</v>
      </c>
      <c r="R870" s="190" t="s">
        <v>17</v>
      </c>
      <c r="S870" s="187" t="s">
        <v>3290</v>
      </c>
      <c r="T870" s="187" t="s">
        <v>953</v>
      </c>
      <c r="U870" s="195">
        <v>42103</v>
      </c>
      <c r="V870" s="190" t="s">
        <v>186</v>
      </c>
      <c r="W870" s="192">
        <f t="shared" si="688"/>
        <v>0</v>
      </c>
      <c r="X870" s="192" t="str">
        <f t="shared" si="689"/>
        <v>Correcto</v>
      </c>
    </row>
    <row r="871" spans="1:24" ht="18" customHeight="1" x14ac:dyDescent="0.25">
      <c r="A871" s="193">
        <v>862</v>
      </c>
      <c r="B871" s="187" t="s">
        <v>3291</v>
      </c>
      <c r="C871" s="188">
        <v>42095</v>
      </c>
      <c r="D871" s="194">
        <v>2</v>
      </c>
      <c r="E871" s="189" t="s">
        <v>93</v>
      </c>
      <c r="F871" s="187" t="s">
        <v>825</v>
      </c>
      <c r="G871" s="189" t="s">
        <v>202</v>
      </c>
      <c r="H871" s="188">
        <v>42095</v>
      </c>
      <c r="I871" s="189" t="s">
        <v>187</v>
      </c>
      <c r="J871" s="189" t="s">
        <v>103</v>
      </c>
      <c r="K871" s="187" t="s">
        <v>3292</v>
      </c>
      <c r="L871" s="188">
        <v>42095</v>
      </c>
      <c r="M871" s="187" t="s">
        <v>1914</v>
      </c>
      <c r="N871" s="190" t="s">
        <v>185</v>
      </c>
      <c r="O871" s="188">
        <v>42100</v>
      </c>
      <c r="P871" s="191">
        <f t="shared" si="687"/>
        <v>5</v>
      </c>
      <c r="Q871" s="187" t="s">
        <v>3293</v>
      </c>
      <c r="R871" s="190" t="s">
        <v>977</v>
      </c>
      <c r="S871" s="187" t="s">
        <v>1203</v>
      </c>
      <c r="T871" s="187">
        <v>1103831267</v>
      </c>
      <c r="U871" s="195">
        <v>42100</v>
      </c>
      <c r="V871" s="190" t="s">
        <v>186</v>
      </c>
      <c r="W871" s="192">
        <f t="shared" si="688"/>
        <v>0</v>
      </c>
      <c r="X871" s="192" t="str">
        <f t="shared" si="689"/>
        <v>Correcto</v>
      </c>
    </row>
    <row r="872" spans="1:24" ht="18" customHeight="1" x14ac:dyDescent="0.25">
      <c r="A872" s="193">
        <v>863</v>
      </c>
      <c r="B872" s="187" t="s">
        <v>3294</v>
      </c>
      <c r="C872" s="188">
        <v>42095</v>
      </c>
      <c r="D872" s="194">
        <v>2</v>
      </c>
      <c r="E872" s="189" t="s">
        <v>93</v>
      </c>
      <c r="F872" s="187" t="s">
        <v>825</v>
      </c>
      <c r="G872" s="189" t="s">
        <v>202</v>
      </c>
      <c r="H872" s="188">
        <v>42100</v>
      </c>
      <c r="I872" s="189" t="s">
        <v>187</v>
      </c>
      <c r="J872" s="189" t="s">
        <v>103</v>
      </c>
      <c r="K872" s="187" t="s">
        <v>3295</v>
      </c>
      <c r="L872" s="188">
        <v>42100</v>
      </c>
      <c r="M872" s="187" t="s">
        <v>1914</v>
      </c>
      <c r="N872" s="190" t="s">
        <v>185</v>
      </c>
      <c r="O872" s="188">
        <v>42100</v>
      </c>
      <c r="P872" s="191">
        <f t="shared" si="687"/>
        <v>5</v>
      </c>
      <c r="Q872" s="187" t="s">
        <v>3296</v>
      </c>
      <c r="R872" s="190" t="s">
        <v>17</v>
      </c>
      <c r="S872" s="187" t="s">
        <v>1203</v>
      </c>
      <c r="T872" s="187">
        <v>1103831267</v>
      </c>
      <c r="U872" s="195">
        <v>42100</v>
      </c>
      <c r="V872" s="190" t="s">
        <v>186</v>
      </c>
      <c r="W872" s="192">
        <f t="shared" si="688"/>
        <v>0</v>
      </c>
      <c r="X872" s="192" t="str">
        <f t="shared" si="689"/>
        <v>Correcto</v>
      </c>
    </row>
    <row r="873" spans="1:24" ht="18" customHeight="1" x14ac:dyDescent="0.25">
      <c r="A873" s="193">
        <v>864</v>
      </c>
      <c r="B873" s="187" t="s">
        <v>3297</v>
      </c>
      <c r="C873" s="188">
        <v>42095</v>
      </c>
      <c r="D873" s="194">
        <v>46</v>
      </c>
      <c r="E873" s="189" t="s">
        <v>93</v>
      </c>
      <c r="F873" s="187" t="s">
        <v>1654</v>
      </c>
      <c r="G873" s="189" t="s">
        <v>202</v>
      </c>
      <c r="H873" s="188">
        <v>42101</v>
      </c>
      <c r="I873" s="189" t="s">
        <v>187</v>
      </c>
      <c r="J873" s="189" t="s">
        <v>103</v>
      </c>
      <c r="K873" s="187" t="s">
        <v>3298</v>
      </c>
      <c r="L873" s="188">
        <v>42101</v>
      </c>
      <c r="M873" s="187" t="s">
        <v>824</v>
      </c>
      <c r="N873" s="190" t="s">
        <v>185</v>
      </c>
      <c r="O873" s="188">
        <v>42101</v>
      </c>
      <c r="P873" s="191">
        <f t="shared" si="687"/>
        <v>6</v>
      </c>
      <c r="Q873" s="187" t="s">
        <v>3298</v>
      </c>
      <c r="R873" s="190" t="s">
        <v>17</v>
      </c>
      <c r="S873" s="187" t="s">
        <v>3299</v>
      </c>
      <c r="T873" s="187">
        <v>1101404562</v>
      </c>
      <c r="U873" s="195">
        <v>42102</v>
      </c>
      <c r="V873" s="190" t="s">
        <v>186</v>
      </c>
      <c r="W873" s="192">
        <f t="shared" si="688"/>
        <v>0</v>
      </c>
      <c r="X873" s="192" t="str">
        <f t="shared" si="689"/>
        <v>Correcto</v>
      </c>
    </row>
    <row r="874" spans="1:24" ht="18" customHeight="1" x14ac:dyDescent="0.25">
      <c r="A874" s="193">
        <v>865</v>
      </c>
      <c r="B874" s="187" t="s">
        <v>3300</v>
      </c>
      <c r="C874" s="188">
        <v>42095</v>
      </c>
      <c r="D874" s="194">
        <v>2</v>
      </c>
      <c r="E874" s="189" t="s">
        <v>93</v>
      </c>
      <c r="F874" s="187" t="s">
        <v>825</v>
      </c>
      <c r="G874" s="189" t="s">
        <v>202</v>
      </c>
      <c r="H874" s="188">
        <v>42101</v>
      </c>
      <c r="I874" s="189" t="s">
        <v>187</v>
      </c>
      <c r="J874" s="189" t="s">
        <v>103</v>
      </c>
      <c r="K874" s="187" t="s">
        <v>3301</v>
      </c>
      <c r="L874" s="188">
        <v>42101</v>
      </c>
      <c r="M874" s="187" t="s">
        <v>1914</v>
      </c>
      <c r="N874" s="190" t="s">
        <v>185</v>
      </c>
      <c r="O874" s="188">
        <v>42102</v>
      </c>
      <c r="P874" s="191">
        <f t="shared" si="687"/>
        <v>7</v>
      </c>
      <c r="Q874" s="187" t="s">
        <v>3302</v>
      </c>
      <c r="R874" s="190" t="s">
        <v>17</v>
      </c>
      <c r="S874" s="187" t="s">
        <v>2776</v>
      </c>
      <c r="T874" s="187" t="s">
        <v>3303</v>
      </c>
      <c r="U874" s="195">
        <v>42102</v>
      </c>
      <c r="V874" s="190" t="s">
        <v>186</v>
      </c>
      <c r="W874" s="192">
        <f t="shared" si="688"/>
        <v>0</v>
      </c>
      <c r="X874" s="192" t="str">
        <f t="shared" si="689"/>
        <v>Correcto</v>
      </c>
    </row>
    <row r="875" spans="1:24" ht="18" customHeight="1" x14ac:dyDescent="0.25">
      <c r="A875" s="193">
        <v>866</v>
      </c>
      <c r="B875" s="187" t="s">
        <v>3304</v>
      </c>
      <c r="C875" s="188">
        <v>42095</v>
      </c>
      <c r="D875" s="194">
        <v>2</v>
      </c>
      <c r="E875" s="189" t="s">
        <v>93</v>
      </c>
      <c r="F875" s="187" t="s">
        <v>825</v>
      </c>
      <c r="G875" s="189" t="s">
        <v>202</v>
      </c>
      <c r="H875" s="188">
        <v>42101</v>
      </c>
      <c r="I875" s="189" t="s">
        <v>187</v>
      </c>
      <c r="J875" s="189" t="s">
        <v>103</v>
      </c>
      <c r="K875" s="187" t="s">
        <v>3305</v>
      </c>
      <c r="L875" s="188">
        <v>42101</v>
      </c>
      <c r="M875" s="187" t="s">
        <v>1914</v>
      </c>
      <c r="N875" s="190" t="s">
        <v>185</v>
      </c>
      <c r="O875" s="188">
        <v>42102</v>
      </c>
      <c r="P875" s="191">
        <f t="shared" si="687"/>
        <v>7</v>
      </c>
      <c r="Q875" s="187" t="s">
        <v>3306</v>
      </c>
      <c r="R875" s="190" t="s">
        <v>17</v>
      </c>
      <c r="S875" s="187" t="s">
        <v>101</v>
      </c>
      <c r="T875" s="187" t="s">
        <v>3307</v>
      </c>
      <c r="U875" s="195">
        <v>42103</v>
      </c>
      <c r="V875" s="190" t="s">
        <v>186</v>
      </c>
      <c r="W875" s="192">
        <f t="shared" si="688"/>
        <v>0</v>
      </c>
      <c r="X875" s="192" t="str">
        <f t="shared" si="689"/>
        <v>Correcto</v>
      </c>
    </row>
    <row r="876" spans="1:24" ht="18" customHeight="1" x14ac:dyDescent="0.25">
      <c r="A876" s="193">
        <v>867</v>
      </c>
      <c r="B876" s="187" t="s">
        <v>3308</v>
      </c>
      <c r="C876" s="188">
        <v>42095</v>
      </c>
      <c r="D876" s="194">
        <v>2</v>
      </c>
      <c r="E876" s="189" t="s">
        <v>93</v>
      </c>
      <c r="F876" s="187" t="s">
        <v>825</v>
      </c>
      <c r="G876" s="189" t="s">
        <v>202</v>
      </c>
      <c r="H876" s="188">
        <v>42100</v>
      </c>
      <c r="I876" s="189" t="s">
        <v>187</v>
      </c>
      <c r="J876" s="189" t="s">
        <v>103</v>
      </c>
      <c r="K876" s="187" t="s">
        <v>3309</v>
      </c>
      <c r="L876" s="188">
        <v>42100</v>
      </c>
      <c r="M876" s="187" t="s">
        <v>1914</v>
      </c>
      <c r="N876" s="190" t="s">
        <v>185</v>
      </c>
      <c r="O876" s="188">
        <v>42100</v>
      </c>
      <c r="P876" s="191">
        <f t="shared" si="687"/>
        <v>5</v>
      </c>
      <c r="Q876" s="187" t="s">
        <v>3310</v>
      </c>
      <c r="R876" s="190" t="s">
        <v>17</v>
      </c>
      <c r="S876" s="187" t="s">
        <v>1203</v>
      </c>
      <c r="T876" s="187">
        <v>1103831267</v>
      </c>
      <c r="U876" s="195">
        <v>42100</v>
      </c>
      <c r="V876" s="190" t="s">
        <v>186</v>
      </c>
      <c r="W876" s="192">
        <f t="shared" si="688"/>
        <v>0</v>
      </c>
      <c r="X876" s="192" t="str">
        <f t="shared" si="689"/>
        <v>Correcto</v>
      </c>
    </row>
    <row r="877" spans="1:24" ht="18" customHeight="1" x14ac:dyDescent="0.25">
      <c r="A877" s="193">
        <v>868</v>
      </c>
      <c r="B877" s="187" t="s">
        <v>3311</v>
      </c>
      <c r="C877" s="188">
        <v>42095</v>
      </c>
      <c r="D877" s="194">
        <v>16</v>
      </c>
      <c r="E877" s="189" t="s">
        <v>93</v>
      </c>
      <c r="F877" s="187" t="s">
        <v>825</v>
      </c>
      <c r="G877" s="189" t="s">
        <v>202</v>
      </c>
      <c r="H877" s="188">
        <v>42100</v>
      </c>
      <c r="I877" s="189" t="s">
        <v>187</v>
      </c>
      <c r="J877" s="189" t="s">
        <v>103</v>
      </c>
      <c r="K877" s="187" t="s">
        <v>3312</v>
      </c>
      <c r="L877" s="188">
        <v>42100</v>
      </c>
      <c r="M877" s="187" t="s">
        <v>1914</v>
      </c>
      <c r="N877" s="190" t="s">
        <v>185</v>
      </c>
      <c r="O877" s="188">
        <v>42101</v>
      </c>
      <c r="P877" s="191">
        <f t="shared" si="687"/>
        <v>6</v>
      </c>
      <c r="Q877" s="187" t="s">
        <v>3313</v>
      </c>
      <c r="R877" s="190" t="s">
        <v>1175</v>
      </c>
      <c r="S877" s="187" t="s">
        <v>101</v>
      </c>
      <c r="T877" s="187" t="s">
        <v>3314</v>
      </c>
      <c r="U877" s="195">
        <v>42101</v>
      </c>
      <c r="V877" s="190" t="s">
        <v>186</v>
      </c>
      <c r="W877" s="192">
        <f t="shared" si="688"/>
        <v>0</v>
      </c>
      <c r="X877" s="192" t="str">
        <f t="shared" si="689"/>
        <v>Correcto</v>
      </c>
    </row>
    <row r="878" spans="1:24" ht="18" customHeight="1" x14ac:dyDescent="0.25">
      <c r="A878" s="193">
        <v>869</v>
      </c>
      <c r="B878" s="187" t="s">
        <v>3315</v>
      </c>
      <c r="C878" s="188">
        <v>42095</v>
      </c>
      <c r="D878" s="194">
        <v>6</v>
      </c>
      <c r="E878" s="189" t="s">
        <v>93</v>
      </c>
      <c r="F878" s="187" t="s">
        <v>825</v>
      </c>
      <c r="G878" s="189" t="s">
        <v>202</v>
      </c>
      <c r="H878" s="188">
        <v>42107</v>
      </c>
      <c r="I878" s="189" t="s">
        <v>187</v>
      </c>
      <c r="J878" s="189" t="s">
        <v>103</v>
      </c>
      <c r="K878" s="187" t="s">
        <v>3316</v>
      </c>
      <c r="L878" s="188">
        <v>42107</v>
      </c>
      <c r="M878" s="187" t="s">
        <v>1914</v>
      </c>
      <c r="N878" s="190" t="s">
        <v>185</v>
      </c>
      <c r="O878" s="188">
        <v>42107</v>
      </c>
      <c r="P878" s="191">
        <f t="shared" si="687"/>
        <v>12</v>
      </c>
      <c r="Q878" s="187" t="s">
        <v>3317</v>
      </c>
      <c r="R878" s="190" t="s">
        <v>17</v>
      </c>
      <c r="S878" s="187" t="s">
        <v>101</v>
      </c>
      <c r="T878" s="187" t="s">
        <v>1024</v>
      </c>
      <c r="U878" s="195">
        <v>42111</v>
      </c>
      <c r="V878" s="190" t="s">
        <v>186</v>
      </c>
      <c r="W878" s="192">
        <f t="shared" si="688"/>
        <v>0</v>
      </c>
      <c r="X878" s="192" t="str">
        <f t="shared" si="689"/>
        <v>Correcto</v>
      </c>
    </row>
    <row r="879" spans="1:24" ht="18" customHeight="1" x14ac:dyDescent="0.25">
      <c r="A879" s="193">
        <v>870</v>
      </c>
      <c r="B879" s="187" t="s">
        <v>3318</v>
      </c>
      <c r="C879" s="188">
        <v>42095</v>
      </c>
      <c r="D879" s="194">
        <v>2</v>
      </c>
      <c r="E879" s="189" t="s">
        <v>93</v>
      </c>
      <c r="F879" s="187" t="s">
        <v>1654</v>
      </c>
      <c r="G879" s="189" t="s">
        <v>202</v>
      </c>
      <c r="H879" s="188">
        <v>42108</v>
      </c>
      <c r="I879" s="189" t="s">
        <v>187</v>
      </c>
      <c r="J879" s="189" t="s">
        <v>103</v>
      </c>
      <c r="K879" s="187" t="s">
        <v>3319</v>
      </c>
      <c r="L879" s="188">
        <v>42108</v>
      </c>
      <c r="M879" s="187" t="s">
        <v>1914</v>
      </c>
      <c r="N879" s="190" t="s">
        <v>185</v>
      </c>
      <c r="O879" s="188">
        <v>42108</v>
      </c>
      <c r="P879" s="191">
        <f t="shared" si="687"/>
        <v>13</v>
      </c>
      <c r="Q879" s="187" t="s">
        <v>3319</v>
      </c>
      <c r="R879" s="190" t="s">
        <v>17</v>
      </c>
      <c r="S879" s="187" t="s">
        <v>3320</v>
      </c>
      <c r="T879" s="187" t="s">
        <v>104</v>
      </c>
      <c r="U879" s="195">
        <v>42108</v>
      </c>
      <c r="V879" s="190" t="s">
        <v>186</v>
      </c>
      <c r="W879" s="192">
        <f t="shared" si="688"/>
        <v>0</v>
      </c>
      <c r="X879" s="192" t="str">
        <f t="shared" si="689"/>
        <v>Correcto</v>
      </c>
    </row>
    <row r="880" spans="1:24" ht="18" customHeight="1" x14ac:dyDescent="0.25">
      <c r="A880" s="193">
        <v>871</v>
      </c>
      <c r="B880" s="187" t="s">
        <v>3321</v>
      </c>
      <c r="C880" s="188">
        <v>42095</v>
      </c>
      <c r="D880" s="194">
        <v>2</v>
      </c>
      <c r="E880" s="189" t="s">
        <v>93</v>
      </c>
      <c r="F880" s="187" t="s">
        <v>825</v>
      </c>
      <c r="G880" s="189" t="s">
        <v>202</v>
      </c>
      <c r="H880" s="188">
        <v>42100</v>
      </c>
      <c r="I880" s="189" t="s">
        <v>187</v>
      </c>
      <c r="J880" s="189" t="s">
        <v>103</v>
      </c>
      <c r="K880" s="187" t="s">
        <v>3322</v>
      </c>
      <c r="L880" s="188">
        <v>42100</v>
      </c>
      <c r="M880" s="187" t="s">
        <v>1914</v>
      </c>
      <c r="N880" s="190" t="s">
        <v>185</v>
      </c>
      <c r="O880" s="188">
        <v>42101</v>
      </c>
      <c r="P880" s="191">
        <f t="shared" si="687"/>
        <v>6</v>
      </c>
      <c r="Q880" s="187" t="s">
        <v>3323</v>
      </c>
      <c r="R880" s="190" t="s">
        <v>17</v>
      </c>
      <c r="S880" s="187" t="s">
        <v>101</v>
      </c>
      <c r="T880" s="187" t="s">
        <v>2258</v>
      </c>
      <c r="U880" s="195">
        <v>42103</v>
      </c>
      <c r="V880" s="190" t="s">
        <v>186</v>
      </c>
      <c r="W880" s="192">
        <f t="shared" si="688"/>
        <v>0</v>
      </c>
      <c r="X880" s="192" t="str">
        <f t="shared" si="689"/>
        <v>Correcto</v>
      </c>
    </row>
    <row r="881" spans="1:24" ht="18" customHeight="1" x14ac:dyDescent="0.25">
      <c r="A881" s="193">
        <v>872</v>
      </c>
      <c r="B881" s="187" t="s">
        <v>3324</v>
      </c>
      <c r="C881" s="188">
        <v>42095</v>
      </c>
      <c r="D881" s="194">
        <v>2</v>
      </c>
      <c r="E881" s="189" t="s">
        <v>93</v>
      </c>
      <c r="F881" s="187" t="s">
        <v>825</v>
      </c>
      <c r="G881" s="189" t="s">
        <v>202</v>
      </c>
      <c r="H881" s="188">
        <v>42100</v>
      </c>
      <c r="I881" s="189" t="s">
        <v>187</v>
      </c>
      <c r="J881" s="189" t="s">
        <v>103</v>
      </c>
      <c r="K881" s="187" t="s">
        <v>3325</v>
      </c>
      <c r="L881" s="188">
        <v>42100</v>
      </c>
      <c r="M881" s="187" t="s">
        <v>1914</v>
      </c>
      <c r="N881" s="190" t="s">
        <v>185</v>
      </c>
      <c r="O881" s="188">
        <v>42101</v>
      </c>
      <c r="P881" s="191">
        <f t="shared" si="687"/>
        <v>6</v>
      </c>
      <c r="Q881" s="187" t="s">
        <v>3326</v>
      </c>
      <c r="R881" s="190" t="s">
        <v>977</v>
      </c>
      <c r="S881" s="187" t="s">
        <v>101</v>
      </c>
      <c r="T881" s="187" t="s">
        <v>3327</v>
      </c>
      <c r="U881" s="195">
        <v>42101</v>
      </c>
      <c r="V881" s="190" t="s">
        <v>186</v>
      </c>
      <c r="W881" s="192">
        <f t="shared" si="688"/>
        <v>0</v>
      </c>
      <c r="X881" s="192" t="str">
        <f t="shared" si="689"/>
        <v>Correcto</v>
      </c>
    </row>
    <row r="882" spans="1:24" ht="18" customHeight="1" x14ac:dyDescent="0.25">
      <c r="A882" s="193">
        <v>873</v>
      </c>
      <c r="B882" s="187" t="s">
        <v>3328</v>
      </c>
      <c r="C882" s="188">
        <v>42095</v>
      </c>
      <c r="D882" s="194">
        <v>2</v>
      </c>
      <c r="E882" s="189" t="s">
        <v>93</v>
      </c>
      <c r="F882" s="187" t="s">
        <v>825</v>
      </c>
      <c r="G882" s="189" t="s">
        <v>202</v>
      </c>
      <c r="H882" s="188">
        <v>42100</v>
      </c>
      <c r="I882" s="189" t="s">
        <v>187</v>
      </c>
      <c r="J882" s="189" t="s">
        <v>103</v>
      </c>
      <c r="K882" s="187" t="s">
        <v>3329</v>
      </c>
      <c r="L882" s="188">
        <v>42100</v>
      </c>
      <c r="M882" s="187" t="s">
        <v>1914</v>
      </c>
      <c r="N882" s="190" t="s">
        <v>185</v>
      </c>
      <c r="O882" s="188">
        <v>42101</v>
      </c>
      <c r="P882" s="191">
        <f t="shared" si="687"/>
        <v>6</v>
      </c>
      <c r="Q882" s="187" t="s">
        <v>3330</v>
      </c>
      <c r="R882" s="190" t="s">
        <v>17</v>
      </c>
      <c r="S882" s="187" t="s">
        <v>101</v>
      </c>
      <c r="T882" s="187" t="s">
        <v>2258</v>
      </c>
      <c r="U882" s="195">
        <v>42103</v>
      </c>
      <c r="V882" s="190" t="s">
        <v>186</v>
      </c>
      <c r="W882" s="192">
        <f t="shared" si="688"/>
        <v>0</v>
      </c>
      <c r="X882" s="192" t="str">
        <f t="shared" si="689"/>
        <v>Correcto</v>
      </c>
    </row>
    <row r="883" spans="1:24" ht="18" customHeight="1" x14ac:dyDescent="0.25">
      <c r="A883" s="193">
        <v>874</v>
      </c>
      <c r="B883" s="187" t="s">
        <v>3331</v>
      </c>
      <c r="C883" s="188">
        <v>42095</v>
      </c>
      <c r="D883" s="194">
        <v>2</v>
      </c>
      <c r="E883" s="189" t="s">
        <v>93</v>
      </c>
      <c r="F883" s="187" t="s">
        <v>825</v>
      </c>
      <c r="G883" s="189" t="s">
        <v>202</v>
      </c>
      <c r="H883" s="188">
        <v>42100</v>
      </c>
      <c r="I883" s="189" t="s">
        <v>187</v>
      </c>
      <c r="J883" s="189" t="s">
        <v>103</v>
      </c>
      <c r="K883" s="187" t="s">
        <v>3332</v>
      </c>
      <c r="L883" s="188">
        <v>42100</v>
      </c>
      <c r="M883" s="187" t="s">
        <v>1914</v>
      </c>
      <c r="N883" s="190" t="s">
        <v>185</v>
      </c>
      <c r="O883" s="188">
        <v>42101</v>
      </c>
      <c r="P883" s="191">
        <f t="shared" si="687"/>
        <v>6</v>
      </c>
      <c r="Q883" s="187" t="s">
        <v>3333</v>
      </c>
      <c r="R883" s="190" t="s">
        <v>17</v>
      </c>
      <c r="S883" s="187" t="s">
        <v>101</v>
      </c>
      <c r="T883" s="187" t="s">
        <v>2258</v>
      </c>
      <c r="U883" s="195">
        <v>42103</v>
      </c>
      <c r="V883" s="190" t="s">
        <v>186</v>
      </c>
      <c r="W883" s="192">
        <f t="shared" si="688"/>
        <v>0</v>
      </c>
      <c r="X883" s="192" t="str">
        <f t="shared" si="689"/>
        <v>Correcto</v>
      </c>
    </row>
    <row r="884" spans="1:24" ht="18" customHeight="1" x14ac:dyDescent="0.25">
      <c r="A884" s="193">
        <v>875</v>
      </c>
      <c r="B884" s="187" t="s">
        <v>3334</v>
      </c>
      <c r="C884" s="188">
        <v>42095</v>
      </c>
      <c r="D884" s="194">
        <v>2</v>
      </c>
      <c r="E884" s="189" t="s">
        <v>93</v>
      </c>
      <c r="F884" s="187" t="s">
        <v>825</v>
      </c>
      <c r="G884" s="189" t="s">
        <v>202</v>
      </c>
      <c r="H884" s="188">
        <v>42100</v>
      </c>
      <c r="I884" s="189" t="s">
        <v>187</v>
      </c>
      <c r="J884" s="189" t="s">
        <v>103</v>
      </c>
      <c r="K884" s="187" t="s">
        <v>3335</v>
      </c>
      <c r="L884" s="188">
        <v>42100</v>
      </c>
      <c r="M884" s="187" t="s">
        <v>1914</v>
      </c>
      <c r="N884" s="190" t="s">
        <v>185</v>
      </c>
      <c r="O884" s="188">
        <v>42101</v>
      </c>
      <c r="P884" s="191">
        <f t="shared" si="687"/>
        <v>6</v>
      </c>
      <c r="Q884" s="187" t="s">
        <v>3336</v>
      </c>
      <c r="R884" s="190" t="s">
        <v>17</v>
      </c>
      <c r="S884" s="187" t="s">
        <v>101</v>
      </c>
      <c r="T884" s="187" t="s">
        <v>2458</v>
      </c>
      <c r="U884" s="195">
        <v>42103</v>
      </c>
      <c r="V884" s="190" t="s">
        <v>186</v>
      </c>
      <c r="W884" s="192">
        <f t="shared" si="688"/>
        <v>0</v>
      </c>
      <c r="X884" s="192" t="str">
        <f t="shared" si="689"/>
        <v>Correcto</v>
      </c>
    </row>
    <row r="885" spans="1:24" ht="18" customHeight="1" x14ac:dyDescent="0.25">
      <c r="A885" s="193">
        <v>876</v>
      </c>
      <c r="B885" s="187" t="s">
        <v>3337</v>
      </c>
      <c r="C885" s="188">
        <v>42095</v>
      </c>
      <c r="D885" s="194">
        <v>2</v>
      </c>
      <c r="E885" s="189" t="s">
        <v>93</v>
      </c>
      <c r="F885" s="187" t="s">
        <v>825</v>
      </c>
      <c r="G885" s="189" t="s">
        <v>202</v>
      </c>
      <c r="H885" s="188">
        <v>42100</v>
      </c>
      <c r="I885" s="189" t="s">
        <v>187</v>
      </c>
      <c r="J885" s="189" t="s">
        <v>103</v>
      </c>
      <c r="K885" s="187" t="s">
        <v>3338</v>
      </c>
      <c r="L885" s="188">
        <v>42100</v>
      </c>
      <c r="M885" s="187" t="s">
        <v>1914</v>
      </c>
      <c r="N885" s="190" t="s">
        <v>185</v>
      </c>
      <c r="O885" s="188">
        <v>42101</v>
      </c>
      <c r="P885" s="191">
        <f t="shared" si="687"/>
        <v>6</v>
      </c>
      <c r="Q885" s="187" t="s">
        <v>3339</v>
      </c>
      <c r="R885" s="190" t="s">
        <v>17</v>
      </c>
      <c r="S885" s="187" t="s">
        <v>101</v>
      </c>
      <c r="T885" s="187" t="s">
        <v>1007</v>
      </c>
      <c r="U885" s="195">
        <v>42103</v>
      </c>
      <c r="V885" s="190" t="s">
        <v>186</v>
      </c>
      <c r="W885" s="192">
        <f t="shared" si="688"/>
        <v>0</v>
      </c>
      <c r="X885" s="192" t="str">
        <f t="shared" si="689"/>
        <v>Correcto</v>
      </c>
    </row>
    <row r="886" spans="1:24" ht="18" customHeight="1" x14ac:dyDescent="0.25">
      <c r="A886" s="193">
        <v>877</v>
      </c>
      <c r="B886" s="187" t="s">
        <v>3340</v>
      </c>
      <c r="C886" s="188">
        <v>42095</v>
      </c>
      <c r="D886" s="194">
        <v>9</v>
      </c>
      <c r="E886" s="189" t="s">
        <v>93</v>
      </c>
      <c r="F886" s="187" t="s">
        <v>825</v>
      </c>
      <c r="G886" s="189" t="s">
        <v>202</v>
      </c>
      <c r="H886" s="188">
        <v>42100</v>
      </c>
      <c r="I886" s="189" t="s">
        <v>187</v>
      </c>
      <c r="J886" s="189" t="s">
        <v>103</v>
      </c>
      <c r="K886" s="187" t="s">
        <v>3341</v>
      </c>
      <c r="L886" s="188">
        <v>42100</v>
      </c>
      <c r="M886" s="187" t="s">
        <v>1914</v>
      </c>
      <c r="N886" s="190" t="s">
        <v>185</v>
      </c>
      <c r="O886" s="188">
        <v>42101</v>
      </c>
      <c r="P886" s="191">
        <f t="shared" si="687"/>
        <v>6</v>
      </c>
      <c r="Q886" s="187" t="s">
        <v>3342</v>
      </c>
      <c r="R886" s="190" t="s">
        <v>17</v>
      </c>
      <c r="S886" s="187" t="s">
        <v>3194</v>
      </c>
      <c r="T886" s="195" t="s">
        <v>3343</v>
      </c>
      <c r="U886" s="195">
        <v>42101</v>
      </c>
      <c r="V886" s="190" t="s">
        <v>186</v>
      </c>
      <c r="W886" s="192">
        <f t="shared" si="688"/>
        <v>0</v>
      </c>
      <c r="X886" s="192" t="str">
        <f t="shared" si="689"/>
        <v>Correcto</v>
      </c>
    </row>
    <row r="887" spans="1:24" ht="18" customHeight="1" x14ac:dyDescent="0.25">
      <c r="A887" s="193">
        <v>878</v>
      </c>
      <c r="B887" s="187" t="s">
        <v>3344</v>
      </c>
      <c r="C887" s="188">
        <v>42095</v>
      </c>
      <c r="D887" s="194">
        <v>2</v>
      </c>
      <c r="E887" s="189" t="s">
        <v>93</v>
      </c>
      <c r="F887" s="187" t="s">
        <v>825</v>
      </c>
      <c r="G887" s="189" t="s">
        <v>202</v>
      </c>
      <c r="H887" s="188">
        <v>42102</v>
      </c>
      <c r="I887" s="189" t="s">
        <v>187</v>
      </c>
      <c r="J887" s="189" t="s">
        <v>103</v>
      </c>
      <c r="K887" s="187" t="s">
        <v>3345</v>
      </c>
      <c r="L887" s="188">
        <v>42102</v>
      </c>
      <c r="M887" s="187" t="s">
        <v>1914</v>
      </c>
      <c r="N887" s="190" t="s">
        <v>185</v>
      </c>
      <c r="O887" s="188">
        <v>42102</v>
      </c>
      <c r="P887" s="191">
        <f t="shared" si="687"/>
        <v>7</v>
      </c>
      <c r="Q887" s="187" t="s">
        <v>3346</v>
      </c>
      <c r="R887" s="190" t="s">
        <v>17</v>
      </c>
      <c r="S887" s="187" t="s">
        <v>101</v>
      </c>
      <c r="T887" s="187" t="s">
        <v>3307</v>
      </c>
      <c r="U887" s="195">
        <v>42103</v>
      </c>
      <c r="V887" s="190" t="s">
        <v>186</v>
      </c>
      <c r="W887" s="192">
        <f t="shared" si="688"/>
        <v>0</v>
      </c>
      <c r="X887" s="192" t="str">
        <f t="shared" si="689"/>
        <v>Correcto</v>
      </c>
    </row>
    <row r="888" spans="1:24" ht="18" customHeight="1" x14ac:dyDescent="0.25">
      <c r="A888" s="193">
        <v>879</v>
      </c>
      <c r="B888" s="187" t="s">
        <v>3347</v>
      </c>
      <c r="C888" s="188">
        <v>42095</v>
      </c>
      <c r="D888" s="194">
        <v>2</v>
      </c>
      <c r="E888" s="189" t="s">
        <v>93</v>
      </c>
      <c r="F888" s="187" t="s">
        <v>825</v>
      </c>
      <c r="G888" s="189" t="s">
        <v>202</v>
      </c>
      <c r="H888" s="188">
        <v>42100</v>
      </c>
      <c r="I888" s="189" t="s">
        <v>187</v>
      </c>
      <c r="J888" s="189" t="s">
        <v>103</v>
      </c>
      <c r="K888" s="187" t="s">
        <v>3348</v>
      </c>
      <c r="L888" s="188">
        <v>42100</v>
      </c>
      <c r="M888" s="187" t="s">
        <v>1914</v>
      </c>
      <c r="N888" s="190" t="s">
        <v>185</v>
      </c>
      <c r="O888" s="188">
        <v>42102</v>
      </c>
      <c r="P888" s="191">
        <f t="shared" si="687"/>
        <v>7</v>
      </c>
      <c r="Q888" s="187" t="s">
        <v>3349</v>
      </c>
      <c r="R888" s="190" t="s">
        <v>2438</v>
      </c>
      <c r="S888" s="187" t="s">
        <v>3194</v>
      </c>
      <c r="T888" s="195" t="s">
        <v>3350</v>
      </c>
      <c r="U888" s="195">
        <v>42102</v>
      </c>
      <c r="V888" s="190" t="s">
        <v>186</v>
      </c>
      <c r="W888" s="192">
        <f t="shared" si="688"/>
        <v>0</v>
      </c>
      <c r="X888" s="192" t="str">
        <f t="shared" si="689"/>
        <v>Correcto</v>
      </c>
    </row>
    <row r="889" spans="1:24" ht="18" customHeight="1" x14ac:dyDescent="0.25">
      <c r="A889" s="193">
        <v>880</v>
      </c>
      <c r="B889" s="187" t="s">
        <v>3351</v>
      </c>
      <c r="C889" s="188">
        <v>42095</v>
      </c>
      <c r="D889" s="194">
        <v>2</v>
      </c>
      <c r="E889" s="189" t="s">
        <v>93</v>
      </c>
      <c r="F889" s="187" t="s">
        <v>825</v>
      </c>
      <c r="G889" s="189" t="s">
        <v>202</v>
      </c>
      <c r="H889" s="188">
        <v>42100</v>
      </c>
      <c r="I889" s="189" t="s">
        <v>187</v>
      </c>
      <c r="J889" s="189" t="s">
        <v>103</v>
      </c>
      <c r="K889" s="187" t="s">
        <v>3352</v>
      </c>
      <c r="L889" s="188">
        <v>42100</v>
      </c>
      <c r="M889" s="187" t="s">
        <v>1914</v>
      </c>
      <c r="N889" s="190" t="s">
        <v>185</v>
      </c>
      <c r="O889" s="188">
        <v>42102</v>
      </c>
      <c r="P889" s="191">
        <f t="shared" si="687"/>
        <v>7</v>
      </c>
      <c r="Q889" s="187" t="s">
        <v>3353</v>
      </c>
      <c r="R889" s="190" t="s">
        <v>2438</v>
      </c>
      <c r="S889" s="187" t="s">
        <v>3194</v>
      </c>
      <c r="T889" s="195" t="s">
        <v>3350</v>
      </c>
      <c r="U889" s="195">
        <v>42102</v>
      </c>
      <c r="V889" s="190" t="s">
        <v>186</v>
      </c>
      <c r="W889" s="192">
        <f t="shared" si="688"/>
        <v>0</v>
      </c>
      <c r="X889" s="192" t="str">
        <f t="shared" si="689"/>
        <v>Correcto</v>
      </c>
    </row>
    <row r="890" spans="1:24" ht="18" customHeight="1" x14ac:dyDescent="0.25">
      <c r="A890" s="193">
        <v>881</v>
      </c>
      <c r="B890" s="187" t="s">
        <v>3354</v>
      </c>
      <c r="C890" s="188">
        <v>42095</v>
      </c>
      <c r="D890" s="194">
        <v>2</v>
      </c>
      <c r="E890" s="189" t="s">
        <v>93</v>
      </c>
      <c r="F890" s="187" t="s">
        <v>1654</v>
      </c>
      <c r="G890" s="189" t="s">
        <v>202</v>
      </c>
      <c r="H890" s="188">
        <v>42100</v>
      </c>
      <c r="I890" s="189" t="s">
        <v>187</v>
      </c>
      <c r="J890" s="189" t="s">
        <v>103</v>
      </c>
      <c r="K890" s="187" t="s">
        <v>3355</v>
      </c>
      <c r="L890" s="188">
        <v>42100</v>
      </c>
      <c r="M890" s="187" t="s">
        <v>1914</v>
      </c>
      <c r="N890" s="190" t="s">
        <v>185</v>
      </c>
      <c r="O890" s="188">
        <v>42100</v>
      </c>
      <c r="P890" s="191">
        <f t="shared" si="687"/>
        <v>5</v>
      </c>
      <c r="Q890" s="187" t="s">
        <v>3355</v>
      </c>
      <c r="R890" s="190" t="s">
        <v>17</v>
      </c>
      <c r="S890" s="187" t="s">
        <v>3356</v>
      </c>
      <c r="T890" s="187">
        <v>1102099155</v>
      </c>
      <c r="U890" s="195">
        <v>42100</v>
      </c>
      <c r="V890" s="190" t="s">
        <v>186</v>
      </c>
      <c r="W890" s="192">
        <f t="shared" si="688"/>
        <v>0</v>
      </c>
      <c r="X890" s="192" t="str">
        <f t="shared" si="689"/>
        <v>Correcto</v>
      </c>
    </row>
    <row r="891" spans="1:24" ht="18" customHeight="1" x14ac:dyDescent="0.25">
      <c r="A891" s="193">
        <v>882</v>
      </c>
      <c r="B891" s="187" t="s">
        <v>3357</v>
      </c>
      <c r="C891" s="188">
        <v>42095</v>
      </c>
      <c r="D891" s="194">
        <v>2</v>
      </c>
      <c r="E891" s="189" t="s">
        <v>93</v>
      </c>
      <c r="F891" s="187" t="s">
        <v>1654</v>
      </c>
      <c r="G891" s="189" t="s">
        <v>202</v>
      </c>
      <c r="H891" s="188">
        <v>42100</v>
      </c>
      <c r="I891" s="189" t="s">
        <v>187</v>
      </c>
      <c r="J891" s="189" t="s">
        <v>103</v>
      </c>
      <c r="K891" s="187" t="s">
        <v>3358</v>
      </c>
      <c r="L891" s="188">
        <v>42100</v>
      </c>
      <c r="M891" s="187" t="s">
        <v>1914</v>
      </c>
      <c r="N891" s="190" t="s">
        <v>185</v>
      </c>
      <c r="O891" s="188">
        <v>42100</v>
      </c>
      <c r="P891" s="191">
        <f t="shared" si="687"/>
        <v>5</v>
      </c>
      <c r="Q891" s="187" t="s">
        <v>3358</v>
      </c>
      <c r="R891" s="190" t="s">
        <v>17</v>
      </c>
      <c r="S891" s="187" t="s">
        <v>3359</v>
      </c>
      <c r="T891" s="187">
        <v>102140548</v>
      </c>
      <c r="U891" s="195">
        <v>42101</v>
      </c>
      <c r="V891" s="190" t="s">
        <v>186</v>
      </c>
      <c r="W891" s="192">
        <f t="shared" si="688"/>
        <v>0</v>
      </c>
      <c r="X891" s="192" t="str">
        <f t="shared" si="689"/>
        <v>Correcto</v>
      </c>
    </row>
    <row r="892" spans="1:24" ht="18" customHeight="1" x14ac:dyDescent="0.25">
      <c r="A892" s="193">
        <v>883</v>
      </c>
      <c r="B892" s="187" t="s">
        <v>3360</v>
      </c>
      <c r="C892" s="188">
        <v>42095</v>
      </c>
      <c r="D892" s="194">
        <v>2</v>
      </c>
      <c r="E892" s="189" t="s">
        <v>93</v>
      </c>
      <c r="F892" s="187" t="s">
        <v>825</v>
      </c>
      <c r="G892" s="189" t="s">
        <v>202</v>
      </c>
      <c r="H892" s="188">
        <v>42102</v>
      </c>
      <c r="I892" s="189" t="s">
        <v>187</v>
      </c>
      <c r="J892" s="189" t="s">
        <v>103</v>
      </c>
      <c r="K892" s="187" t="s">
        <v>3361</v>
      </c>
      <c r="L892" s="188">
        <v>42102</v>
      </c>
      <c r="M892" s="187" t="s">
        <v>1914</v>
      </c>
      <c r="N892" s="190" t="s">
        <v>185</v>
      </c>
      <c r="O892" s="188">
        <v>42103</v>
      </c>
      <c r="P892" s="191">
        <f t="shared" si="687"/>
        <v>8</v>
      </c>
      <c r="Q892" s="187" t="s">
        <v>3362</v>
      </c>
      <c r="R892" s="190" t="s">
        <v>17</v>
      </c>
      <c r="S892" s="187" t="s">
        <v>101</v>
      </c>
      <c r="T892" s="187" t="s">
        <v>1019</v>
      </c>
      <c r="U892" s="188">
        <v>42107</v>
      </c>
      <c r="V892" s="190" t="s">
        <v>186</v>
      </c>
      <c r="W892" s="192">
        <f t="shared" si="688"/>
        <v>0</v>
      </c>
      <c r="X892" s="192" t="str">
        <f t="shared" si="689"/>
        <v>Correcto</v>
      </c>
    </row>
    <row r="893" spans="1:24" ht="18" customHeight="1" x14ac:dyDescent="0.25">
      <c r="A893" s="193">
        <v>884</v>
      </c>
      <c r="B893" s="187" t="s">
        <v>3363</v>
      </c>
      <c r="C893" s="188">
        <v>42095</v>
      </c>
      <c r="D893" s="194">
        <v>2</v>
      </c>
      <c r="E893" s="189" t="s">
        <v>93</v>
      </c>
      <c r="F893" s="187" t="s">
        <v>825</v>
      </c>
      <c r="G893" s="189" t="s">
        <v>202</v>
      </c>
      <c r="H893" s="188">
        <v>42101</v>
      </c>
      <c r="I893" s="189" t="s">
        <v>187</v>
      </c>
      <c r="J893" s="189" t="s">
        <v>103</v>
      </c>
      <c r="K893" s="187" t="s">
        <v>3364</v>
      </c>
      <c r="L893" s="188">
        <v>42101</v>
      </c>
      <c r="M893" s="187" t="s">
        <v>1914</v>
      </c>
      <c r="N893" s="190" t="s">
        <v>185</v>
      </c>
      <c r="O893" s="188">
        <v>42102</v>
      </c>
      <c r="P893" s="191">
        <f t="shared" si="687"/>
        <v>7</v>
      </c>
      <c r="Q893" s="187" t="s">
        <v>3365</v>
      </c>
      <c r="R893" s="190" t="s">
        <v>17</v>
      </c>
      <c r="S893" s="187" t="s">
        <v>101</v>
      </c>
      <c r="T893" s="187" t="s">
        <v>3366</v>
      </c>
      <c r="U893" s="195">
        <v>42103</v>
      </c>
      <c r="V893" s="190" t="s">
        <v>186</v>
      </c>
      <c r="W893" s="192">
        <f t="shared" si="688"/>
        <v>0</v>
      </c>
      <c r="X893" s="192" t="str">
        <f t="shared" si="689"/>
        <v>Correcto</v>
      </c>
    </row>
    <row r="894" spans="1:24" ht="18" customHeight="1" x14ac:dyDescent="0.25">
      <c r="A894" s="193">
        <v>885</v>
      </c>
      <c r="B894" s="187" t="s">
        <v>3367</v>
      </c>
      <c r="C894" s="188">
        <v>42095</v>
      </c>
      <c r="D894" s="194">
        <v>2</v>
      </c>
      <c r="E894" s="189" t="s">
        <v>93</v>
      </c>
      <c r="F894" s="187" t="s">
        <v>825</v>
      </c>
      <c r="G894" s="189" t="s">
        <v>202</v>
      </c>
      <c r="H894" s="188">
        <v>42102</v>
      </c>
      <c r="I894" s="189" t="s">
        <v>187</v>
      </c>
      <c r="J894" s="189" t="s">
        <v>103</v>
      </c>
      <c r="K894" s="187" t="s">
        <v>3368</v>
      </c>
      <c r="L894" s="188">
        <v>42102</v>
      </c>
      <c r="M894" s="187" t="s">
        <v>1914</v>
      </c>
      <c r="N894" s="190" t="s">
        <v>185</v>
      </c>
      <c r="O894" s="188">
        <v>42102</v>
      </c>
      <c r="P894" s="191">
        <f t="shared" si="687"/>
        <v>7</v>
      </c>
      <c r="Q894" s="187" t="s">
        <v>3369</v>
      </c>
      <c r="R894" s="190" t="s">
        <v>17</v>
      </c>
      <c r="S894" s="187" t="s">
        <v>101</v>
      </c>
      <c r="T894" s="187" t="s">
        <v>1017</v>
      </c>
      <c r="U894" s="195">
        <v>42103</v>
      </c>
      <c r="V894" s="190" t="s">
        <v>186</v>
      </c>
      <c r="W894" s="192">
        <f t="shared" si="688"/>
        <v>0</v>
      </c>
      <c r="X894" s="192" t="str">
        <f t="shared" si="689"/>
        <v>Correcto</v>
      </c>
    </row>
    <row r="895" spans="1:24" ht="18" customHeight="1" x14ac:dyDescent="0.25">
      <c r="A895" s="193">
        <v>886</v>
      </c>
      <c r="B895" s="187" t="s">
        <v>3370</v>
      </c>
      <c r="C895" s="188">
        <v>42095</v>
      </c>
      <c r="D895" s="194">
        <v>2</v>
      </c>
      <c r="E895" s="189" t="s">
        <v>93</v>
      </c>
      <c r="F895" s="187" t="s">
        <v>825</v>
      </c>
      <c r="G895" s="189" t="s">
        <v>202</v>
      </c>
      <c r="H895" s="188">
        <v>42107</v>
      </c>
      <c r="I895" s="189" t="s">
        <v>187</v>
      </c>
      <c r="J895" s="189" t="s">
        <v>103</v>
      </c>
      <c r="K895" s="187" t="s">
        <v>3371</v>
      </c>
      <c r="L895" s="188">
        <v>42107</v>
      </c>
      <c r="M895" s="187" t="s">
        <v>1914</v>
      </c>
      <c r="N895" s="190" t="s">
        <v>185</v>
      </c>
      <c r="O895" s="188">
        <v>42110</v>
      </c>
      <c r="P895" s="191">
        <f t="shared" si="687"/>
        <v>15</v>
      </c>
      <c r="Q895" s="187" t="s">
        <v>3372</v>
      </c>
      <c r="R895" s="190" t="s">
        <v>17</v>
      </c>
      <c r="S895" s="187" t="s">
        <v>101</v>
      </c>
      <c r="T895" s="187" t="s">
        <v>1017</v>
      </c>
      <c r="U895" s="195">
        <v>42111</v>
      </c>
      <c r="V895" s="190" t="s">
        <v>186</v>
      </c>
      <c r="W895" s="192">
        <f t="shared" si="688"/>
        <v>0</v>
      </c>
      <c r="X895" s="192" t="str">
        <f t="shared" si="689"/>
        <v>Correcto</v>
      </c>
    </row>
    <row r="896" spans="1:24" ht="18" customHeight="1" x14ac:dyDescent="0.25">
      <c r="A896" s="193">
        <v>887</v>
      </c>
      <c r="B896" s="187" t="s">
        <v>3373</v>
      </c>
      <c r="C896" s="188">
        <v>42095</v>
      </c>
      <c r="D896" s="194">
        <v>23</v>
      </c>
      <c r="E896" s="189" t="s">
        <v>93</v>
      </c>
      <c r="F896" s="187" t="s">
        <v>1654</v>
      </c>
      <c r="G896" s="189" t="s">
        <v>202</v>
      </c>
      <c r="H896" s="188">
        <v>42107</v>
      </c>
      <c r="I896" s="189" t="s">
        <v>187</v>
      </c>
      <c r="J896" s="189" t="s">
        <v>103</v>
      </c>
      <c r="K896" s="187" t="s">
        <v>3374</v>
      </c>
      <c r="L896" s="188">
        <v>42107</v>
      </c>
      <c r="M896" s="187" t="s">
        <v>1914</v>
      </c>
      <c r="N896" s="190" t="s">
        <v>185</v>
      </c>
      <c r="O896" s="188">
        <v>42107</v>
      </c>
      <c r="P896" s="191">
        <f t="shared" si="687"/>
        <v>12</v>
      </c>
      <c r="Q896" s="187" t="s">
        <v>3374</v>
      </c>
      <c r="R896" s="190" t="s">
        <v>17</v>
      </c>
      <c r="S896" s="187" t="s">
        <v>3265</v>
      </c>
      <c r="T896" s="187">
        <v>1721682340</v>
      </c>
      <c r="U896" s="195">
        <v>42107</v>
      </c>
      <c r="V896" s="190" t="s">
        <v>186</v>
      </c>
      <c r="W896" s="192">
        <f t="shared" si="688"/>
        <v>0</v>
      </c>
      <c r="X896" s="192" t="str">
        <f t="shared" si="689"/>
        <v>Correcto</v>
      </c>
    </row>
    <row r="897" spans="1:24" ht="18" customHeight="1" x14ac:dyDescent="0.25">
      <c r="A897" s="193">
        <v>888</v>
      </c>
      <c r="B897" s="187" t="s">
        <v>3375</v>
      </c>
      <c r="C897" s="188">
        <v>42095</v>
      </c>
      <c r="D897" s="194">
        <v>2</v>
      </c>
      <c r="E897" s="189" t="s">
        <v>93</v>
      </c>
      <c r="F897" s="187" t="s">
        <v>825</v>
      </c>
      <c r="G897" s="189" t="s">
        <v>202</v>
      </c>
      <c r="H897" s="188">
        <v>42102</v>
      </c>
      <c r="I897" s="189" t="s">
        <v>187</v>
      </c>
      <c r="J897" s="189" t="s">
        <v>103</v>
      </c>
      <c r="K897" s="187" t="s">
        <v>3376</v>
      </c>
      <c r="L897" s="188">
        <v>42102</v>
      </c>
      <c r="M897" s="187" t="s">
        <v>1914</v>
      </c>
      <c r="N897" s="190" t="s">
        <v>185</v>
      </c>
      <c r="O897" s="188">
        <v>42102</v>
      </c>
      <c r="P897" s="191">
        <f t="shared" si="687"/>
        <v>7</v>
      </c>
      <c r="Q897" s="187" t="s">
        <v>3377</v>
      </c>
      <c r="R897" s="190" t="s">
        <v>17</v>
      </c>
      <c r="S897" s="187" t="s">
        <v>101</v>
      </c>
      <c r="T897" s="187" t="s">
        <v>1017</v>
      </c>
      <c r="U897" s="195">
        <v>42107</v>
      </c>
      <c r="V897" s="190" t="s">
        <v>186</v>
      </c>
      <c r="W897" s="192">
        <f t="shared" si="688"/>
        <v>0</v>
      </c>
      <c r="X897" s="192" t="str">
        <f t="shared" si="689"/>
        <v>Correcto</v>
      </c>
    </row>
    <row r="898" spans="1:24" ht="18" customHeight="1" x14ac:dyDescent="0.25">
      <c r="A898" s="193">
        <v>889</v>
      </c>
      <c r="B898" s="187" t="s">
        <v>3378</v>
      </c>
      <c r="C898" s="188">
        <v>42095</v>
      </c>
      <c r="D898" s="194">
        <v>2</v>
      </c>
      <c r="E898" s="189" t="s">
        <v>93</v>
      </c>
      <c r="F898" s="187" t="s">
        <v>825</v>
      </c>
      <c r="G898" s="189" t="s">
        <v>202</v>
      </c>
      <c r="H898" s="188">
        <v>42103</v>
      </c>
      <c r="I898" s="189" t="s">
        <v>187</v>
      </c>
      <c r="J898" s="189" t="s">
        <v>103</v>
      </c>
      <c r="K898" s="187" t="s">
        <v>3379</v>
      </c>
      <c r="L898" s="188">
        <v>42103</v>
      </c>
      <c r="M898" s="187" t="s">
        <v>1914</v>
      </c>
      <c r="N898" s="190" t="s">
        <v>185</v>
      </c>
      <c r="O898" s="188">
        <v>42104</v>
      </c>
      <c r="P898" s="191">
        <f t="shared" si="687"/>
        <v>9</v>
      </c>
      <c r="Q898" s="187" t="s">
        <v>3380</v>
      </c>
      <c r="R898" s="190" t="s">
        <v>17</v>
      </c>
      <c r="S898" s="187" t="s">
        <v>101</v>
      </c>
      <c r="T898" s="187" t="s">
        <v>1442</v>
      </c>
      <c r="U898" s="195">
        <v>42101</v>
      </c>
      <c r="V898" s="190" t="s">
        <v>186</v>
      </c>
      <c r="W898" s="192">
        <f t="shared" si="688"/>
        <v>0</v>
      </c>
      <c r="X898" s="192" t="str">
        <f t="shared" si="689"/>
        <v>Correcto</v>
      </c>
    </row>
    <row r="899" spans="1:24" ht="18" customHeight="1" x14ac:dyDescent="0.25">
      <c r="A899" s="193">
        <v>890</v>
      </c>
      <c r="B899" s="187" t="s">
        <v>3381</v>
      </c>
      <c r="C899" s="188">
        <v>42095</v>
      </c>
      <c r="D899" s="194">
        <v>2</v>
      </c>
      <c r="E899" s="189" t="s">
        <v>93</v>
      </c>
      <c r="F899" s="187" t="s">
        <v>1654</v>
      </c>
      <c r="G899" s="189" t="s">
        <v>202</v>
      </c>
      <c r="H899" s="188">
        <v>42100</v>
      </c>
      <c r="I899" s="189" t="s">
        <v>187</v>
      </c>
      <c r="J899" s="189" t="s">
        <v>103</v>
      </c>
      <c r="K899" s="187" t="s">
        <v>3382</v>
      </c>
      <c r="L899" s="188">
        <v>42100</v>
      </c>
      <c r="M899" s="187" t="s">
        <v>1914</v>
      </c>
      <c r="N899" s="190" t="s">
        <v>185</v>
      </c>
      <c r="O899" s="188">
        <v>42100</v>
      </c>
      <c r="P899" s="191">
        <f t="shared" si="687"/>
        <v>5</v>
      </c>
      <c r="Q899" s="187" t="s">
        <v>3382</v>
      </c>
      <c r="R899" s="190" t="s">
        <v>17</v>
      </c>
      <c r="S899" s="187" t="s">
        <v>3383</v>
      </c>
      <c r="T899" s="187">
        <v>1105172405</v>
      </c>
      <c r="U899" s="195">
        <v>42101</v>
      </c>
      <c r="V899" s="190" t="s">
        <v>186</v>
      </c>
      <c r="W899" s="192">
        <f t="shared" si="688"/>
        <v>0</v>
      </c>
      <c r="X899" s="192" t="str">
        <f t="shared" si="689"/>
        <v>Correcto</v>
      </c>
    </row>
    <row r="900" spans="1:24" ht="18" customHeight="1" x14ac:dyDescent="0.25">
      <c r="A900" s="193">
        <v>891</v>
      </c>
      <c r="B900" s="187" t="s">
        <v>3384</v>
      </c>
      <c r="C900" s="188">
        <v>42100</v>
      </c>
      <c r="D900" s="194">
        <v>2</v>
      </c>
      <c r="E900" s="189" t="s">
        <v>93</v>
      </c>
      <c r="F900" s="187" t="s">
        <v>1654</v>
      </c>
      <c r="G900" s="189" t="s">
        <v>202</v>
      </c>
      <c r="H900" s="188">
        <v>42100</v>
      </c>
      <c r="I900" s="189" t="s">
        <v>187</v>
      </c>
      <c r="J900" s="189" t="s">
        <v>103</v>
      </c>
      <c r="K900" s="187" t="s">
        <v>3385</v>
      </c>
      <c r="L900" s="188">
        <v>42100</v>
      </c>
      <c r="M900" s="187" t="s">
        <v>1914</v>
      </c>
      <c r="N900" s="190" t="s">
        <v>185</v>
      </c>
      <c r="O900" s="188">
        <v>42100</v>
      </c>
      <c r="P900" s="191">
        <f t="shared" si="687"/>
        <v>0</v>
      </c>
      <c r="Q900" s="187" t="s">
        <v>3385</v>
      </c>
      <c r="R900" s="190" t="s">
        <v>17</v>
      </c>
      <c r="S900" s="187" t="s">
        <v>3386</v>
      </c>
      <c r="T900" s="187">
        <v>1150123444</v>
      </c>
      <c r="U900" s="195">
        <v>42101</v>
      </c>
      <c r="V900" s="190" t="s">
        <v>186</v>
      </c>
      <c r="W900" s="192">
        <f t="shared" si="688"/>
        <v>0</v>
      </c>
      <c r="X900" s="192" t="str">
        <f t="shared" si="689"/>
        <v>Correcto</v>
      </c>
    </row>
    <row r="901" spans="1:24" ht="18" customHeight="1" x14ac:dyDescent="0.25">
      <c r="A901" s="193">
        <v>892</v>
      </c>
      <c r="B901" s="187" t="s">
        <v>3387</v>
      </c>
      <c r="C901" s="188">
        <v>42100</v>
      </c>
      <c r="D901" s="194">
        <v>2</v>
      </c>
      <c r="E901" s="189" t="s">
        <v>93</v>
      </c>
      <c r="F901" s="187" t="s">
        <v>1654</v>
      </c>
      <c r="G901" s="189" t="s">
        <v>202</v>
      </c>
      <c r="H901" s="188">
        <v>42100</v>
      </c>
      <c r="I901" s="189" t="s">
        <v>187</v>
      </c>
      <c r="J901" s="189" t="s">
        <v>103</v>
      </c>
      <c r="K901" s="187" t="s">
        <v>3388</v>
      </c>
      <c r="L901" s="188">
        <v>42100</v>
      </c>
      <c r="M901" s="187" t="s">
        <v>1914</v>
      </c>
      <c r="N901" s="190" t="s">
        <v>185</v>
      </c>
      <c r="O901" s="188">
        <v>42100</v>
      </c>
      <c r="P901" s="191">
        <f t="shared" si="687"/>
        <v>0</v>
      </c>
      <c r="Q901" s="187" t="s">
        <v>3388</v>
      </c>
      <c r="R901" s="190" t="s">
        <v>17</v>
      </c>
      <c r="S901" s="187" t="s">
        <v>3389</v>
      </c>
      <c r="T901" s="187">
        <v>1707473482</v>
      </c>
      <c r="U901" s="195">
        <v>42101</v>
      </c>
      <c r="V901" s="190" t="s">
        <v>186</v>
      </c>
      <c r="W901" s="192">
        <f t="shared" si="688"/>
        <v>0</v>
      </c>
      <c r="X901" s="192" t="str">
        <f t="shared" si="689"/>
        <v>Correcto</v>
      </c>
    </row>
    <row r="902" spans="1:24" ht="18" customHeight="1" x14ac:dyDescent="0.25">
      <c r="A902" s="193">
        <v>893</v>
      </c>
      <c r="B902" s="187" t="s">
        <v>3390</v>
      </c>
      <c r="C902" s="188">
        <v>42100</v>
      </c>
      <c r="D902" s="194">
        <v>2</v>
      </c>
      <c r="E902" s="189" t="s">
        <v>93</v>
      </c>
      <c r="F902" s="187" t="s">
        <v>1654</v>
      </c>
      <c r="G902" s="189" t="s">
        <v>202</v>
      </c>
      <c r="H902" s="188">
        <v>42101</v>
      </c>
      <c r="I902" s="189" t="s">
        <v>187</v>
      </c>
      <c r="J902" s="189" t="s">
        <v>103</v>
      </c>
      <c r="K902" s="187" t="s">
        <v>3391</v>
      </c>
      <c r="L902" s="188">
        <v>42101</v>
      </c>
      <c r="M902" s="187" t="s">
        <v>1914</v>
      </c>
      <c r="N902" s="190" t="s">
        <v>185</v>
      </c>
      <c r="O902" s="188">
        <v>42101</v>
      </c>
      <c r="P902" s="191">
        <f t="shared" si="687"/>
        <v>1</v>
      </c>
      <c r="Q902" s="187" t="s">
        <v>3391</v>
      </c>
      <c r="R902" s="190" t="s">
        <v>17</v>
      </c>
      <c r="S902" s="187" t="s">
        <v>3392</v>
      </c>
      <c r="T902" s="187">
        <v>1102697438</v>
      </c>
      <c r="U902" s="195">
        <v>42101</v>
      </c>
      <c r="V902" s="190" t="s">
        <v>186</v>
      </c>
      <c r="W902" s="192">
        <f t="shared" si="688"/>
        <v>0</v>
      </c>
      <c r="X902" s="192" t="str">
        <f t="shared" si="689"/>
        <v>Correcto</v>
      </c>
    </row>
    <row r="903" spans="1:24" ht="18" customHeight="1" x14ac:dyDescent="0.25">
      <c r="A903" s="193">
        <v>894</v>
      </c>
      <c r="B903" s="187" t="s">
        <v>3393</v>
      </c>
      <c r="C903" s="188">
        <v>42100</v>
      </c>
      <c r="D903" s="194">
        <v>2</v>
      </c>
      <c r="E903" s="189" t="s">
        <v>93</v>
      </c>
      <c r="F903" s="187" t="s">
        <v>1654</v>
      </c>
      <c r="G903" s="189" t="s">
        <v>202</v>
      </c>
      <c r="H903" s="188">
        <v>42101</v>
      </c>
      <c r="I903" s="189" t="s">
        <v>187</v>
      </c>
      <c r="J903" s="189" t="s">
        <v>103</v>
      </c>
      <c r="K903" s="187" t="s">
        <v>3394</v>
      </c>
      <c r="L903" s="188">
        <v>42101</v>
      </c>
      <c r="M903" s="187" t="s">
        <v>1914</v>
      </c>
      <c r="N903" s="190" t="s">
        <v>185</v>
      </c>
      <c r="O903" s="188">
        <v>42101</v>
      </c>
      <c r="P903" s="191">
        <f t="shared" si="687"/>
        <v>1</v>
      </c>
      <c r="Q903" s="187" t="s">
        <v>3394</v>
      </c>
      <c r="R903" s="190" t="s">
        <v>17</v>
      </c>
      <c r="S903" s="187" t="s">
        <v>3395</v>
      </c>
      <c r="T903" s="187">
        <v>1104613748</v>
      </c>
      <c r="U903" s="195">
        <v>42101</v>
      </c>
      <c r="V903" s="190" t="s">
        <v>186</v>
      </c>
      <c r="W903" s="192">
        <f t="shared" si="688"/>
        <v>0</v>
      </c>
      <c r="X903" s="192" t="str">
        <f t="shared" si="689"/>
        <v>Correcto</v>
      </c>
    </row>
    <row r="904" spans="1:24" ht="18" customHeight="1" x14ac:dyDescent="0.25">
      <c r="A904" s="193">
        <v>895</v>
      </c>
      <c r="B904" s="187" t="s">
        <v>3396</v>
      </c>
      <c r="C904" s="188">
        <v>42100</v>
      </c>
      <c r="D904" s="194">
        <v>2</v>
      </c>
      <c r="E904" s="189" t="s">
        <v>93</v>
      </c>
      <c r="F904" s="187" t="s">
        <v>1654</v>
      </c>
      <c r="G904" s="189" t="s">
        <v>202</v>
      </c>
      <c r="H904" s="188">
        <v>42101</v>
      </c>
      <c r="I904" s="189" t="s">
        <v>187</v>
      </c>
      <c r="J904" s="189" t="s">
        <v>103</v>
      </c>
      <c r="K904" s="187" t="s">
        <v>3397</v>
      </c>
      <c r="L904" s="188">
        <v>42101</v>
      </c>
      <c r="M904" s="187" t="s">
        <v>1914</v>
      </c>
      <c r="N904" s="190" t="s">
        <v>185</v>
      </c>
      <c r="O904" s="188">
        <v>42101</v>
      </c>
      <c r="P904" s="191">
        <f t="shared" si="687"/>
        <v>1</v>
      </c>
      <c r="Q904" s="187" t="s">
        <v>3397</v>
      </c>
      <c r="R904" s="190" t="s">
        <v>17</v>
      </c>
      <c r="S904" s="187" t="s">
        <v>3398</v>
      </c>
      <c r="T904" s="187">
        <v>1105323529</v>
      </c>
      <c r="U904" s="195">
        <v>42102</v>
      </c>
      <c r="V904" s="190" t="s">
        <v>186</v>
      </c>
      <c r="W904" s="192">
        <f t="shared" si="688"/>
        <v>0</v>
      </c>
      <c r="X904" s="192" t="str">
        <f t="shared" si="689"/>
        <v>Correcto</v>
      </c>
    </row>
    <row r="905" spans="1:24" ht="18" customHeight="1" x14ac:dyDescent="0.25">
      <c r="A905" s="193">
        <v>896</v>
      </c>
      <c r="B905" s="187" t="s">
        <v>3399</v>
      </c>
      <c r="C905" s="188">
        <v>42100</v>
      </c>
      <c r="D905" s="194">
        <v>2</v>
      </c>
      <c r="E905" s="189" t="s">
        <v>93</v>
      </c>
      <c r="F905" s="187" t="s">
        <v>1654</v>
      </c>
      <c r="G905" s="189" t="s">
        <v>202</v>
      </c>
      <c r="H905" s="188">
        <v>42101</v>
      </c>
      <c r="I905" s="189" t="s">
        <v>187</v>
      </c>
      <c r="J905" s="189" t="s">
        <v>103</v>
      </c>
      <c r="K905" s="187" t="s">
        <v>3400</v>
      </c>
      <c r="L905" s="188">
        <v>42101</v>
      </c>
      <c r="M905" s="187" t="s">
        <v>1914</v>
      </c>
      <c r="N905" s="190" t="s">
        <v>185</v>
      </c>
      <c r="O905" s="188">
        <v>42101</v>
      </c>
      <c r="P905" s="191">
        <f t="shared" ref="P905:P952" si="690">O905-C905</f>
        <v>1</v>
      </c>
      <c r="Q905" s="187" t="s">
        <v>3400</v>
      </c>
      <c r="R905" s="190" t="s">
        <v>17</v>
      </c>
      <c r="S905" s="187" t="s">
        <v>3401</v>
      </c>
      <c r="T905" s="187">
        <v>1105936915</v>
      </c>
      <c r="U905" s="195">
        <v>42102</v>
      </c>
      <c r="V905" s="190" t="s">
        <v>186</v>
      </c>
      <c r="W905" s="192">
        <f t="shared" ref="W905:W968" si="691">COUNTBLANK(C905:V905)</f>
        <v>0</v>
      </c>
      <c r="X905" s="192" t="str">
        <f t="shared" ref="X905:X968" si="692">IF(W905=0,"Correcto","Incorrecto")</f>
        <v>Correcto</v>
      </c>
    </row>
    <row r="906" spans="1:24" ht="18" customHeight="1" x14ac:dyDescent="0.25">
      <c r="A906" s="193">
        <v>897</v>
      </c>
      <c r="B906" s="187" t="s">
        <v>3402</v>
      </c>
      <c r="C906" s="188">
        <v>42100</v>
      </c>
      <c r="D906" s="194">
        <v>1</v>
      </c>
      <c r="E906" s="189" t="s">
        <v>93</v>
      </c>
      <c r="F906" s="187" t="s">
        <v>1654</v>
      </c>
      <c r="G906" s="189" t="s">
        <v>202</v>
      </c>
      <c r="H906" s="188">
        <v>42100</v>
      </c>
      <c r="I906" s="189" t="s">
        <v>187</v>
      </c>
      <c r="J906" s="189" t="s">
        <v>3403</v>
      </c>
      <c r="K906" s="187" t="s">
        <v>3402</v>
      </c>
      <c r="L906" s="188">
        <v>42100</v>
      </c>
      <c r="M906" s="187" t="s">
        <v>1914</v>
      </c>
      <c r="N906" s="190" t="s">
        <v>185</v>
      </c>
      <c r="O906" s="188">
        <v>42100</v>
      </c>
      <c r="P906" s="191">
        <f t="shared" si="690"/>
        <v>0</v>
      </c>
      <c r="Q906" s="187" t="s">
        <v>3402</v>
      </c>
      <c r="R906" s="190" t="s">
        <v>17</v>
      </c>
      <c r="S906" s="187" t="s">
        <v>953</v>
      </c>
      <c r="T906" s="188" t="s">
        <v>1025</v>
      </c>
      <c r="U906" s="188">
        <v>42100</v>
      </c>
      <c r="V906" s="190" t="s">
        <v>186</v>
      </c>
      <c r="W906" s="192">
        <f t="shared" si="691"/>
        <v>0</v>
      </c>
      <c r="X906" s="192" t="str">
        <f t="shared" si="692"/>
        <v>Correcto</v>
      </c>
    </row>
    <row r="907" spans="1:24" ht="18" customHeight="1" x14ac:dyDescent="0.25">
      <c r="A907" s="193">
        <v>898</v>
      </c>
      <c r="B907" s="187" t="s">
        <v>3404</v>
      </c>
      <c r="C907" s="188">
        <v>42100</v>
      </c>
      <c r="D907" s="194">
        <v>2</v>
      </c>
      <c r="E907" s="189" t="s">
        <v>93</v>
      </c>
      <c r="F907" s="187" t="s">
        <v>825</v>
      </c>
      <c r="G907" s="189" t="s">
        <v>202</v>
      </c>
      <c r="H907" s="188">
        <v>42103</v>
      </c>
      <c r="I907" s="189" t="s">
        <v>187</v>
      </c>
      <c r="J907" s="189" t="s">
        <v>103</v>
      </c>
      <c r="K907" s="187" t="s">
        <v>3405</v>
      </c>
      <c r="L907" s="188">
        <v>42103</v>
      </c>
      <c r="M907" s="187" t="s">
        <v>1914</v>
      </c>
      <c r="N907" s="190" t="s">
        <v>185</v>
      </c>
      <c r="O907" s="188">
        <v>42104</v>
      </c>
      <c r="P907" s="191">
        <f t="shared" si="690"/>
        <v>4</v>
      </c>
      <c r="Q907" s="187" t="s">
        <v>3406</v>
      </c>
      <c r="R907" s="190" t="s">
        <v>17</v>
      </c>
      <c r="S907" s="187" t="s">
        <v>101</v>
      </c>
      <c r="T907" s="187" t="s">
        <v>953</v>
      </c>
      <c r="U907" s="195">
        <v>42107</v>
      </c>
      <c r="V907" s="190" t="s">
        <v>186</v>
      </c>
      <c r="W907" s="192">
        <f t="shared" si="691"/>
        <v>0</v>
      </c>
      <c r="X907" s="192" t="str">
        <f t="shared" si="692"/>
        <v>Correcto</v>
      </c>
    </row>
    <row r="908" spans="1:24" ht="18" customHeight="1" x14ac:dyDescent="0.25">
      <c r="A908" s="193">
        <v>899</v>
      </c>
      <c r="B908" s="187" t="s">
        <v>3407</v>
      </c>
      <c r="C908" s="188">
        <v>42100</v>
      </c>
      <c r="D908" s="194">
        <v>2</v>
      </c>
      <c r="E908" s="189" t="s">
        <v>93</v>
      </c>
      <c r="F908" s="187" t="s">
        <v>825</v>
      </c>
      <c r="G908" s="189" t="s">
        <v>202</v>
      </c>
      <c r="H908" s="188">
        <v>42107</v>
      </c>
      <c r="I908" s="189" t="s">
        <v>187</v>
      </c>
      <c r="J908" s="189" t="s">
        <v>103</v>
      </c>
      <c r="K908" s="187" t="s">
        <v>3408</v>
      </c>
      <c r="L908" s="188">
        <v>42107</v>
      </c>
      <c r="M908" s="187" t="s">
        <v>1914</v>
      </c>
      <c r="N908" s="190" t="s">
        <v>185</v>
      </c>
      <c r="O908" s="188">
        <v>42107</v>
      </c>
      <c r="P908" s="191">
        <f t="shared" si="690"/>
        <v>7</v>
      </c>
      <c r="Q908" s="187" t="s">
        <v>3409</v>
      </c>
      <c r="R908" s="190" t="s">
        <v>17</v>
      </c>
      <c r="S908" s="187" t="s">
        <v>101</v>
      </c>
      <c r="T908" s="187" t="s">
        <v>953</v>
      </c>
      <c r="U908" s="195">
        <v>42111</v>
      </c>
      <c r="V908" s="190" t="s">
        <v>186</v>
      </c>
      <c r="W908" s="192">
        <f t="shared" si="691"/>
        <v>0</v>
      </c>
      <c r="X908" s="192" t="str">
        <f t="shared" si="692"/>
        <v>Correcto</v>
      </c>
    </row>
    <row r="909" spans="1:24" ht="18" customHeight="1" x14ac:dyDescent="0.25">
      <c r="A909" s="193">
        <v>900</v>
      </c>
      <c r="B909" s="187" t="s">
        <v>3410</v>
      </c>
      <c r="C909" s="188">
        <v>42100</v>
      </c>
      <c r="D909" s="194">
        <v>2</v>
      </c>
      <c r="E909" s="189" t="s">
        <v>93</v>
      </c>
      <c r="F909" s="187" t="s">
        <v>1654</v>
      </c>
      <c r="G909" s="189" t="s">
        <v>202</v>
      </c>
      <c r="H909" s="188">
        <v>42101</v>
      </c>
      <c r="I909" s="189" t="s">
        <v>187</v>
      </c>
      <c r="J909" s="189" t="s">
        <v>103</v>
      </c>
      <c r="K909" s="187" t="s">
        <v>3411</v>
      </c>
      <c r="L909" s="188">
        <v>42101</v>
      </c>
      <c r="M909" s="187" t="s">
        <v>1914</v>
      </c>
      <c r="N909" s="190" t="s">
        <v>185</v>
      </c>
      <c r="O909" s="188">
        <v>42101</v>
      </c>
      <c r="P909" s="191">
        <f t="shared" si="690"/>
        <v>1</v>
      </c>
      <c r="Q909" s="187" t="s">
        <v>3411</v>
      </c>
      <c r="R909" s="190" t="s">
        <v>17</v>
      </c>
      <c r="S909" s="187" t="s">
        <v>3412</v>
      </c>
      <c r="T909" s="187">
        <v>1102085196</v>
      </c>
      <c r="U909" s="195">
        <v>42101</v>
      </c>
      <c r="V909" s="190" t="s">
        <v>186</v>
      </c>
      <c r="W909" s="192">
        <f t="shared" si="691"/>
        <v>0</v>
      </c>
      <c r="X909" s="192" t="str">
        <f t="shared" si="692"/>
        <v>Correcto</v>
      </c>
    </row>
    <row r="910" spans="1:24" ht="18" customHeight="1" x14ac:dyDescent="0.25">
      <c r="A910" s="193">
        <v>901</v>
      </c>
      <c r="B910" s="187" t="s">
        <v>3413</v>
      </c>
      <c r="C910" s="188">
        <v>42100</v>
      </c>
      <c r="D910" s="194">
        <v>2</v>
      </c>
      <c r="E910" s="189" t="s">
        <v>93</v>
      </c>
      <c r="F910" s="187" t="s">
        <v>1654</v>
      </c>
      <c r="G910" s="189" t="s">
        <v>202</v>
      </c>
      <c r="H910" s="188">
        <v>42102</v>
      </c>
      <c r="I910" s="189" t="s">
        <v>187</v>
      </c>
      <c r="J910" s="189" t="s">
        <v>103</v>
      </c>
      <c r="K910" s="187" t="s">
        <v>3414</v>
      </c>
      <c r="L910" s="188">
        <v>42102</v>
      </c>
      <c r="M910" s="187" t="s">
        <v>1914</v>
      </c>
      <c r="N910" s="190" t="s">
        <v>185</v>
      </c>
      <c r="O910" s="188">
        <v>42102</v>
      </c>
      <c r="P910" s="191">
        <f t="shared" si="690"/>
        <v>2</v>
      </c>
      <c r="Q910" s="187" t="s">
        <v>3414</v>
      </c>
      <c r="R910" s="190" t="s">
        <v>17</v>
      </c>
      <c r="S910" s="187" t="s">
        <v>3147</v>
      </c>
      <c r="T910" s="187">
        <v>700960719</v>
      </c>
      <c r="U910" s="195">
        <v>42102</v>
      </c>
      <c r="V910" s="190" t="s">
        <v>186</v>
      </c>
      <c r="W910" s="192">
        <f t="shared" si="691"/>
        <v>0</v>
      </c>
      <c r="X910" s="192" t="str">
        <f t="shared" si="692"/>
        <v>Correcto</v>
      </c>
    </row>
    <row r="911" spans="1:24" ht="18" customHeight="1" x14ac:dyDescent="0.25">
      <c r="A911" s="193">
        <v>902</v>
      </c>
      <c r="B911" s="187" t="s">
        <v>3415</v>
      </c>
      <c r="C911" s="188">
        <v>42100</v>
      </c>
      <c r="D911" s="194">
        <v>2</v>
      </c>
      <c r="E911" s="189" t="s">
        <v>93</v>
      </c>
      <c r="F911" s="187" t="s">
        <v>825</v>
      </c>
      <c r="G911" s="189" t="s">
        <v>202</v>
      </c>
      <c r="H911" s="188">
        <v>42102</v>
      </c>
      <c r="I911" s="189" t="s">
        <v>187</v>
      </c>
      <c r="J911" s="189" t="s">
        <v>103</v>
      </c>
      <c r="K911" s="187" t="s">
        <v>3416</v>
      </c>
      <c r="L911" s="188">
        <v>42102</v>
      </c>
      <c r="M911" s="187" t="s">
        <v>824</v>
      </c>
      <c r="N911" s="190" t="s">
        <v>185</v>
      </c>
      <c r="O911" s="188">
        <v>42102</v>
      </c>
      <c r="P911" s="191">
        <f t="shared" si="690"/>
        <v>2</v>
      </c>
      <c r="Q911" s="187" t="s">
        <v>3416</v>
      </c>
      <c r="R911" s="190" t="s">
        <v>17</v>
      </c>
      <c r="S911" s="187" t="s">
        <v>101</v>
      </c>
      <c r="T911" s="187" t="s">
        <v>3417</v>
      </c>
      <c r="U911" s="188">
        <v>42107</v>
      </c>
      <c r="V911" s="190" t="s">
        <v>186</v>
      </c>
      <c r="W911" s="192">
        <f t="shared" si="691"/>
        <v>0</v>
      </c>
      <c r="X911" s="192" t="str">
        <f t="shared" si="692"/>
        <v>Correcto</v>
      </c>
    </row>
    <row r="912" spans="1:24" ht="18" customHeight="1" x14ac:dyDescent="0.25">
      <c r="A912" s="193">
        <v>903</v>
      </c>
      <c r="B912" s="187" t="s">
        <v>3418</v>
      </c>
      <c r="C912" s="188">
        <v>42100</v>
      </c>
      <c r="D912" s="194">
        <v>2</v>
      </c>
      <c r="E912" s="189" t="s">
        <v>93</v>
      </c>
      <c r="F912" s="187" t="s">
        <v>825</v>
      </c>
      <c r="G912" s="189" t="s">
        <v>202</v>
      </c>
      <c r="H912" s="188">
        <v>42104</v>
      </c>
      <c r="I912" s="189" t="s">
        <v>187</v>
      </c>
      <c r="J912" s="189" t="s">
        <v>103</v>
      </c>
      <c r="K912" s="187" t="s">
        <v>3419</v>
      </c>
      <c r="L912" s="188">
        <v>42104</v>
      </c>
      <c r="M912" s="187" t="s">
        <v>1914</v>
      </c>
      <c r="N912" s="190" t="s">
        <v>185</v>
      </c>
      <c r="O912" s="188">
        <v>42104</v>
      </c>
      <c r="P912" s="191">
        <f t="shared" si="690"/>
        <v>4</v>
      </c>
      <c r="Q912" s="187" t="s">
        <v>3420</v>
      </c>
      <c r="R912" s="190" t="s">
        <v>17</v>
      </c>
      <c r="S912" s="187" t="s">
        <v>101</v>
      </c>
      <c r="T912" s="187" t="s">
        <v>2730</v>
      </c>
      <c r="U912" s="195">
        <v>42107</v>
      </c>
      <c r="V912" s="190" t="s">
        <v>186</v>
      </c>
      <c r="W912" s="192">
        <f t="shared" si="691"/>
        <v>0</v>
      </c>
      <c r="X912" s="192" t="str">
        <f t="shared" si="692"/>
        <v>Correcto</v>
      </c>
    </row>
    <row r="913" spans="1:24" ht="18" customHeight="1" x14ac:dyDescent="0.25">
      <c r="A913" s="193">
        <v>904</v>
      </c>
      <c r="B913" s="187" t="s">
        <v>3421</v>
      </c>
      <c r="C913" s="188">
        <v>42100</v>
      </c>
      <c r="D913" s="194">
        <v>2</v>
      </c>
      <c r="E913" s="189" t="s">
        <v>93</v>
      </c>
      <c r="F913" s="187" t="s">
        <v>825</v>
      </c>
      <c r="G913" s="189" t="s">
        <v>202</v>
      </c>
      <c r="H913" s="188">
        <v>42104</v>
      </c>
      <c r="I913" s="189" t="s">
        <v>187</v>
      </c>
      <c r="J913" s="189" t="s">
        <v>103</v>
      </c>
      <c r="K913" s="187" t="s">
        <v>3422</v>
      </c>
      <c r="L913" s="188">
        <v>42104</v>
      </c>
      <c r="M913" s="187" t="s">
        <v>1914</v>
      </c>
      <c r="N913" s="190" t="s">
        <v>185</v>
      </c>
      <c r="O913" s="188">
        <v>42104</v>
      </c>
      <c r="P913" s="191">
        <f t="shared" si="690"/>
        <v>4</v>
      </c>
      <c r="Q913" s="187" t="s">
        <v>3423</v>
      </c>
      <c r="R913" s="190" t="s">
        <v>17</v>
      </c>
      <c r="S913" s="187" t="s">
        <v>101</v>
      </c>
      <c r="T913" s="187" t="s">
        <v>1017</v>
      </c>
      <c r="U913" s="195">
        <v>42107</v>
      </c>
      <c r="V913" s="190" t="s">
        <v>186</v>
      </c>
      <c r="W913" s="192">
        <f t="shared" si="691"/>
        <v>0</v>
      </c>
      <c r="X913" s="192" t="str">
        <f t="shared" si="692"/>
        <v>Correcto</v>
      </c>
    </row>
    <row r="914" spans="1:24" ht="18" customHeight="1" x14ac:dyDescent="0.25">
      <c r="A914" s="193">
        <v>905</v>
      </c>
      <c r="B914" s="187" t="s">
        <v>3424</v>
      </c>
      <c r="C914" s="188">
        <v>42100</v>
      </c>
      <c r="D914" s="194">
        <v>2</v>
      </c>
      <c r="E914" s="189" t="s">
        <v>93</v>
      </c>
      <c r="F914" s="187" t="s">
        <v>1654</v>
      </c>
      <c r="G914" s="189" t="s">
        <v>202</v>
      </c>
      <c r="H914" s="188">
        <v>42101</v>
      </c>
      <c r="I914" s="189" t="s">
        <v>187</v>
      </c>
      <c r="J914" s="189" t="s">
        <v>103</v>
      </c>
      <c r="K914" s="187" t="s">
        <v>3425</v>
      </c>
      <c r="L914" s="188">
        <v>42101</v>
      </c>
      <c r="M914" s="187" t="s">
        <v>1914</v>
      </c>
      <c r="N914" s="190" t="s">
        <v>185</v>
      </c>
      <c r="O914" s="188">
        <v>42101</v>
      </c>
      <c r="P914" s="191">
        <f t="shared" si="690"/>
        <v>1</v>
      </c>
      <c r="Q914" s="187" t="s">
        <v>3425</v>
      </c>
      <c r="R914" s="190" t="s">
        <v>17</v>
      </c>
      <c r="S914" s="187" t="s">
        <v>3426</v>
      </c>
      <c r="T914" s="187">
        <v>1103973879</v>
      </c>
      <c r="U914" s="195">
        <v>42102</v>
      </c>
      <c r="V914" s="190" t="s">
        <v>186</v>
      </c>
      <c r="W914" s="192">
        <f t="shared" si="691"/>
        <v>0</v>
      </c>
      <c r="X914" s="192" t="str">
        <f t="shared" si="692"/>
        <v>Correcto</v>
      </c>
    </row>
    <row r="915" spans="1:24" ht="18" customHeight="1" x14ac:dyDescent="0.25">
      <c r="A915" s="193">
        <v>906</v>
      </c>
      <c r="B915" s="187" t="s">
        <v>3427</v>
      </c>
      <c r="C915" s="188">
        <v>42100</v>
      </c>
      <c r="D915" s="194">
        <v>2</v>
      </c>
      <c r="E915" s="189" t="s">
        <v>93</v>
      </c>
      <c r="F915" s="187" t="s">
        <v>1654</v>
      </c>
      <c r="G915" s="189" t="s">
        <v>202</v>
      </c>
      <c r="H915" s="188">
        <v>42101</v>
      </c>
      <c r="I915" s="189" t="s">
        <v>187</v>
      </c>
      <c r="J915" s="189" t="s">
        <v>103</v>
      </c>
      <c r="K915" s="187" t="s">
        <v>3428</v>
      </c>
      <c r="L915" s="188">
        <v>42101</v>
      </c>
      <c r="M915" s="187" t="s">
        <v>1914</v>
      </c>
      <c r="N915" s="190" t="s">
        <v>185</v>
      </c>
      <c r="O915" s="188">
        <v>42101</v>
      </c>
      <c r="P915" s="191">
        <f t="shared" si="690"/>
        <v>1</v>
      </c>
      <c r="Q915" s="187" t="s">
        <v>3428</v>
      </c>
      <c r="R915" s="190" t="s">
        <v>17</v>
      </c>
      <c r="S915" s="187" t="s">
        <v>3429</v>
      </c>
      <c r="T915" s="187">
        <v>1104707763</v>
      </c>
      <c r="U915" s="195">
        <v>42102</v>
      </c>
      <c r="V915" s="190" t="s">
        <v>186</v>
      </c>
      <c r="W915" s="192">
        <f t="shared" si="691"/>
        <v>0</v>
      </c>
      <c r="X915" s="192" t="str">
        <f t="shared" si="692"/>
        <v>Correcto</v>
      </c>
    </row>
    <row r="916" spans="1:24" ht="18" customHeight="1" x14ac:dyDescent="0.25">
      <c r="A916" s="193">
        <v>907</v>
      </c>
      <c r="B916" s="187" t="s">
        <v>3430</v>
      </c>
      <c r="C916" s="188">
        <v>42100</v>
      </c>
      <c r="D916" s="194">
        <v>2</v>
      </c>
      <c r="E916" s="189" t="s">
        <v>93</v>
      </c>
      <c r="F916" s="187" t="s">
        <v>1654</v>
      </c>
      <c r="G916" s="189" t="s">
        <v>202</v>
      </c>
      <c r="H916" s="188">
        <v>42101</v>
      </c>
      <c r="I916" s="189" t="s">
        <v>187</v>
      </c>
      <c r="J916" s="189" t="s">
        <v>103</v>
      </c>
      <c r="K916" s="187" t="s">
        <v>3431</v>
      </c>
      <c r="L916" s="188">
        <v>42101</v>
      </c>
      <c r="M916" s="187" t="s">
        <v>1914</v>
      </c>
      <c r="N916" s="190" t="s">
        <v>185</v>
      </c>
      <c r="O916" s="188">
        <v>42101</v>
      </c>
      <c r="P916" s="191">
        <f t="shared" si="690"/>
        <v>1</v>
      </c>
      <c r="Q916" s="187" t="s">
        <v>3431</v>
      </c>
      <c r="R916" s="190" t="s">
        <v>17</v>
      </c>
      <c r="S916" s="187" t="s">
        <v>3432</v>
      </c>
      <c r="T916" s="187">
        <v>1102480942</v>
      </c>
      <c r="U916" s="195">
        <v>42101</v>
      </c>
      <c r="V916" s="190" t="s">
        <v>186</v>
      </c>
      <c r="W916" s="192">
        <f t="shared" si="691"/>
        <v>0</v>
      </c>
      <c r="X916" s="192" t="str">
        <f t="shared" si="692"/>
        <v>Correcto</v>
      </c>
    </row>
    <row r="917" spans="1:24" ht="18" customHeight="1" x14ac:dyDescent="0.25">
      <c r="A917" s="193">
        <v>908</v>
      </c>
      <c r="B917" s="187" t="s">
        <v>3433</v>
      </c>
      <c r="C917" s="188">
        <v>42100</v>
      </c>
      <c r="D917" s="194">
        <v>18</v>
      </c>
      <c r="E917" s="189" t="s">
        <v>93</v>
      </c>
      <c r="F917" s="187" t="s">
        <v>825</v>
      </c>
      <c r="G917" s="189" t="s">
        <v>202</v>
      </c>
      <c r="H917" s="188">
        <v>42104</v>
      </c>
      <c r="I917" s="189" t="s">
        <v>187</v>
      </c>
      <c r="J917" s="189" t="s">
        <v>103</v>
      </c>
      <c r="K917" s="187" t="s">
        <v>3434</v>
      </c>
      <c r="L917" s="188">
        <v>42104</v>
      </c>
      <c r="M917" s="187" t="s">
        <v>1914</v>
      </c>
      <c r="N917" s="190" t="s">
        <v>185</v>
      </c>
      <c r="O917" s="188">
        <v>42104</v>
      </c>
      <c r="P917" s="191">
        <f t="shared" si="690"/>
        <v>4</v>
      </c>
      <c r="Q917" s="187" t="s">
        <v>3435</v>
      </c>
      <c r="R917" s="190" t="s">
        <v>17</v>
      </c>
      <c r="S917" s="187" t="s">
        <v>101</v>
      </c>
      <c r="T917" s="187" t="s">
        <v>2258</v>
      </c>
      <c r="U917" s="195">
        <v>42107</v>
      </c>
      <c r="V917" s="190" t="s">
        <v>186</v>
      </c>
      <c r="W917" s="192">
        <f t="shared" si="691"/>
        <v>0</v>
      </c>
      <c r="X917" s="192" t="str">
        <f t="shared" si="692"/>
        <v>Correcto</v>
      </c>
    </row>
    <row r="918" spans="1:24" ht="18" customHeight="1" x14ac:dyDescent="0.25">
      <c r="A918" s="193">
        <v>909</v>
      </c>
      <c r="B918" s="187" t="s">
        <v>3436</v>
      </c>
      <c r="C918" s="188">
        <v>42100</v>
      </c>
      <c r="D918" s="194">
        <v>2</v>
      </c>
      <c r="E918" s="189" t="s">
        <v>93</v>
      </c>
      <c r="F918" s="187" t="s">
        <v>825</v>
      </c>
      <c r="G918" s="189" t="s">
        <v>202</v>
      </c>
      <c r="H918" s="188">
        <v>42104</v>
      </c>
      <c r="I918" s="189" t="s">
        <v>187</v>
      </c>
      <c r="J918" s="189" t="s">
        <v>103</v>
      </c>
      <c r="K918" s="187" t="s">
        <v>3437</v>
      </c>
      <c r="L918" s="188">
        <v>42104</v>
      </c>
      <c r="M918" s="187" t="s">
        <v>1914</v>
      </c>
      <c r="N918" s="190" t="s">
        <v>185</v>
      </c>
      <c r="O918" s="188">
        <v>42104</v>
      </c>
      <c r="P918" s="191">
        <f t="shared" si="690"/>
        <v>4</v>
      </c>
      <c r="Q918" s="187" t="s">
        <v>3438</v>
      </c>
      <c r="R918" s="190" t="s">
        <v>17</v>
      </c>
      <c r="S918" s="187" t="s">
        <v>101</v>
      </c>
      <c r="T918" s="187" t="s">
        <v>1163</v>
      </c>
      <c r="U918" s="195">
        <v>42107</v>
      </c>
      <c r="V918" s="190" t="s">
        <v>186</v>
      </c>
      <c r="W918" s="192">
        <f t="shared" si="691"/>
        <v>0</v>
      </c>
      <c r="X918" s="192" t="str">
        <f t="shared" si="692"/>
        <v>Correcto</v>
      </c>
    </row>
    <row r="919" spans="1:24" ht="18" customHeight="1" x14ac:dyDescent="0.25">
      <c r="A919" s="193">
        <v>910</v>
      </c>
      <c r="B919" s="187" t="s">
        <v>3439</v>
      </c>
      <c r="C919" s="188">
        <v>42100</v>
      </c>
      <c r="D919" s="194">
        <v>2</v>
      </c>
      <c r="E919" s="189" t="s">
        <v>93</v>
      </c>
      <c r="F919" s="187" t="s">
        <v>825</v>
      </c>
      <c r="G919" s="189" t="s">
        <v>202</v>
      </c>
      <c r="H919" s="188">
        <v>42103</v>
      </c>
      <c r="I919" s="189" t="s">
        <v>187</v>
      </c>
      <c r="J919" s="189" t="s">
        <v>103</v>
      </c>
      <c r="K919" s="187" t="s">
        <v>3440</v>
      </c>
      <c r="L919" s="188">
        <v>42103</v>
      </c>
      <c r="M919" s="187" t="s">
        <v>1914</v>
      </c>
      <c r="N919" s="190" t="s">
        <v>185</v>
      </c>
      <c r="O919" s="188">
        <v>42103</v>
      </c>
      <c r="P919" s="191">
        <f t="shared" si="690"/>
        <v>3</v>
      </c>
      <c r="Q919" s="187" t="s">
        <v>3441</v>
      </c>
      <c r="R919" s="190" t="s">
        <v>17</v>
      </c>
      <c r="S919" s="187" t="s">
        <v>101</v>
      </c>
      <c r="T919" s="187" t="s">
        <v>1019</v>
      </c>
      <c r="U919" s="195">
        <v>42107</v>
      </c>
      <c r="V919" s="190" t="s">
        <v>186</v>
      </c>
      <c r="W919" s="192">
        <f t="shared" si="691"/>
        <v>0</v>
      </c>
      <c r="X919" s="192" t="str">
        <f t="shared" si="692"/>
        <v>Correcto</v>
      </c>
    </row>
    <row r="920" spans="1:24" ht="18" customHeight="1" x14ac:dyDescent="0.25">
      <c r="A920" s="193">
        <v>911</v>
      </c>
      <c r="B920" s="187" t="s">
        <v>3442</v>
      </c>
      <c r="C920" s="188">
        <v>42101</v>
      </c>
      <c r="D920" s="194">
        <v>2</v>
      </c>
      <c r="E920" s="189" t="s">
        <v>93</v>
      </c>
      <c r="F920" s="187" t="s">
        <v>825</v>
      </c>
      <c r="G920" s="189" t="s">
        <v>202</v>
      </c>
      <c r="H920" s="188">
        <v>42102</v>
      </c>
      <c r="I920" s="189" t="s">
        <v>187</v>
      </c>
      <c r="J920" s="189" t="s">
        <v>103</v>
      </c>
      <c r="K920" s="187" t="s">
        <v>3443</v>
      </c>
      <c r="L920" s="188">
        <v>42102</v>
      </c>
      <c r="M920" s="187" t="s">
        <v>824</v>
      </c>
      <c r="N920" s="190" t="s">
        <v>185</v>
      </c>
      <c r="O920" s="188">
        <v>42102</v>
      </c>
      <c r="P920" s="191">
        <f t="shared" si="690"/>
        <v>1</v>
      </c>
      <c r="Q920" s="187" t="s">
        <v>3443</v>
      </c>
      <c r="R920" s="190" t="s">
        <v>17</v>
      </c>
      <c r="S920" s="187" t="s">
        <v>101</v>
      </c>
      <c r="T920" s="187" t="s">
        <v>1019</v>
      </c>
      <c r="U920" s="195">
        <v>42103</v>
      </c>
      <c r="V920" s="190" t="s">
        <v>186</v>
      </c>
      <c r="W920" s="192">
        <f t="shared" si="691"/>
        <v>0</v>
      </c>
      <c r="X920" s="192" t="str">
        <f t="shared" si="692"/>
        <v>Correcto</v>
      </c>
    </row>
    <row r="921" spans="1:24" ht="18" customHeight="1" x14ac:dyDescent="0.25">
      <c r="A921" s="193">
        <v>912</v>
      </c>
      <c r="B921" s="187" t="s">
        <v>3444</v>
      </c>
      <c r="C921" s="188">
        <v>42101</v>
      </c>
      <c r="D921" s="194">
        <v>2</v>
      </c>
      <c r="E921" s="189" t="s">
        <v>93</v>
      </c>
      <c r="F921" s="187" t="s">
        <v>825</v>
      </c>
      <c r="G921" s="189" t="s">
        <v>202</v>
      </c>
      <c r="H921" s="188">
        <v>42104</v>
      </c>
      <c r="I921" s="189" t="s">
        <v>187</v>
      </c>
      <c r="J921" s="189" t="s">
        <v>103</v>
      </c>
      <c r="K921" s="187" t="s">
        <v>3445</v>
      </c>
      <c r="L921" s="188">
        <v>42104</v>
      </c>
      <c r="M921" s="187" t="s">
        <v>1914</v>
      </c>
      <c r="N921" s="190" t="s">
        <v>185</v>
      </c>
      <c r="O921" s="188">
        <v>42104</v>
      </c>
      <c r="P921" s="191">
        <f t="shared" si="690"/>
        <v>3</v>
      </c>
      <c r="Q921" s="187" t="s">
        <v>3446</v>
      </c>
      <c r="R921" s="190" t="s">
        <v>17</v>
      </c>
      <c r="S921" s="187" t="s">
        <v>101</v>
      </c>
      <c r="T921" s="187" t="s">
        <v>996</v>
      </c>
      <c r="U921" s="195">
        <v>42107</v>
      </c>
      <c r="V921" s="190" t="s">
        <v>186</v>
      </c>
      <c r="W921" s="192">
        <f t="shared" si="691"/>
        <v>0</v>
      </c>
      <c r="X921" s="192" t="str">
        <f t="shared" si="692"/>
        <v>Correcto</v>
      </c>
    </row>
    <row r="922" spans="1:24" ht="18" customHeight="1" x14ac:dyDescent="0.25">
      <c r="A922" s="193">
        <v>913</v>
      </c>
      <c r="B922" s="187" t="s">
        <v>3447</v>
      </c>
      <c r="C922" s="188">
        <v>42101</v>
      </c>
      <c r="D922" s="194">
        <v>2</v>
      </c>
      <c r="E922" s="189" t="s">
        <v>93</v>
      </c>
      <c r="F922" s="187" t="s">
        <v>825</v>
      </c>
      <c r="G922" s="189" t="s">
        <v>202</v>
      </c>
      <c r="H922" s="188">
        <v>42104</v>
      </c>
      <c r="I922" s="189" t="s">
        <v>187</v>
      </c>
      <c r="J922" s="189" t="s">
        <v>103</v>
      </c>
      <c r="K922" s="187" t="s">
        <v>3448</v>
      </c>
      <c r="L922" s="188">
        <v>42104</v>
      </c>
      <c r="M922" s="187" t="s">
        <v>1914</v>
      </c>
      <c r="N922" s="190" t="s">
        <v>185</v>
      </c>
      <c r="O922" s="188">
        <v>42104</v>
      </c>
      <c r="P922" s="191">
        <f t="shared" si="690"/>
        <v>3</v>
      </c>
      <c r="Q922" s="187" t="s">
        <v>3449</v>
      </c>
      <c r="R922" s="190" t="s">
        <v>17</v>
      </c>
      <c r="S922" s="187" t="s">
        <v>101</v>
      </c>
      <c r="T922" s="187" t="s">
        <v>3450</v>
      </c>
      <c r="U922" s="195">
        <v>42107</v>
      </c>
      <c r="V922" s="190" t="s">
        <v>186</v>
      </c>
      <c r="W922" s="192">
        <f t="shared" si="691"/>
        <v>0</v>
      </c>
      <c r="X922" s="192" t="str">
        <f t="shared" si="692"/>
        <v>Correcto</v>
      </c>
    </row>
    <row r="923" spans="1:24" ht="18" customHeight="1" x14ac:dyDescent="0.25">
      <c r="A923" s="193">
        <v>914</v>
      </c>
      <c r="B923" s="187" t="s">
        <v>3451</v>
      </c>
      <c r="C923" s="188">
        <v>42101</v>
      </c>
      <c r="D923" s="194">
        <v>2</v>
      </c>
      <c r="E923" s="189" t="s">
        <v>93</v>
      </c>
      <c r="F923" s="187" t="s">
        <v>1654</v>
      </c>
      <c r="G923" s="189" t="s">
        <v>202</v>
      </c>
      <c r="H923" s="188">
        <v>42103</v>
      </c>
      <c r="I923" s="189" t="s">
        <v>187</v>
      </c>
      <c r="J923" s="189" t="s">
        <v>103</v>
      </c>
      <c r="K923" s="187" t="s">
        <v>3452</v>
      </c>
      <c r="L923" s="188">
        <v>42103</v>
      </c>
      <c r="M923" s="187" t="s">
        <v>1914</v>
      </c>
      <c r="N923" s="190" t="s">
        <v>185</v>
      </c>
      <c r="O923" s="188">
        <v>42103</v>
      </c>
      <c r="P923" s="191">
        <f t="shared" si="690"/>
        <v>2</v>
      </c>
      <c r="Q923" s="187" t="s">
        <v>3452</v>
      </c>
      <c r="R923" s="190" t="s">
        <v>17</v>
      </c>
      <c r="S923" s="187" t="s">
        <v>3453</v>
      </c>
      <c r="T923" s="187">
        <v>1103264626</v>
      </c>
      <c r="U923" s="195">
        <v>42104</v>
      </c>
      <c r="V923" s="190" t="s">
        <v>186</v>
      </c>
      <c r="W923" s="192">
        <f t="shared" si="691"/>
        <v>0</v>
      </c>
      <c r="X923" s="192" t="str">
        <f t="shared" si="692"/>
        <v>Correcto</v>
      </c>
    </row>
    <row r="924" spans="1:24" ht="18" customHeight="1" x14ac:dyDescent="0.25">
      <c r="A924" s="193">
        <v>915</v>
      </c>
      <c r="B924" s="187" t="s">
        <v>3454</v>
      </c>
      <c r="C924" s="188">
        <v>42101</v>
      </c>
      <c r="D924" s="194">
        <v>2</v>
      </c>
      <c r="E924" s="189" t="s">
        <v>93</v>
      </c>
      <c r="F924" s="187" t="s">
        <v>825</v>
      </c>
      <c r="G924" s="189" t="s">
        <v>202</v>
      </c>
      <c r="H924" s="188">
        <v>42107</v>
      </c>
      <c r="I924" s="189" t="s">
        <v>187</v>
      </c>
      <c r="J924" s="189" t="s">
        <v>103</v>
      </c>
      <c r="K924" s="187" t="s">
        <v>3455</v>
      </c>
      <c r="L924" s="188">
        <v>42107</v>
      </c>
      <c r="M924" s="187" t="s">
        <v>1914</v>
      </c>
      <c r="N924" s="190" t="s">
        <v>185</v>
      </c>
      <c r="O924" s="188">
        <v>42107</v>
      </c>
      <c r="P924" s="191">
        <f t="shared" si="690"/>
        <v>6</v>
      </c>
      <c r="Q924" s="187" t="s">
        <v>3456</v>
      </c>
      <c r="R924" s="190" t="s">
        <v>17</v>
      </c>
      <c r="S924" s="187" t="s">
        <v>101</v>
      </c>
      <c r="T924" s="187" t="s">
        <v>1150</v>
      </c>
      <c r="U924" s="195">
        <v>42111</v>
      </c>
      <c r="V924" s="190" t="s">
        <v>186</v>
      </c>
      <c r="W924" s="192">
        <f t="shared" si="691"/>
        <v>0</v>
      </c>
      <c r="X924" s="192" t="str">
        <f t="shared" si="692"/>
        <v>Correcto</v>
      </c>
    </row>
    <row r="925" spans="1:24" ht="18" customHeight="1" x14ac:dyDescent="0.25">
      <c r="A925" s="193">
        <v>916</v>
      </c>
      <c r="B925" s="187" t="s">
        <v>3457</v>
      </c>
      <c r="C925" s="188">
        <v>42101</v>
      </c>
      <c r="D925" s="194">
        <v>2</v>
      </c>
      <c r="E925" s="189" t="s">
        <v>93</v>
      </c>
      <c r="F925" s="187" t="s">
        <v>825</v>
      </c>
      <c r="G925" s="189" t="s">
        <v>202</v>
      </c>
      <c r="H925" s="188">
        <v>42101</v>
      </c>
      <c r="I925" s="189" t="s">
        <v>187</v>
      </c>
      <c r="J925" s="189" t="s">
        <v>103</v>
      </c>
      <c r="K925" s="187" t="s">
        <v>3458</v>
      </c>
      <c r="L925" s="188">
        <v>42101</v>
      </c>
      <c r="M925" s="187" t="s">
        <v>1914</v>
      </c>
      <c r="N925" s="190" t="s">
        <v>185</v>
      </c>
      <c r="O925" s="188">
        <v>42102</v>
      </c>
      <c r="P925" s="191">
        <f t="shared" si="690"/>
        <v>1</v>
      </c>
      <c r="Q925" s="187" t="s">
        <v>3459</v>
      </c>
      <c r="R925" s="190" t="s">
        <v>17</v>
      </c>
      <c r="S925" s="187" t="s">
        <v>3194</v>
      </c>
      <c r="T925" s="187" t="s">
        <v>3350</v>
      </c>
      <c r="U925" s="195">
        <v>42102</v>
      </c>
      <c r="V925" s="190" t="s">
        <v>186</v>
      </c>
      <c r="W925" s="192">
        <f t="shared" si="691"/>
        <v>0</v>
      </c>
      <c r="X925" s="192" t="str">
        <f t="shared" si="692"/>
        <v>Correcto</v>
      </c>
    </row>
    <row r="926" spans="1:24" ht="18" customHeight="1" x14ac:dyDescent="0.25">
      <c r="A926" s="193">
        <v>917</v>
      </c>
      <c r="B926" s="187" t="s">
        <v>3460</v>
      </c>
      <c r="C926" s="188">
        <v>42101</v>
      </c>
      <c r="D926" s="194">
        <v>9</v>
      </c>
      <c r="E926" s="189" t="s">
        <v>93</v>
      </c>
      <c r="F926" s="187" t="s">
        <v>825</v>
      </c>
      <c r="G926" s="189" t="s">
        <v>202</v>
      </c>
      <c r="H926" s="188">
        <v>42101</v>
      </c>
      <c r="I926" s="189" t="s">
        <v>187</v>
      </c>
      <c r="J926" s="189" t="s">
        <v>103</v>
      </c>
      <c r="K926" s="187" t="s">
        <v>3461</v>
      </c>
      <c r="L926" s="188">
        <v>42101</v>
      </c>
      <c r="M926" s="187" t="s">
        <v>1914</v>
      </c>
      <c r="N926" s="190" t="s">
        <v>185</v>
      </c>
      <c r="O926" s="188">
        <v>42102</v>
      </c>
      <c r="P926" s="191">
        <f t="shared" si="690"/>
        <v>1</v>
      </c>
      <c r="Q926" s="187" t="s">
        <v>3462</v>
      </c>
      <c r="R926" s="190" t="s">
        <v>17</v>
      </c>
      <c r="S926" s="187" t="s">
        <v>3194</v>
      </c>
      <c r="T926" s="187" t="s">
        <v>3350</v>
      </c>
      <c r="U926" s="195">
        <v>42102</v>
      </c>
      <c r="V926" s="190" t="s">
        <v>186</v>
      </c>
      <c r="W926" s="192">
        <f t="shared" si="691"/>
        <v>0</v>
      </c>
      <c r="X926" s="192" t="str">
        <f t="shared" si="692"/>
        <v>Correcto</v>
      </c>
    </row>
    <row r="927" spans="1:24" ht="18" customHeight="1" x14ac:dyDescent="0.25">
      <c r="A927" s="193">
        <v>918</v>
      </c>
      <c r="B927" s="187" t="s">
        <v>3463</v>
      </c>
      <c r="C927" s="188">
        <v>42101</v>
      </c>
      <c r="D927" s="194">
        <v>9</v>
      </c>
      <c r="E927" s="189" t="s">
        <v>93</v>
      </c>
      <c r="F927" s="187" t="s">
        <v>825</v>
      </c>
      <c r="G927" s="189" t="s">
        <v>202</v>
      </c>
      <c r="H927" s="188">
        <v>42101</v>
      </c>
      <c r="I927" s="189" t="s">
        <v>187</v>
      </c>
      <c r="J927" s="189" t="s">
        <v>103</v>
      </c>
      <c r="K927" s="187" t="s">
        <v>3464</v>
      </c>
      <c r="L927" s="188">
        <v>42101</v>
      </c>
      <c r="M927" s="187" t="s">
        <v>1914</v>
      </c>
      <c r="N927" s="190" t="s">
        <v>185</v>
      </c>
      <c r="O927" s="188">
        <v>42102</v>
      </c>
      <c r="P927" s="191">
        <f t="shared" si="690"/>
        <v>1</v>
      </c>
      <c r="Q927" s="187" t="s">
        <v>3465</v>
      </c>
      <c r="R927" s="190" t="s">
        <v>17</v>
      </c>
      <c r="S927" s="187" t="s">
        <v>3194</v>
      </c>
      <c r="T927" s="187" t="s">
        <v>3350</v>
      </c>
      <c r="U927" s="195">
        <v>42102</v>
      </c>
      <c r="V927" s="190" t="s">
        <v>186</v>
      </c>
      <c r="W927" s="192">
        <f t="shared" si="691"/>
        <v>0</v>
      </c>
      <c r="X927" s="192" t="str">
        <f t="shared" si="692"/>
        <v>Correcto</v>
      </c>
    </row>
    <row r="928" spans="1:24" ht="18" customHeight="1" x14ac:dyDescent="0.25">
      <c r="A928" s="193">
        <v>919</v>
      </c>
      <c r="B928" s="187" t="s">
        <v>3466</v>
      </c>
      <c r="C928" s="188">
        <v>42101</v>
      </c>
      <c r="D928" s="194">
        <v>4</v>
      </c>
      <c r="E928" s="189" t="s">
        <v>93</v>
      </c>
      <c r="F928" s="187" t="s">
        <v>1654</v>
      </c>
      <c r="G928" s="189" t="s">
        <v>202</v>
      </c>
      <c r="H928" s="188">
        <v>42117</v>
      </c>
      <c r="I928" s="189" t="s">
        <v>187</v>
      </c>
      <c r="J928" s="189" t="s">
        <v>103</v>
      </c>
      <c r="K928" s="187" t="s">
        <v>3467</v>
      </c>
      <c r="L928" s="188">
        <v>42117</v>
      </c>
      <c r="M928" s="187" t="s">
        <v>1914</v>
      </c>
      <c r="N928" s="190" t="s">
        <v>185</v>
      </c>
      <c r="O928" s="188">
        <v>42117</v>
      </c>
      <c r="P928" s="191">
        <f t="shared" si="690"/>
        <v>16</v>
      </c>
      <c r="Q928" s="187" t="s">
        <v>3467</v>
      </c>
      <c r="R928" s="190" t="s">
        <v>17</v>
      </c>
      <c r="S928" s="187" t="s">
        <v>3468</v>
      </c>
      <c r="T928" s="187">
        <v>1105021651</v>
      </c>
      <c r="U928" s="195">
        <v>42118</v>
      </c>
      <c r="V928" s="190" t="s">
        <v>186</v>
      </c>
      <c r="W928" s="192">
        <f t="shared" si="691"/>
        <v>0</v>
      </c>
      <c r="X928" s="192" t="str">
        <f t="shared" si="692"/>
        <v>Correcto</v>
      </c>
    </row>
    <row r="929" spans="1:24" ht="18" customHeight="1" x14ac:dyDescent="0.25">
      <c r="A929" s="193">
        <v>920</v>
      </c>
      <c r="B929" s="187" t="s">
        <v>3469</v>
      </c>
      <c r="C929" s="188">
        <v>42101</v>
      </c>
      <c r="D929" s="194">
        <v>2</v>
      </c>
      <c r="E929" s="189" t="s">
        <v>93</v>
      </c>
      <c r="F929" s="187" t="s">
        <v>1654</v>
      </c>
      <c r="G929" s="189" t="s">
        <v>202</v>
      </c>
      <c r="H929" s="188">
        <v>42104</v>
      </c>
      <c r="I929" s="189" t="s">
        <v>187</v>
      </c>
      <c r="J929" s="189" t="s">
        <v>103</v>
      </c>
      <c r="K929" s="187" t="s">
        <v>3470</v>
      </c>
      <c r="L929" s="188">
        <v>42104</v>
      </c>
      <c r="M929" s="187" t="s">
        <v>1914</v>
      </c>
      <c r="N929" s="190" t="s">
        <v>185</v>
      </c>
      <c r="O929" s="188">
        <v>42104</v>
      </c>
      <c r="P929" s="191">
        <f t="shared" si="690"/>
        <v>3</v>
      </c>
      <c r="Q929" s="187" t="s">
        <v>3470</v>
      </c>
      <c r="R929" s="190" t="s">
        <v>17</v>
      </c>
      <c r="S929" s="187" t="s">
        <v>3471</v>
      </c>
      <c r="T929" s="187">
        <v>1104773146</v>
      </c>
      <c r="U929" s="195">
        <v>42107</v>
      </c>
      <c r="V929" s="190" t="s">
        <v>186</v>
      </c>
      <c r="W929" s="192">
        <f t="shared" si="691"/>
        <v>0</v>
      </c>
      <c r="X929" s="192" t="str">
        <f t="shared" si="692"/>
        <v>Correcto</v>
      </c>
    </row>
    <row r="930" spans="1:24" ht="18" customHeight="1" x14ac:dyDescent="0.25">
      <c r="A930" s="193">
        <v>921</v>
      </c>
      <c r="B930" s="187" t="s">
        <v>3472</v>
      </c>
      <c r="C930" s="188">
        <v>42101</v>
      </c>
      <c r="D930" s="194">
        <v>2</v>
      </c>
      <c r="E930" s="189" t="s">
        <v>93</v>
      </c>
      <c r="F930" s="187" t="s">
        <v>1654</v>
      </c>
      <c r="G930" s="189" t="s">
        <v>202</v>
      </c>
      <c r="H930" s="188">
        <v>42104</v>
      </c>
      <c r="I930" s="189" t="s">
        <v>187</v>
      </c>
      <c r="J930" s="189" t="s">
        <v>103</v>
      </c>
      <c r="K930" s="187" t="s">
        <v>3473</v>
      </c>
      <c r="L930" s="188">
        <v>42104</v>
      </c>
      <c r="M930" s="187" t="s">
        <v>1914</v>
      </c>
      <c r="N930" s="190" t="s">
        <v>185</v>
      </c>
      <c r="O930" s="188">
        <v>42104</v>
      </c>
      <c r="P930" s="191">
        <f t="shared" si="690"/>
        <v>3</v>
      </c>
      <c r="Q930" s="187" t="s">
        <v>3473</v>
      </c>
      <c r="R930" s="190" t="s">
        <v>17</v>
      </c>
      <c r="S930" s="187" t="s">
        <v>3474</v>
      </c>
      <c r="T930" s="187">
        <v>1104303787</v>
      </c>
      <c r="U930" s="195">
        <v>42107</v>
      </c>
      <c r="V930" s="190" t="s">
        <v>186</v>
      </c>
      <c r="W930" s="192">
        <f t="shared" si="691"/>
        <v>0</v>
      </c>
      <c r="X930" s="192" t="str">
        <f t="shared" si="692"/>
        <v>Correcto</v>
      </c>
    </row>
    <row r="931" spans="1:24" ht="18" customHeight="1" x14ac:dyDescent="0.25">
      <c r="A931" s="193">
        <v>922</v>
      </c>
      <c r="B931" s="187" t="s">
        <v>3475</v>
      </c>
      <c r="C931" s="188">
        <v>42102</v>
      </c>
      <c r="D931" s="194">
        <v>2</v>
      </c>
      <c r="E931" s="189" t="s">
        <v>93</v>
      </c>
      <c r="F931" s="187" t="s">
        <v>825</v>
      </c>
      <c r="G931" s="189" t="s">
        <v>202</v>
      </c>
      <c r="H931" s="188">
        <v>42102</v>
      </c>
      <c r="I931" s="189" t="s">
        <v>187</v>
      </c>
      <c r="J931" s="189" t="s">
        <v>103</v>
      </c>
      <c r="K931" s="187" t="s">
        <v>3476</v>
      </c>
      <c r="L931" s="188">
        <v>42102</v>
      </c>
      <c r="M931" s="187" t="s">
        <v>1914</v>
      </c>
      <c r="N931" s="190" t="s">
        <v>185</v>
      </c>
      <c r="O931" s="188">
        <v>42102</v>
      </c>
      <c r="P931" s="191">
        <f t="shared" si="690"/>
        <v>0</v>
      </c>
      <c r="Q931" s="187" t="s">
        <v>3477</v>
      </c>
      <c r="R931" s="190" t="s">
        <v>17</v>
      </c>
      <c r="S931" s="187" t="s">
        <v>101</v>
      </c>
      <c r="T931" s="187" t="s">
        <v>1017</v>
      </c>
      <c r="U931" s="195">
        <v>42103</v>
      </c>
      <c r="V931" s="190" t="s">
        <v>186</v>
      </c>
      <c r="W931" s="192">
        <f t="shared" si="691"/>
        <v>0</v>
      </c>
      <c r="X931" s="192" t="str">
        <f t="shared" si="692"/>
        <v>Correcto</v>
      </c>
    </row>
    <row r="932" spans="1:24" ht="18" customHeight="1" x14ac:dyDescent="0.25">
      <c r="A932" s="193">
        <v>923</v>
      </c>
      <c r="B932" s="187" t="s">
        <v>3478</v>
      </c>
      <c r="C932" s="188">
        <v>42102</v>
      </c>
      <c r="D932" s="194">
        <v>2</v>
      </c>
      <c r="E932" s="189" t="s">
        <v>93</v>
      </c>
      <c r="F932" s="187" t="s">
        <v>825</v>
      </c>
      <c r="G932" s="189" t="s">
        <v>202</v>
      </c>
      <c r="H932" s="188">
        <v>42102</v>
      </c>
      <c r="I932" s="189" t="s">
        <v>187</v>
      </c>
      <c r="J932" s="189" t="s">
        <v>103</v>
      </c>
      <c r="K932" s="187" t="s">
        <v>3479</v>
      </c>
      <c r="L932" s="188">
        <v>42102</v>
      </c>
      <c r="M932" s="187" t="s">
        <v>1914</v>
      </c>
      <c r="N932" s="190" t="s">
        <v>185</v>
      </c>
      <c r="O932" s="188">
        <v>42102</v>
      </c>
      <c r="P932" s="191">
        <f t="shared" si="690"/>
        <v>0</v>
      </c>
      <c r="Q932" s="187" t="s">
        <v>3480</v>
      </c>
      <c r="R932" s="190" t="s">
        <v>17</v>
      </c>
      <c r="S932" s="187" t="s">
        <v>1158</v>
      </c>
      <c r="T932" s="187" t="s">
        <v>3481</v>
      </c>
      <c r="U932" s="195">
        <v>42103</v>
      </c>
      <c r="V932" s="190" t="s">
        <v>186</v>
      </c>
      <c r="W932" s="192">
        <f t="shared" si="691"/>
        <v>0</v>
      </c>
      <c r="X932" s="192" t="str">
        <f t="shared" si="692"/>
        <v>Correcto</v>
      </c>
    </row>
    <row r="933" spans="1:24" ht="18" customHeight="1" x14ac:dyDescent="0.25">
      <c r="A933" s="193">
        <v>924</v>
      </c>
      <c r="B933" s="187" t="s">
        <v>3482</v>
      </c>
      <c r="C933" s="188">
        <v>42102</v>
      </c>
      <c r="D933" s="194">
        <v>2</v>
      </c>
      <c r="E933" s="189" t="s">
        <v>93</v>
      </c>
      <c r="F933" s="187" t="s">
        <v>825</v>
      </c>
      <c r="G933" s="189" t="s">
        <v>202</v>
      </c>
      <c r="H933" s="188">
        <v>42103</v>
      </c>
      <c r="I933" s="189" t="s">
        <v>187</v>
      </c>
      <c r="J933" s="189" t="s">
        <v>103</v>
      </c>
      <c r="K933" s="187" t="s">
        <v>3483</v>
      </c>
      <c r="L933" s="188">
        <v>42103</v>
      </c>
      <c r="M933" s="187" t="s">
        <v>1914</v>
      </c>
      <c r="N933" s="190" t="s">
        <v>185</v>
      </c>
      <c r="O933" s="188">
        <v>42103</v>
      </c>
      <c r="P933" s="191">
        <f t="shared" si="690"/>
        <v>1</v>
      </c>
      <c r="Q933" s="187" t="s">
        <v>3484</v>
      </c>
      <c r="R933" s="190" t="s">
        <v>17</v>
      </c>
      <c r="S933" s="187" t="s">
        <v>101</v>
      </c>
      <c r="T933" s="187" t="s">
        <v>1286</v>
      </c>
      <c r="U933" s="195">
        <v>42107</v>
      </c>
      <c r="V933" s="190" t="s">
        <v>186</v>
      </c>
      <c r="W933" s="192">
        <f t="shared" si="691"/>
        <v>0</v>
      </c>
      <c r="X933" s="192" t="str">
        <f t="shared" si="692"/>
        <v>Correcto</v>
      </c>
    </row>
    <row r="934" spans="1:24" ht="18" customHeight="1" x14ac:dyDescent="0.25">
      <c r="A934" s="193">
        <v>925</v>
      </c>
      <c r="B934" s="187" t="s">
        <v>3485</v>
      </c>
      <c r="C934" s="188">
        <v>42102</v>
      </c>
      <c r="D934" s="194">
        <v>2</v>
      </c>
      <c r="E934" s="189" t="s">
        <v>93</v>
      </c>
      <c r="F934" s="187" t="s">
        <v>3486</v>
      </c>
      <c r="G934" s="189" t="s">
        <v>3487</v>
      </c>
      <c r="H934" s="188">
        <v>42139</v>
      </c>
      <c r="I934" s="189" t="s">
        <v>187</v>
      </c>
      <c r="J934" s="189" t="s">
        <v>103</v>
      </c>
      <c r="K934" s="187" t="s">
        <v>3488</v>
      </c>
      <c r="L934" s="188">
        <v>42139</v>
      </c>
      <c r="M934" s="187" t="s">
        <v>1914</v>
      </c>
      <c r="N934" s="190" t="s">
        <v>185</v>
      </c>
      <c r="O934" s="188">
        <v>42139</v>
      </c>
      <c r="P934" s="191">
        <f t="shared" si="690"/>
        <v>37</v>
      </c>
      <c r="Q934" s="187" t="s">
        <v>3488</v>
      </c>
      <c r="R934" s="190" t="s">
        <v>17</v>
      </c>
      <c r="S934" s="187" t="s">
        <v>1286</v>
      </c>
      <c r="T934" s="188">
        <v>42143</v>
      </c>
      <c r="U934" s="195">
        <v>42143</v>
      </c>
      <c r="V934" s="190" t="s">
        <v>186</v>
      </c>
      <c r="W934" s="192">
        <f t="shared" si="691"/>
        <v>0</v>
      </c>
      <c r="X934" s="192" t="str">
        <f t="shared" si="692"/>
        <v>Correcto</v>
      </c>
    </row>
    <row r="935" spans="1:24" ht="18" customHeight="1" x14ac:dyDescent="0.25">
      <c r="A935" s="193">
        <v>926</v>
      </c>
      <c r="B935" s="187" t="s">
        <v>3489</v>
      </c>
      <c r="C935" s="188">
        <v>42102</v>
      </c>
      <c r="D935" s="194">
        <v>2</v>
      </c>
      <c r="E935" s="189" t="s">
        <v>93</v>
      </c>
      <c r="F935" s="187" t="s">
        <v>825</v>
      </c>
      <c r="G935" s="189" t="s">
        <v>202</v>
      </c>
      <c r="H935" s="188">
        <v>42103</v>
      </c>
      <c r="I935" s="189" t="s">
        <v>187</v>
      </c>
      <c r="J935" s="189" t="s">
        <v>103</v>
      </c>
      <c r="K935" s="187" t="s">
        <v>3490</v>
      </c>
      <c r="L935" s="188">
        <v>42103</v>
      </c>
      <c r="M935" s="187" t="s">
        <v>1914</v>
      </c>
      <c r="N935" s="190" t="s">
        <v>185</v>
      </c>
      <c r="O935" s="188">
        <v>42103</v>
      </c>
      <c r="P935" s="191">
        <f t="shared" si="690"/>
        <v>1</v>
      </c>
      <c r="Q935" s="187" t="s">
        <v>3491</v>
      </c>
      <c r="R935" s="190" t="s">
        <v>17</v>
      </c>
      <c r="S935" s="187" t="s">
        <v>101</v>
      </c>
      <c r="T935" s="187" t="s">
        <v>996</v>
      </c>
      <c r="U935" s="195">
        <v>42107</v>
      </c>
      <c r="V935" s="190" t="s">
        <v>186</v>
      </c>
      <c r="W935" s="192">
        <f t="shared" si="691"/>
        <v>0</v>
      </c>
      <c r="X935" s="192" t="str">
        <f t="shared" si="692"/>
        <v>Correcto</v>
      </c>
    </row>
    <row r="936" spans="1:24" ht="18" customHeight="1" x14ac:dyDescent="0.25">
      <c r="A936" s="193">
        <v>927</v>
      </c>
      <c r="B936" s="187" t="s">
        <v>3492</v>
      </c>
      <c r="C936" s="188">
        <v>42102</v>
      </c>
      <c r="D936" s="194">
        <v>2</v>
      </c>
      <c r="E936" s="189" t="s">
        <v>93</v>
      </c>
      <c r="F936" s="187" t="s">
        <v>825</v>
      </c>
      <c r="G936" s="189" t="s">
        <v>202</v>
      </c>
      <c r="H936" s="188">
        <v>42103</v>
      </c>
      <c r="I936" s="189" t="s">
        <v>187</v>
      </c>
      <c r="J936" s="189" t="s">
        <v>103</v>
      </c>
      <c r="K936" s="187" t="s">
        <v>3493</v>
      </c>
      <c r="L936" s="188">
        <v>42103</v>
      </c>
      <c r="M936" s="187" t="s">
        <v>1914</v>
      </c>
      <c r="N936" s="190" t="s">
        <v>185</v>
      </c>
      <c r="O936" s="188">
        <v>42103</v>
      </c>
      <c r="P936" s="191">
        <f t="shared" si="690"/>
        <v>1</v>
      </c>
      <c r="Q936" s="187" t="s">
        <v>3494</v>
      </c>
      <c r="R936" s="190" t="s">
        <v>17</v>
      </c>
      <c r="S936" s="187" t="s">
        <v>101</v>
      </c>
      <c r="T936" s="187" t="s">
        <v>3366</v>
      </c>
      <c r="U936" s="195">
        <v>42107</v>
      </c>
      <c r="V936" s="190" t="s">
        <v>186</v>
      </c>
      <c r="W936" s="192">
        <f t="shared" si="691"/>
        <v>0</v>
      </c>
      <c r="X936" s="192" t="str">
        <f t="shared" si="692"/>
        <v>Correcto</v>
      </c>
    </row>
    <row r="937" spans="1:24" ht="18" customHeight="1" x14ac:dyDescent="0.25">
      <c r="A937" s="193">
        <v>928</v>
      </c>
      <c r="B937" s="187" t="s">
        <v>3495</v>
      </c>
      <c r="C937" s="188">
        <v>42102</v>
      </c>
      <c r="D937" s="194">
        <v>2</v>
      </c>
      <c r="E937" s="189" t="s">
        <v>93</v>
      </c>
      <c r="F937" s="187" t="s">
        <v>825</v>
      </c>
      <c r="G937" s="189" t="s">
        <v>202</v>
      </c>
      <c r="H937" s="188">
        <v>42103</v>
      </c>
      <c r="I937" s="189" t="s">
        <v>187</v>
      </c>
      <c r="J937" s="189" t="s">
        <v>103</v>
      </c>
      <c r="K937" s="187" t="s">
        <v>3496</v>
      </c>
      <c r="L937" s="188">
        <v>42103</v>
      </c>
      <c r="M937" s="187" t="s">
        <v>1914</v>
      </c>
      <c r="N937" s="190" t="s">
        <v>185</v>
      </c>
      <c r="O937" s="188">
        <v>42103</v>
      </c>
      <c r="P937" s="191">
        <f t="shared" si="690"/>
        <v>1</v>
      </c>
      <c r="Q937" s="187" t="s">
        <v>3497</v>
      </c>
      <c r="R937" s="190" t="s">
        <v>17</v>
      </c>
      <c r="S937" s="187" t="s">
        <v>101</v>
      </c>
      <c r="T937" s="187" t="s">
        <v>1019</v>
      </c>
      <c r="U937" s="195">
        <v>42107</v>
      </c>
      <c r="V937" s="190" t="s">
        <v>186</v>
      </c>
      <c r="W937" s="192">
        <f t="shared" si="691"/>
        <v>0</v>
      </c>
      <c r="X937" s="192" t="str">
        <f t="shared" si="692"/>
        <v>Correcto</v>
      </c>
    </row>
    <row r="938" spans="1:24" ht="18" customHeight="1" x14ac:dyDescent="0.25">
      <c r="A938" s="193">
        <v>929</v>
      </c>
      <c r="B938" s="187" t="s">
        <v>3498</v>
      </c>
      <c r="C938" s="188">
        <v>42102</v>
      </c>
      <c r="D938" s="194">
        <v>2</v>
      </c>
      <c r="E938" s="189" t="s">
        <v>93</v>
      </c>
      <c r="F938" s="187" t="s">
        <v>825</v>
      </c>
      <c r="G938" s="189" t="s">
        <v>202</v>
      </c>
      <c r="H938" s="188">
        <v>42103</v>
      </c>
      <c r="I938" s="189" t="s">
        <v>187</v>
      </c>
      <c r="J938" s="189" t="s">
        <v>103</v>
      </c>
      <c r="K938" s="187" t="s">
        <v>3499</v>
      </c>
      <c r="L938" s="188">
        <v>42103</v>
      </c>
      <c r="M938" s="187" t="s">
        <v>1914</v>
      </c>
      <c r="N938" s="190" t="s">
        <v>185</v>
      </c>
      <c r="O938" s="188">
        <v>42104</v>
      </c>
      <c r="P938" s="191">
        <f t="shared" si="690"/>
        <v>2</v>
      </c>
      <c r="Q938" s="187" t="s">
        <v>3500</v>
      </c>
      <c r="R938" s="190" t="s">
        <v>17</v>
      </c>
      <c r="S938" s="187" t="s">
        <v>101</v>
      </c>
      <c r="T938" s="187" t="s">
        <v>3501</v>
      </c>
      <c r="U938" s="195">
        <v>42104</v>
      </c>
      <c r="V938" s="190" t="s">
        <v>186</v>
      </c>
      <c r="W938" s="192">
        <f t="shared" si="691"/>
        <v>0</v>
      </c>
      <c r="X938" s="192" t="str">
        <f t="shared" si="692"/>
        <v>Correcto</v>
      </c>
    </row>
    <row r="939" spans="1:24" ht="18" customHeight="1" x14ac:dyDescent="0.25">
      <c r="A939" s="193">
        <v>930</v>
      </c>
      <c r="B939" s="187" t="s">
        <v>3502</v>
      </c>
      <c r="C939" s="188">
        <v>42102</v>
      </c>
      <c r="D939" s="194">
        <v>2</v>
      </c>
      <c r="E939" s="189" t="s">
        <v>93</v>
      </c>
      <c r="F939" s="187" t="s">
        <v>825</v>
      </c>
      <c r="G939" s="189" t="s">
        <v>202</v>
      </c>
      <c r="H939" s="188">
        <v>42103</v>
      </c>
      <c r="I939" s="189" t="s">
        <v>187</v>
      </c>
      <c r="J939" s="189" t="s">
        <v>103</v>
      </c>
      <c r="K939" s="187" t="s">
        <v>3503</v>
      </c>
      <c r="L939" s="188">
        <v>42103</v>
      </c>
      <c r="M939" s="187" t="s">
        <v>1914</v>
      </c>
      <c r="N939" s="190" t="s">
        <v>185</v>
      </c>
      <c r="O939" s="188">
        <v>42103</v>
      </c>
      <c r="P939" s="191">
        <f t="shared" si="690"/>
        <v>1</v>
      </c>
      <c r="Q939" s="187" t="s">
        <v>3504</v>
      </c>
      <c r="R939" s="190" t="s">
        <v>17</v>
      </c>
      <c r="S939" s="187" t="s">
        <v>101</v>
      </c>
      <c r="T939" s="187" t="s">
        <v>3287</v>
      </c>
      <c r="U939" s="195">
        <v>42107</v>
      </c>
      <c r="V939" s="190" t="s">
        <v>186</v>
      </c>
      <c r="W939" s="192">
        <f t="shared" si="691"/>
        <v>0</v>
      </c>
      <c r="X939" s="192" t="str">
        <f t="shared" si="692"/>
        <v>Correcto</v>
      </c>
    </row>
    <row r="940" spans="1:24" ht="18" customHeight="1" x14ac:dyDescent="0.25">
      <c r="A940" s="193">
        <v>931</v>
      </c>
      <c r="B940" s="187" t="s">
        <v>3505</v>
      </c>
      <c r="C940" s="188">
        <v>42102</v>
      </c>
      <c r="D940" s="194">
        <v>2</v>
      </c>
      <c r="E940" s="189" t="s">
        <v>93</v>
      </c>
      <c r="F940" s="187" t="s">
        <v>825</v>
      </c>
      <c r="G940" s="189" t="s">
        <v>202</v>
      </c>
      <c r="H940" s="188">
        <v>42103</v>
      </c>
      <c r="I940" s="189" t="s">
        <v>187</v>
      </c>
      <c r="J940" s="189" t="s">
        <v>103</v>
      </c>
      <c r="K940" s="187" t="s">
        <v>3506</v>
      </c>
      <c r="L940" s="188">
        <v>42103</v>
      </c>
      <c r="M940" s="187" t="s">
        <v>1914</v>
      </c>
      <c r="N940" s="190" t="s">
        <v>185</v>
      </c>
      <c r="O940" s="188">
        <v>42103</v>
      </c>
      <c r="P940" s="191">
        <f t="shared" si="690"/>
        <v>1</v>
      </c>
      <c r="Q940" s="187" t="s">
        <v>3507</v>
      </c>
      <c r="R940" s="190" t="s">
        <v>17</v>
      </c>
      <c r="S940" s="187" t="s">
        <v>101</v>
      </c>
      <c r="T940" s="187" t="s">
        <v>1163</v>
      </c>
      <c r="U940" s="195">
        <v>42107</v>
      </c>
      <c r="V940" s="190" t="s">
        <v>186</v>
      </c>
      <c r="W940" s="192">
        <f t="shared" si="691"/>
        <v>0</v>
      </c>
      <c r="X940" s="192" t="str">
        <f t="shared" si="692"/>
        <v>Correcto</v>
      </c>
    </row>
    <row r="941" spans="1:24" ht="18" customHeight="1" x14ac:dyDescent="0.25">
      <c r="A941" s="193">
        <v>932</v>
      </c>
      <c r="B941" s="187" t="s">
        <v>3508</v>
      </c>
      <c r="C941" s="188">
        <v>42102</v>
      </c>
      <c r="D941" s="194">
        <v>5</v>
      </c>
      <c r="E941" s="189" t="s">
        <v>93</v>
      </c>
      <c r="F941" s="187" t="s">
        <v>825</v>
      </c>
      <c r="G941" s="189" t="s">
        <v>202</v>
      </c>
      <c r="H941" s="188">
        <v>42103</v>
      </c>
      <c r="I941" s="189" t="s">
        <v>187</v>
      </c>
      <c r="J941" s="189" t="s">
        <v>103</v>
      </c>
      <c r="K941" s="187" t="s">
        <v>3509</v>
      </c>
      <c r="L941" s="188">
        <v>42103</v>
      </c>
      <c r="M941" s="187" t="s">
        <v>1914</v>
      </c>
      <c r="N941" s="190" t="s">
        <v>185</v>
      </c>
      <c r="O941" s="188">
        <v>42103</v>
      </c>
      <c r="P941" s="191">
        <f t="shared" si="690"/>
        <v>1</v>
      </c>
      <c r="Q941" s="187" t="s">
        <v>3510</v>
      </c>
      <c r="R941" s="190" t="s">
        <v>17</v>
      </c>
      <c r="S941" s="187" t="s">
        <v>101</v>
      </c>
      <c r="T941" s="187" t="s">
        <v>3511</v>
      </c>
      <c r="U941" s="195">
        <v>42104</v>
      </c>
      <c r="V941" s="190" t="s">
        <v>186</v>
      </c>
      <c r="W941" s="192">
        <f t="shared" si="691"/>
        <v>0</v>
      </c>
      <c r="X941" s="192" t="str">
        <f t="shared" si="692"/>
        <v>Correcto</v>
      </c>
    </row>
    <row r="942" spans="1:24" ht="18" customHeight="1" x14ac:dyDescent="0.25">
      <c r="A942" s="193">
        <v>933</v>
      </c>
      <c r="B942" s="187" t="s">
        <v>3512</v>
      </c>
      <c r="C942" s="188">
        <v>42102</v>
      </c>
      <c r="D942" s="194">
        <v>18</v>
      </c>
      <c r="E942" s="189" t="s">
        <v>93</v>
      </c>
      <c r="F942" s="187" t="s">
        <v>825</v>
      </c>
      <c r="G942" s="189" t="s">
        <v>202</v>
      </c>
      <c r="H942" s="188">
        <v>42103</v>
      </c>
      <c r="I942" s="189" t="s">
        <v>187</v>
      </c>
      <c r="J942" s="189" t="s">
        <v>103</v>
      </c>
      <c r="K942" s="187" t="s">
        <v>3513</v>
      </c>
      <c r="L942" s="188">
        <v>42103</v>
      </c>
      <c r="M942" s="187" t="s">
        <v>1914</v>
      </c>
      <c r="N942" s="190" t="s">
        <v>185</v>
      </c>
      <c r="O942" s="188">
        <v>42103</v>
      </c>
      <c r="P942" s="191">
        <f t="shared" si="690"/>
        <v>1</v>
      </c>
      <c r="Q942" s="187" t="s">
        <v>3514</v>
      </c>
      <c r="R942" s="190" t="s">
        <v>17</v>
      </c>
      <c r="S942" s="187" t="s">
        <v>101</v>
      </c>
      <c r="T942" s="187" t="s">
        <v>1286</v>
      </c>
      <c r="U942" s="195">
        <v>42107</v>
      </c>
      <c r="V942" s="190" t="s">
        <v>186</v>
      </c>
      <c r="W942" s="192">
        <f t="shared" si="691"/>
        <v>0</v>
      </c>
      <c r="X942" s="192" t="str">
        <f t="shared" si="692"/>
        <v>Correcto</v>
      </c>
    </row>
    <row r="943" spans="1:24" ht="18" customHeight="1" x14ac:dyDescent="0.25">
      <c r="A943" s="193">
        <v>934</v>
      </c>
      <c r="B943" s="187" t="s">
        <v>3515</v>
      </c>
      <c r="C943" s="188">
        <v>42103</v>
      </c>
      <c r="D943" s="194">
        <v>8</v>
      </c>
      <c r="E943" s="189" t="s">
        <v>93</v>
      </c>
      <c r="F943" s="187" t="s">
        <v>1654</v>
      </c>
      <c r="G943" s="189" t="s">
        <v>202</v>
      </c>
      <c r="H943" s="188">
        <v>42114</v>
      </c>
      <c r="I943" s="189" t="s">
        <v>187</v>
      </c>
      <c r="J943" s="189" t="s">
        <v>103</v>
      </c>
      <c r="K943" s="187" t="s">
        <v>3516</v>
      </c>
      <c r="L943" s="188">
        <v>42114</v>
      </c>
      <c r="M943" s="187" t="s">
        <v>1914</v>
      </c>
      <c r="N943" s="190" t="s">
        <v>185</v>
      </c>
      <c r="O943" s="188">
        <v>42114</v>
      </c>
      <c r="P943" s="191">
        <f t="shared" si="690"/>
        <v>11</v>
      </c>
      <c r="Q943" s="187" t="s">
        <v>3516</v>
      </c>
      <c r="R943" s="190" t="s">
        <v>17</v>
      </c>
      <c r="S943" s="187" t="s">
        <v>104</v>
      </c>
      <c r="T943" s="187">
        <v>1900101062</v>
      </c>
      <c r="U943" s="195">
        <v>42115</v>
      </c>
      <c r="V943" s="190" t="s">
        <v>186</v>
      </c>
      <c r="W943" s="192">
        <f t="shared" si="691"/>
        <v>0</v>
      </c>
      <c r="X943" s="192" t="str">
        <f t="shared" si="692"/>
        <v>Correcto</v>
      </c>
    </row>
    <row r="944" spans="1:24" ht="18" customHeight="1" x14ac:dyDescent="0.25">
      <c r="A944" s="193">
        <v>935</v>
      </c>
      <c r="B944" s="187" t="s">
        <v>3517</v>
      </c>
      <c r="C944" s="188">
        <v>42103</v>
      </c>
      <c r="D944" s="194">
        <v>3</v>
      </c>
      <c r="E944" s="189" t="s">
        <v>93</v>
      </c>
      <c r="F944" s="187" t="s">
        <v>1654</v>
      </c>
      <c r="G944" s="189" t="s">
        <v>202</v>
      </c>
      <c r="H944" s="188">
        <v>42107</v>
      </c>
      <c r="I944" s="189" t="s">
        <v>187</v>
      </c>
      <c r="J944" s="189" t="s">
        <v>103</v>
      </c>
      <c r="K944" s="187" t="s">
        <v>3518</v>
      </c>
      <c r="L944" s="188">
        <v>42107</v>
      </c>
      <c r="M944" s="187" t="s">
        <v>1914</v>
      </c>
      <c r="N944" s="190" t="s">
        <v>185</v>
      </c>
      <c r="O944" s="188">
        <v>42107</v>
      </c>
      <c r="P944" s="191">
        <f t="shared" si="690"/>
        <v>4</v>
      </c>
      <c r="Q944" s="187" t="s">
        <v>3518</v>
      </c>
      <c r="R944" s="190" t="s">
        <v>17</v>
      </c>
      <c r="S944" s="187" t="s">
        <v>3519</v>
      </c>
      <c r="T944" s="187">
        <v>1103491716</v>
      </c>
      <c r="U944" s="195">
        <v>42108</v>
      </c>
      <c r="V944" s="190" t="s">
        <v>186</v>
      </c>
      <c r="W944" s="192">
        <f t="shared" si="691"/>
        <v>0</v>
      </c>
      <c r="X944" s="192" t="str">
        <f t="shared" si="692"/>
        <v>Correcto</v>
      </c>
    </row>
    <row r="945" spans="1:24" ht="18" customHeight="1" x14ac:dyDescent="0.25">
      <c r="A945" s="193">
        <v>936</v>
      </c>
      <c r="B945" s="187" t="s">
        <v>3520</v>
      </c>
      <c r="C945" s="188">
        <v>42103</v>
      </c>
      <c r="D945" s="194">
        <v>2</v>
      </c>
      <c r="E945" s="189" t="s">
        <v>93</v>
      </c>
      <c r="F945" s="187" t="s">
        <v>1654</v>
      </c>
      <c r="G945" s="189" t="s">
        <v>202</v>
      </c>
      <c r="H945" s="188">
        <v>42103</v>
      </c>
      <c r="I945" s="189" t="s">
        <v>187</v>
      </c>
      <c r="J945" s="189" t="s">
        <v>103</v>
      </c>
      <c r="K945" s="187" t="s">
        <v>3521</v>
      </c>
      <c r="L945" s="188">
        <v>42103</v>
      </c>
      <c r="M945" s="187" t="s">
        <v>1914</v>
      </c>
      <c r="N945" s="190" t="s">
        <v>185</v>
      </c>
      <c r="O945" s="188">
        <v>42103</v>
      </c>
      <c r="P945" s="191">
        <f t="shared" si="690"/>
        <v>0</v>
      </c>
      <c r="Q945" s="187" t="s">
        <v>3521</v>
      </c>
      <c r="R945" s="190" t="s">
        <v>17</v>
      </c>
      <c r="S945" s="187" t="s">
        <v>3522</v>
      </c>
      <c r="T945" s="187">
        <v>1105367088</v>
      </c>
      <c r="U945" s="195">
        <v>42104</v>
      </c>
      <c r="V945" s="190" t="s">
        <v>186</v>
      </c>
      <c r="W945" s="192">
        <f t="shared" si="691"/>
        <v>0</v>
      </c>
      <c r="X945" s="192" t="str">
        <f t="shared" si="692"/>
        <v>Correcto</v>
      </c>
    </row>
    <row r="946" spans="1:24" ht="18" customHeight="1" x14ac:dyDescent="0.25">
      <c r="A946" s="193">
        <v>937</v>
      </c>
      <c r="B946" s="187" t="s">
        <v>3523</v>
      </c>
      <c r="C946" s="188">
        <v>42103</v>
      </c>
      <c r="D946" s="194">
        <v>2</v>
      </c>
      <c r="E946" s="189" t="s">
        <v>93</v>
      </c>
      <c r="F946" s="187" t="s">
        <v>1654</v>
      </c>
      <c r="G946" s="189" t="s">
        <v>202</v>
      </c>
      <c r="H946" s="188">
        <v>42103</v>
      </c>
      <c r="I946" s="189" t="s">
        <v>187</v>
      </c>
      <c r="J946" s="189" t="s">
        <v>103</v>
      </c>
      <c r="K946" s="187" t="s">
        <v>3524</v>
      </c>
      <c r="L946" s="188">
        <v>42103</v>
      </c>
      <c r="M946" s="187" t="s">
        <v>1914</v>
      </c>
      <c r="N946" s="190" t="s">
        <v>185</v>
      </c>
      <c r="O946" s="188">
        <v>42103</v>
      </c>
      <c r="P946" s="191">
        <f t="shared" si="690"/>
        <v>0</v>
      </c>
      <c r="Q946" s="187" t="s">
        <v>3524</v>
      </c>
      <c r="R946" s="190" t="s">
        <v>17</v>
      </c>
      <c r="S946" s="187" t="s">
        <v>3525</v>
      </c>
      <c r="T946" s="187">
        <v>1104253354</v>
      </c>
      <c r="U946" s="195">
        <v>42104</v>
      </c>
      <c r="V946" s="190" t="s">
        <v>186</v>
      </c>
      <c r="W946" s="192">
        <f t="shared" si="691"/>
        <v>0</v>
      </c>
      <c r="X946" s="192" t="str">
        <f t="shared" si="692"/>
        <v>Correcto</v>
      </c>
    </row>
    <row r="947" spans="1:24" ht="18" customHeight="1" x14ac:dyDescent="0.25">
      <c r="A947" s="193">
        <v>938</v>
      </c>
      <c r="B947" s="187" t="s">
        <v>3526</v>
      </c>
      <c r="C947" s="188">
        <v>42103</v>
      </c>
      <c r="D947" s="194">
        <v>2</v>
      </c>
      <c r="E947" s="189" t="s">
        <v>93</v>
      </c>
      <c r="F947" s="187" t="s">
        <v>1654</v>
      </c>
      <c r="G947" s="189" t="s">
        <v>202</v>
      </c>
      <c r="H947" s="188">
        <v>42103</v>
      </c>
      <c r="I947" s="189" t="s">
        <v>187</v>
      </c>
      <c r="J947" s="189" t="s">
        <v>103</v>
      </c>
      <c r="K947" s="187" t="s">
        <v>3527</v>
      </c>
      <c r="L947" s="188">
        <v>42103</v>
      </c>
      <c r="M947" s="187" t="s">
        <v>1914</v>
      </c>
      <c r="N947" s="190" t="s">
        <v>185</v>
      </c>
      <c r="O947" s="188">
        <v>42103</v>
      </c>
      <c r="P947" s="191">
        <f t="shared" si="690"/>
        <v>0</v>
      </c>
      <c r="Q947" s="187" t="s">
        <v>3527</v>
      </c>
      <c r="R947" s="190" t="s">
        <v>17</v>
      </c>
      <c r="S947" s="187" t="s">
        <v>3528</v>
      </c>
      <c r="T947" s="187">
        <v>1104398050</v>
      </c>
      <c r="U947" s="195">
        <v>42104</v>
      </c>
      <c r="V947" s="190" t="s">
        <v>186</v>
      </c>
      <c r="W947" s="192">
        <f t="shared" si="691"/>
        <v>0</v>
      </c>
      <c r="X947" s="192" t="str">
        <f t="shared" si="692"/>
        <v>Correcto</v>
      </c>
    </row>
    <row r="948" spans="1:24" ht="18" customHeight="1" x14ac:dyDescent="0.25">
      <c r="A948" s="193">
        <v>939</v>
      </c>
      <c r="B948" s="187" t="s">
        <v>3529</v>
      </c>
      <c r="C948" s="188">
        <v>42103</v>
      </c>
      <c r="D948" s="194">
        <v>2</v>
      </c>
      <c r="E948" s="189" t="s">
        <v>93</v>
      </c>
      <c r="F948" s="187" t="s">
        <v>1654</v>
      </c>
      <c r="G948" s="189" t="s">
        <v>202</v>
      </c>
      <c r="H948" s="188">
        <v>42103</v>
      </c>
      <c r="I948" s="189" t="s">
        <v>187</v>
      </c>
      <c r="J948" s="189" t="s">
        <v>103</v>
      </c>
      <c r="K948" s="187" t="s">
        <v>3530</v>
      </c>
      <c r="L948" s="188">
        <v>42103</v>
      </c>
      <c r="M948" s="187" t="s">
        <v>1914</v>
      </c>
      <c r="N948" s="190" t="s">
        <v>185</v>
      </c>
      <c r="O948" s="188">
        <v>42103</v>
      </c>
      <c r="P948" s="191">
        <f t="shared" si="690"/>
        <v>0</v>
      </c>
      <c r="Q948" s="187" t="s">
        <v>3530</v>
      </c>
      <c r="R948" s="190" t="s">
        <v>17</v>
      </c>
      <c r="S948" s="187" t="s">
        <v>3531</v>
      </c>
      <c r="T948" s="187">
        <v>1102891389</v>
      </c>
      <c r="U948" s="195">
        <v>42104</v>
      </c>
      <c r="V948" s="190" t="s">
        <v>186</v>
      </c>
      <c r="W948" s="192">
        <f t="shared" si="691"/>
        <v>0</v>
      </c>
      <c r="X948" s="192" t="str">
        <f t="shared" si="692"/>
        <v>Correcto</v>
      </c>
    </row>
    <row r="949" spans="1:24" ht="18" customHeight="1" x14ac:dyDescent="0.25">
      <c r="A949" s="193">
        <v>940</v>
      </c>
      <c r="B949" s="187" t="s">
        <v>3532</v>
      </c>
      <c r="C949" s="188">
        <v>42103</v>
      </c>
      <c r="D949" s="194">
        <v>2</v>
      </c>
      <c r="E949" s="189" t="s">
        <v>93</v>
      </c>
      <c r="F949" s="187" t="s">
        <v>1654</v>
      </c>
      <c r="G949" s="189" t="s">
        <v>202</v>
      </c>
      <c r="H949" s="188">
        <v>42103</v>
      </c>
      <c r="I949" s="189" t="s">
        <v>187</v>
      </c>
      <c r="J949" s="189" t="s">
        <v>103</v>
      </c>
      <c r="K949" s="187" t="s">
        <v>3533</v>
      </c>
      <c r="L949" s="188">
        <v>42103</v>
      </c>
      <c r="M949" s="187" t="s">
        <v>1914</v>
      </c>
      <c r="N949" s="190" t="s">
        <v>185</v>
      </c>
      <c r="O949" s="188">
        <v>42103</v>
      </c>
      <c r="P949" s="191">
        <f t="shared" si="690"/>
        <v>0</v>
      </c>
      <c r="Q949" s="187" t="s">
        <v>3533</v>
      </c>
      <c r="R949" s="190" t="s">
        <v>17</v>
      </c>
      <c r="S949" s="187" t="s">
        <v>3534</v>
      </c>
      <c r="T949" s="187">
        <v>1104695687</v>
      </c>
      <c r="U949" s="195">
        <v>42104</v>
      </c>
      <c r="V949" s="190" t="s">
        <v>186</v>
      </c>
      <c r="W949" s="192">
        <f t="shared" si="691"/>
        <v>0</v>
      </c>
      <c r="X949" s="192" t="str">
        <f t="shared" si="692"/>
        <v>Correcto</v>
      </c>
    </row>
    <row r="950" spans="1:24" ht="18" customHeight="1" x14ac:dyDescent="0.25">
      <c r="A950" s="193">
        <v>941</v>
      </c>
      <c r="B950" s="187" t="s">
        <v>3535</v>
      </c>
      <c r="C950" s="188">
        <v>42103</v>
      </c>
      <c r="D950" s="194">
        <v>2</v>
      </c>
      <c r="E950" s="189" t="s">
        <v>93</v>
      </c>
      <c r="F950" s="187" t="s">
        <v>1654</v>
      </c>
      <c r="G950" s="189" t="s">
        <v>202</v>
      </c>
      <c r="H950" s="188">
        <v>42103</v>
      </c>
      <c r="I950" s="189" t="s">
        <v>187</v>
      </c>
      <c r="J950" s="189" t="s">
        <v>103</v>
      </c>
      <c r="K950" s="187" t="s">
        <v>3536</v>
      </c>
      <c r="L950" s="188">
        <v>42103</v>
      </c>
      <c r="M950" s="187" t="s">
        <v>1914</v>
      </c>
      <c r="N950" s="190" t="s">
        <v>185</v>
      </c>
      <c r="O950" s="188">
        <v>42103</v>
      </c>
      <c r="P950" s="191">
        <f t="shared" si="690"/>
        <v>0</v>
      </c>
      <c r="Q950" s="187" t="s">
        <v>3536</v>
      </c>
      <c r="R950" s="190" t="s">
        <v>17</v>
      </c>
      <c r="S950" s="187" t="s">
        <v>3537</v>
      </c>
      <c r="T950" s="187">
        <v>1900481845</v>
      </c>
      <c r="U950" s="195">
        <v>42107</v>
      </c>
      <c r="V950" s="190" t="s">
        <v>186</v>
      </c>
      <c r="W950" s="192">
        <f t="shared" si="691"/>
        <v>0</v>
      </c>
      <c r="X950" s="192" t="str">
        <f t="shared" si="692"/>
        <v>Correcto</v>
      </c>
    </row>
    <row r="951" spans="1:24" ht="18" customHeight="1" x14ac:dyDescent="0.25">
      <c r="A951" s="193">
        <v>942</v>
      </c>
      <c r="B951" s="187" t="s">
        <v>3538</v>
      </c>
      <c r="C951" s="188">
        <v>42103</v>
      </c>
      <c r="D951" s="194">
        <v>2</v>
      </c>
      <c r="E951" s="189" t="s">
        <v>93</v>
      </c>
      <c r="F951" s="187" t="s">
        <v>1654</v>
      </c>
      <c r="G951" s="189" t="s">
        <v>202</v>
      </c>
      <c r="H951" s="188">
        <v>42103</v>
      </c>
      <c r="I951" s="189" t="s">
        <v>187</v>
      </c>
      <c r="J951" s="189" t="s">
        <v>103</v>
      </c>
      <c r="K951" s="187" t="s">
        <v>3539</v>
      </c>
      <c r="L951" s="188">
        <v>42103</v>
      </c>
      <c r="M951" s="187" t="s">
        <v>1914</v>
      </c>
      <c r="N951" s="190" t="s">
        <v>185</v>
      </c>
      <c r="O951" s="188">
        <v>42103</v>
      </c>
      <c r="P951" s="191">
        <f t="shared" si="690"/>
        <v>0</v>
      </c>
      <c r="Q951" s="187" t="s">
        <v>3539</v>
      </c>
      <c r="R951" s="190" t="s">
        <v>17</v>
      </c>
      <c r="S951" s="187" t="s">
        <v>3540</v>
      </c>
      <c r="T951" s="187">
        <v>1900402858</v>
      </c>
      <c r="U951" s="195">
        <v>42107</v>
      </c>
      <c r="V951" s="190" t="s">
        <v>186</v>
      </c>
      <c r="W951" s="192">
        <f t="shared" si="691"/>
        <v>0</v>
      </c>
      <c r="X951" s="192" t="str">
        <f t="shared" si="692"/>
        <v>Correcto</v>
      </c>
    </row>
    <row r="952" spans="1:24" ht="18" customHeight="1" x14ac:dyDescent="0.25">
      <c r="A952" s="193">
        <v>943</v>
      </c>
      <c r="B952" s="187" t="s">
        <v>3541</v>
      </c>
      <c r="C952" s="188">
        <v>42103</v>
      </c>
      <c r="D952" s="194">
        <v>2</v>
      </c>
      <c r="E952" s="189" t="s">
        <v>93</v>
      </c>
      <c r="F952" s="187" t="s">
        <v>825</v>
      </c>
      <c r="G952" s="189" t="s">
        <v>202</v>
      </c>
      <c r="H952" s="188">
        <v>42104</v>
      </c>
      <c r="I952" s="189" t="s">
        <v>187</v>
      </c>
      <c r="J952" s="189" t="s">
        <v>103</v>
      </c>
      <c r="K952" s="187" t="s">
        <v>3542</v>
      </c>
      <c r="L952" s="188">
        <v>42104</v>
      </c>
      <c r="M952" s="187" t="s">
        <v>1914</v>
      </c>
      <c r="N952" s="190" t="s">
        <v>185</v>
      </c>
      <c r="O952" s="188">
        <v>42107</v>
      </c>
      <c r="P952" s="191">
        <f t="shared" si="690"/>
        <v>4</v>
      </c>
      <c r="Q952" s="187" t="s">
        <v>3543</v>
      </c>
      <c r="R952" s="190" t="s">
        <v>17</v>
      </c>
      <c r="S952" s="187" t="s">
        <v>101</v>
      </c>
      <c r="T952" s="187" t="s">
        <v>1011</v>
      </c>
      <c r="U952" s="195">
        <v>42111</v>
      </c>
      <c r="V952" s="190" t="s">
        <v>186</v>
      </c>
      <c r="W952" s="192">
        <f t="shared" si="691"/>
        <v>0</v>
      </c>
      <c r="X952" s="192" t="str">
        <f t="shared" si="692"/>
        <v>Correcto</v>
      </c>
    </row>
    <row r="953" spans="1:24" ht="18" customHeight="1" x14ac:dyDescent="0.25">
      <c r="A953" s="193">
        <v>944</v>
      </c>
      <c r="B953" s="187" t="s">
        <v>3544</v>
      </c>
      <c r="C953" s="188">
        <v>42103</v>
      </c>
      <c r="D953" s="194"/>
      <c r="E953" s="189" t="s">
        <v>93</v>
      </c>
      <c r="F953" s="187" t="s">
        <v>3545</v>
      </c>
      <c r="G953" s="189" t="s">
        <v>202</v>
      </c>
      <c r="H953" s="188">
        <v>42121</v>
      </c>
      <c r="I953" s="189" t="s">
        <v>187</v>
      </c>
      <c r="J953" s="189" t="s">
        <v>3546</v>
      </c>
      <c r="K953" s="187" t="s">
        <v>3545</v>
      </c>
      <c r="L953" s="187"/>
      <c r="M953" s="187" t="s">
        <v>3545</v>
      </c>
      <c r="N953" s="190" t="s">
        <v>3547</v>
      </c>
      <c r="O953" s="187"/>
      <c r="P953" s="191"/>
      <c r="Q953" s="187"/>
      <c r="R953" s="190"/>
      <c r="S953" s="187"/>
      <c r="T953" s="187"/>
      <c r="U953" s="194"/>
      <c r="V953" s="190"/>
      <c r="W953" s="192">
        <f t="shared" si="691"/>
        <v>10</v>
      </c>
      <c r="X953" s="192" t="str">
        <f t="shared" si="692"/>
        <v>Incorrecto</v>
      </c>
    </row>
    <row r="954" spans="1:24" ht="18" customHeight="1" x14ac:dyDescent="0.25">
      <c r="A954" s="193">
        <v>945</v>
      </c>
      <c r="B954" s="187" t="s">
        <v>3548</v>
      </c>
      <c r="C954" s="188">
        <v>42103</v>
      </c>
      <c r="D954" s="194">
        <v>2</v>
      </c>
      <c r="E954" s="189" t="s">
        <v>93</v>
      </c>
      <c r="F954" s="187" t="s">
        <v>825</v>
      </c>
      <c r="G954" s="189" t="s">
        <v>202</v>
      </c>
      <c r="H954" s="188">
        <v>42104</v>
      </c>
      <c r="I954" s="189" t="s">
        <v>187</v>
      </c>
      <c r="J954" s="189" t="s">
        <v>103</v>
      </c>
      <c r="K954" s="187" t="s">
        <v>3549</v>
      </c>
      <c r="L954" s="188">
        <v>42104</v>
      </c>
      <c r="M954" s="187" t="s">
        <v>1914</v>
      </c>
      <c r="N954" s="190" t="s">
        <v>185</v>
      </c>
      <c r="O954" s="188">
        <v>42104</v>
      </c>
      <c r="P954" s="191">
        <f t="shared" ref="P954:P1017" si="693">O954-C954</f>
        <v>1</v>
      </c>
      <c r="Q954" s="187" t="s">
        <v>3550</v>
      </c>
      <c r="R954" s="190" t="s">
        <v>20</v>
      </c>
      <c r="S954" s="187" t="s">
        <v>101</v>
      </c>
      <c r="T954" s="187" t="s">
        <v>3551</v>
      </c>
      <c r="U954" s="195">
        <v>42107</v>
      </c>
      <c r="V954" s="190" t="s">
        <v>186</v>
      </c>
      <c r="W954" s="192">
        <f t="shared" si="691"/>
        <v>0</v>
      </c>
      <c r="X954" s="192" t="str">
        <f t="shared" si="692"/>
        <v>Correcto</v>
      </c>
    </row>
    <row r="955" spans="1:24" ht="18" customHeight="1" x14ac:dyDescent="0.25">
      <c r="A955" s="193">
        <v>946</v>
      </c>
      <c r="B955" s="187" t="s">
        <v>3552</v>
      </c>
      <c r="C955" s="188">
        <v>42103</v>
      </c>
      <c r="D955" s="194">
        <v>2</v>
      </c>
      <c r="E955" s="189" t="s">
        <v>93</v>
      </c>
      <c r="F955" s="187" t="s">
        <v>825</v>
      </c>
      <c r="G955" s="189" t="s">
        <v>202</v>
      </c>
      <c r="H955" s="188">
        <v>42104</v>
      </c>
      <c r="I955" s="189" t="s">
        <v>187</v>
      </c>
      <c r="J955" s="189" t="s">
        <v>103</v>
      </c>
      <c r="K955" s="187" t="s">
        <v>3553</v>
      </c>
      <c r="L955" s="188">
        <v>42104</v>
      </c>
      <c r="M955" s="187" t="s">
        <v>1914</v>
      </c>
      <c r="N955" s="190" t="s">
        <v>185</v>
      </c>
      <c r="O955" s="188">
        <v>42104</v>
      </c>
      <c r="P955" s="191">
        <f t="shared" si="693"/>
        <v>1</v>
      </c>
      <c r="Q955" s="187" t="s">
        <v>3554</v>
      </c>
      <c r="R955" s="190" t="s">
        <v>605</v>
      </c>
      <c r="S955" s="187" t="s">
        <v>101</v>
      </c>
      <c r="T955" s="187" t="s">
        <v>3555</v>
      </c>
      <c r="U955" s="195">
        <v>42107</v>
      </c>
      <c r="V955" s="190" t="s">
        <v>186</v>
      </c>
      <c r="W955" s="192">
        <f t="shared" si="691"/>
        <v>0</v>
      </c>
      <c r="X955" s="192" t="str">
        <f t="shared" si="692"/>
        <v>Correcto</v>
      </c>
    </row>
    <row r="956" spans="1:24" ht="18" customHeight="1" x14ac:dyDescent="0.25">
      <c r="A956" s="193">
        <v>947</v>
      </c>
      <c r="B956" s="187" t="s">
        <v>3556</v>
      </c>
      <c r="C956" s="188">
        <v>42103</v>
      </c>
      <c r="D956" s="194">
        <v>27</v>
      </c>
      <c r="E956" s="189" t="s">
        <v>93</v>
      </c>
      <c r="F956" s="187" t="s">
        <v>825</v>
      </c>
      <c r="G956" s="189" t="s">
        <v>202</v>
      </c>
      <c r="H956" s="188">
        <v>42108</v>
      </c>
      <c r="I956" s="189" t="s">
        <v>187</v>
      </c>
      <c r="J956" s="189" t="s">
        <v>103</v>
      </c>
      <c r="K956" s="187" t="s">
        <v>3557</v>
      </c>
      <c r="L956" s="188">
        <v>42108</v>
      </c>
      <c r="M956" s="187" t="s">
        <v>1914</v>
      </c>
      <c r="N956" s="190" t="s">
        <v>185</v>
      </c>
      <c r="O956" s="188">
        <v>42109</v>
      </c>
      <c r="P956" s="191">
        <f t="shared" si="693"/>
        <v>6</v>
      </c>
      <c r="Q956" s="187" t="s">
        <v>3558</v>
      </c>
      <c r="R956" s="190" t="s">
        <v>17</v>
      </c>
      <c r="S956" s="187" t="s">
        <v>101</v>
      </c>
      <c r="T956" s="187" t="s">
        <v>1150</v>
      </c>
      <c r="U956" s="195">
        <v>42111</v>
      </c>
      <c r="V956" s="190" t="s">
        <v>186</v>
      </c>
      <c r="W956" s="192">
        <f t="shared" si="691"/>
        <v>0</v>
      </c>
      <c r="X956" s="192" t="str">
        <f t="shared" si="692"/>
        <v>Correcto</v>
      </c>
    </row>
    <row r="957" spans="1:24" ht="18" customHeight="1" x14ac:dyDescent="0.25">
      <c r="A957" s="193">
        <v>948</v>
      </c>
      <c r="B957" s="187" t="s">
        <v>3559</v>
      </c>
      <c r="C957" s="188">
        <v>42103</v>
      </c>
      <c r="D957" s="194">
        <v>2</v>
      </c>
      <c r="E957" s="189" t="s">
        <v>93</v>
      </c>
      <c r="F957" s="187" t="s">
        <v>825</v>
      </c>
      <c r="G957" s="189" t="s">
        <v>202</v>
      </c>
      <c r="H957" s="188">
        <v>42107</v>
      </c>
      <c r="I957" s="189" t="s">
        <v>187</v>
      </c>
      <c r="J957" s="189" t="s">
        <v>103</v>
      </c>
      <c r="K957" s="187" t="s">
        <v>3560</v>
      </c>
      <c r="L957" s="188">
        <v>42107</v>
      </c>
      <c r="M957" s="187" t="s">
        <v>1914</v>
      </c>
      <c r="N957" s="190" t="s">
        <v>185</v>
      </c>
      <c r="O957" s="188">
        <v>42107</v>
      </c>
      <c r="P957" s="191">
        <f t="shared" si="693"/>
        <v>4</v>
      </c>
      <c r="Q957" s="187" t="s">
        <v>3561</v>
      </c>
      <c r="R957" s="190" t="s">
        <v>17</v>
      </c>
      <c r="S957" s="187" t="s">
        <v>101</v>
      </c>
      <c r="T957" s="187" t="s">
        <v>1150</v>
      </c>
      <c r="U957" s="195">
        <v>42111</v>
      </c>
      <c r="V957" s="190" t="s">
        <v>186</v>
      </c>
      <c r="W957" s="192">
        <f t="shared" si="691"/>
        <v>0</v>
      </c>
      <c r="X957" s="192" t="str">
        <f t="shared" si="692"/>
        <v>Correcto</v>
      </c>
    </row>
    <row r="958" spans="1:24" ht="18" customHeight="1" x14ac:dyDescent="0.25">
      <c r="A958" s="193">
        <v>949</v>
      </c>
      <c r="B958" s="187" t="s">
        <v>3562</v>
      </c>
      <c r="C958" s="188">
        <v>42103</v>
      </c>
      <c r="D958" s="194">
        <v>2</v>
      </c>
      <c r="E958" s="189" t="s">
        <v>93</v>
      </c>
      <c r="F958" s="187" t="s">
        <v>825</v>
      </c>
      <c r="G958" s="189" t="s">
        <v>202</v>
      </c>
      <c r="H958" s="188">
        <v>42104</v>
      </c>
      <c r="I958" s="189" t="s">
        <v>187</v>
      </c>
      <c r="J958" s="189" t="s">
        <v>103</v>
      </c>
      <c r="K958" s="187" t="s">
        <v>3563</v>
      </c>
      <c r="L958" s="188">
        <v>42104</v>
      </c>
      <c r="M958" s="187" t="s">
        <v>1914</v>
      </c>
      <c r="N958" s="190" t="s">
        <v>185</v>
      </c>
      <c r="O958" s="188">
        <v>42104</v>
      </c>
      <c r="P958" s="191">
        <f t="shared" si="693"/>
        <v>1</v>
      </c>
      <c r="Q958" s="187" t="s">
        <v>3564</v>
      </c>
      <c r="R958" s="190" t="s">
        <v>17</v>
      </c>
      <c r="S958" s="187" t="s">
        <v>101</v>
      </c>
      <c r="T958" s="187" t="s">
        <v>1442</v>
      </c>
      <c r="U958" s="195">
        <v>42107</v>
      </c>
      <c r="V958" s="190" t="s">
        <v>186</v>
      </c>
      <c r="W958" s="192">
        <f t="shared" si="691"/>
        <v>0</v>
      </c>
      <c r="X958" s="192" t="str">
        <f t="shared" si="692"/>
        <v>Correcto</v>
      </c>
    </row>
    <row r="959" spans="1:24" ht="18" customHeight="1" x14ac:dyDescent="0.25">
      <c r="A959" s="193">
        <v>950</v>
      </c>
      <c r="B959" s="187" t="s">
        <v>3565</v>
      </c>
      <c r="C959" s="188">
        <v>42103</v>
      </c>
      <c r="D959" s="194">
        <v>4</v>
      </c>
      <c r="E959" s="189" t="s">
        <v>93</v>
      </c>
      <c r="F959" s="187" t="s">
        <v>1654</v>
      </c>
      <c r="G959" s="189" t="s">
        <v>202</v>
      </c>
      <c r="H959" s="188">
        <v>42107</v>
      </c>
      <c r="I959" s="189" t="s">
        <v>187</v>
      </c>
      <c r="J959" s="189" t="s">
        <v>103</v>
      </c>
      <c r="K959" s="187" t="s">
        <v>3566</v>
      </c>
      <c r="L959" s="188">
        <v>42107</v>
      </c>
      <c r="M959" s="187" t="s">
        <v>1914</v>
      </c>
      <c r="N959" s="190" t="s">
        <v>185</v>
      </c>
      <c r="O959" s="188">
        <v>42107</v>
      </c>
      <c r="P959" s="191">
        <f t="shared" si="693"/>
        <v>4</v>
      </c>
      <c r="Q959" s="187" t="s">
        <v>3566</v>
      </c>
      <c r="R959" s="190" t="s">
        <v>17</v>
      </c>
      <c r="S959" s="187" t="s">
        <v>3567</v>
      </c>
      <c r="T959" s="187">
        <v>1200779963</v>
      </c>
      <c r="U959" s="195">
        <v>42108</v>
      </c>
      <c r="V959" s="190" t="s">
        <v>186</v>
      </c>
      <c r="W959" s="192">
        <f t="shared" si="691"/>
        <v>0</v>
      </c>
      <c r="X959" s="192" t="str">
        <f t="shared" si="692"/>
        <v>Correcto</v>
      </c>
    </row>
    <row r="960" spans="1:24" ht="18" customHeight="1" x14ac:dyDescent="0.25">
      <c r="A960" s="193">
        <v>951</v>
      </c>
      <c r="B960" s="187" t="s">
        <v>3568</v>
      </c>
      <c r="C960" s="188">
        <v>42103</v>
      </c>
      <c r="D960" s="194">
        <v>11</v>
      </c>
      <c r="E960" s="189" t="s">
        <v>93</v>
      </c>
      <c r="F960" s="187" t="s">
        <v>825</v>
      </c>
      <c r="G960" s="189" t="s">
        <v>202</v>
      </c>
      <c r="H960" s="188">
        <v>42107</v>
      </c>
      <c r="I960" s="189" t="s">
        <v>187</v>
      </c>
      <c r="J960" s="189" t="s">
        <v>103</v>
      </c>
      <c r="K960" s="187" t="s">
        <v>3569</v>
      </c>
      <c r="L960" s="188">
        <v>42107</v>
      </c>
      <c r="M960" s="187" t="s">
        <v>1914</v>
      </c>
      <c r="N960" s="190" t="s">
        <v>185</v>
      </c>
      <c r="O960" s="188">
        <v>42107</v>
      </c>
      <c r="P960" s="191">
        <f t="shared" si="693"/>
        <v>4</v>
      </c>
      <c r="Q960" s="187" t="s">
        <v>3570</v>
      </c>
      <c r="R960" s="190" t="s">
        <v>17</v>
      </c>
      <c r="S960" s="187" t="s">
        <v>101</v>
      </c>
      <c r="T960" s="187" t="s">
        <v>1024</v>
      </c>
      <c r="U960" s="195">
        <v>42111</v>
      </c>
      <c r="V960" s="190" t="s">
        <v>186</v>
      </c>
      <c r="W960" s="192">
        <f t="shared" si="691"/>
        <v>0</v>
      </c>
      <c r="X960" s="192" t="str">
        <f t="shared" si="692"/>
        <v>Correcto</v>
      </c>
    </row>
    <row r="961" spans="1:24" ht="18" customHeight="1" x14ac:dyDescent="0.25">
      <c r="A961" s="193">
        <v>952</v>
      </c>
      <c r="B961" s="187" t="s">
        <v>3571</v>
      </c>
      <c r="C961" s="188">
        <v>42103</v>
      </c>
      <c r="D961" s="194">
        <v>2</v>
      </c>
      <c r="E961" s="189" t="s">
        <v>93</v>
      </c>
      <c r="F961" s="187" t="s">
        <v>825</v>
      </c>
      <c r="G961" s="189" t="s">
        <v>202</v>
      </c>
      <c r="H961" s="188">
        <v>42104</v>
      </c>
      <c r="I961" s="189" t="s">
        <v>187</v>
      </c>
      <c r="J961" s="189" t="s">
        <v>103</v>
      </c>
      <c r="K961" s="187" t="s">
        <v>3572</v>
      </c>
      <c r="L961" s="188">
        <v>42104</v>
      </c>
      <c r="M961" s="187" t="s">
        <v>1914</v>
      </c>
      <c r="N961" s="190" t="s">
        <v>185</v>
      </c>
      <c r="O961" s="188">
        <v>42115</v>
      </c>
      <c r="P961" s="191">
        <f t="shared" si="693"/>
        <v>12</v>
      </c>
      <c r="Q961" s="187" t="s">
        <v>3573</v>
      </c>
      <c r="R961" s="190" t="s">
        <v>2438</v>
      </c>
      <c r="S961" s="187" t="s">
        <v>101</v>
      </c>
      <c r="T961" s="187" t="s">
        <v>3574</v>
      </c>
      <c r="U961" s="195">
        <v>42107</v>
      </c>
      <c r="V961" s="190" t="s">
        <v>186</v>
      </c>
      <c r="W961" s="192">
        <f t="shared" si="691"/>
        <v>0</v>
      </c>
      <c r="X961" s="192" t="str">
        <f t="shared" si="692"/>
        <v>Correcto</v>
      </c>
    </row>
    <row r="962" spans="1:24" ht="18" customHeight="1" x14ac:dyDescent="0.25">
      <c r="A962" s="193">
        <v>953</v>
      </c>
      <c r="B962" s="187" t="s">
        <v>3575</v>
      </c>
      <c r="C962" s="188">
        <v>42103</v>
      </c>
      <c r="D962" s="194">
        <v>2</v>
      </c>
      <c r="E962" s="189" t="s">
        <v>93</v>
      </c>
      <c r="F962" s="187" t="s">
        <v>1654</v>
      </c>
      <c r="G962" s="189" t="s">
        <v>202</v>
      </c>
      <c r="H962" s="188">
        <v>42104</v>
      </c>
      <c r="I962" s="189" t="s">
        <v>187</v>
      </c>
      <c r="J962" s="189" t="s">
        <v>103</v>
      </c>
      <c r="K962" s="187" t="s">
        <v>3576</v>
      </c>
      <c r="L962" s="188">
        <v>42104</v>
      </c>
      <c r="M962" s="187" t="s">
        <v>1914</v>
      </c>
      <c r="N962" s="190" t="s">
        <v>185</v>
      </c>
      <c r="O962" s="188">
        <v>42104</v>
      </c>
      <c r="P962" s="191">
        <f t="shared" si="693"/>
        <v>1</v>
      </c>
      <c r="Q962" s="187" t="s">
        <v>3576</v>
      </c>
      <c r="R962" s="190" t="s">
        <v>17</v>
      </c>
      <c r="S962" s="187" t="s">
        <v>3577</v>
      </c>
      <c r="T962" s="187">
        <v>1104695398</v>
      </c>
      <c r="U962" s="195">
        <v>42104</v>
      </c>
      <c r="V962" s="190" t="s">
        <v>186</v>
      </c>
      <c r="W962" s="192">
        <f t="shared" si="691"/>
        <v>0</v>
      </c>
      <c r="X962" s="192" t="str">
        <f t="shared" si="692"/>
        <v>Correcto</v>
      </c>
    </row>
    <row r="963" spans="1:24" ht="18" customHeight="1" x14ac:dyDescent="0.25">
      <c r="A963" s="193">
        <v>954</v>
      </c>
      <c r="B963" s="187" t="s">
        <v>3578</v>
      </c>
      <c r="C963" s="188">
        <v>42103</v>
      </c>
      <c r="D963" s="194">
        <v>2</v>
      </c>
      <c r="E963" s="189" t="s">
        <v>93</v>
      </c>
      <c r="F963" s="187" t="s">
        <v>825</v>
      </c>
      <c r="G963" s="189" t="s">
        <v>202</v>
      </c>
      <c r="H963" s="188">
        <v>42104</v>
      </c>
      <c r="I963" s="189" t="s">
        <v>187</v>
      </c>
      <c r="J963" s="189" t="s">
        <v>103</v>
      </c>
      <c r="K963" s="187" t="s">
        <v>3579</v>
      </c>
      <c r="L963" s="188">
        <v>42104</v>
      </c>
      <c r="M963" s="187" t="s">
        <v>1914</v>
      </c>
      <c r="N963" s="190" t="s">
        <v>185</v>
      </c>
      <c r="O963" s="188">
        <v>42104</v>
      </c>
      <c r="P963" s="191">
        <f t="shared" si="693"/>
        <v>1</v>
      </c>
      <c r="Q963" s="187" t="s">
        <v>3580</v>
      </c>
      <c r="R963" s="190" t="s">
        <v>17</v>
      </c>
      <c r="S963" s="187" t="s">
        <v>3194</v>
      </c>
      <c r="T963" s="187" t="s">
        <v>3574</v>
      </c>
      <c r="U963" s="195">
        <v>42107</v>
      </c>
      <c r="V963" s="190" t="s">
        <v>186</v>
      </c>
      <c r="W963" s="192">
        <f t="shared" si="691"/>
        <v>0</v>
      </c>
      <c r="X963" s="192" t="str">
        <f t="shared" si="692"/>
        <v>Correcto</v>
      </c>
    </row>
    <row r="964" spans="1:24" ht="18" customHeight="1" x14ac:dyDescent="0.25">
      <c r="A964" s="193">
        <v>955</v>
      </c>
      <c r="B964" s="187" t="s">
        <v>3581</v>
      </c>
      <c r="C964" s="188">
        <v>42103</v>
      </c>
      <c r="D964" s="194">
        <v>9</v>
      </c>
      <c r="E964" s="189" t="s">
        <v>93</v>
      </c>
      <c r="F964" s="187" t="s">
        <v>825</v>
      </c>
      <c r="G964" s="189" t="s">
        <v>202</v>
      </c>
      <c r="H964" s="188">
        <v>42107</v>
      </c>
      <c r="I964" s="189" t="s">
        <v>187</v>
      </c>
      <c r="J964" s="189" t="s">
        <v>103</v>
      </c>
      <c r="K964" s="187" t="s">
        <v>3582</v>
      </c>
      <c r="L964" s="188">
        <v>42107</v>
      </c>
      <c r="M964" s="187" t="s">
        <v>1914</v>
      </c>
      <c r="N964" s="190" t="s">
        <v>185</v>
      </c>
      <c r="O964" s="188">
        <v>42107</v>
      </c>
      <c r="P964" s="191">
        <f t="shared" si="693"/>
        <v>4</v>
      </c>
      <c r="Q964" s="187" t="s">
        <v>3583</v>
      </c>
      <c r="R964" s="190" t="s">
        <v>17</v>
      </c>
      <c r="S964" s="187" t="s">
        <v>3194</v>
      </c>
      <c r="T964" s="187" t="s">
        <v>3584</v>
      </c>
      <c r="U964" s="195">
        <v>42108</v>
      </c>
      <c r="V964" s="190" t="s">
        <v>186</v>
      </c>
      <c r="W964" s="192">
        <f t="shared" si="691"/>
        <v>0</v>
      </c>
      <c r="X964" s="192" t="str">
        <f t="shared" si="692"/>
        <v>Correcto</v>
      </c>
    </row>
    <row r="965" spans="1:24" ht="18" customHeight="1" x14ac:dyDescent="0.25">
      <c r="A965" s="193">
        <v>956</v>
      </c>
      <c r="B965" s="187" t="s">
        <v>3585</v>
      </c>
      <c r="C965" s="188">
        <v>42103</v>
      </c>
      <c r="D965" s="194">
        <v>2</v>
      </c>
      <c r="E965" s="189" t="s">
        <v>93</v>
      </c>
      <c r="F965" s="187" t="s">
        <v>825</v>
      </c>
      <c r="G965" s="189" t="s">
        <v>202</v>
      </c>
      <c r="H965" s="188">
        <v>42107</v>
      </c>
      <c r="I965" s="189" t="s">
        <v>187</v>
      </c>
      <c r="J965" s="189" t="s">
        <v>103</v>
      </c>
      <c r="K965" s="187" t="s">
        <v>3586</v>
      </c>
      <c r="L965" s="188">
        <v>42107</v>
      </c>
      <c r="M965" s="187" t="s">
        <v>1914</v>
      </c>
      <c r="N965" s="190" t="s">
        <v>185</v>
      </c>
      <c r="O965" s="188">
        <v>42107</v>
      </c>
      <c r="P965" s="191">
        <f t="shared" si="693"/>
        <v>4</v>
      </c>
      <c r="Q965" s="187" t="s">
        <v>3587</v>
      </c>
      <c r="R965" s="190" t="s">
        <v>17</v>
      </c>
      <c r="S965" s="187" t="s">
        <v>101</v>
      </c>
      <c r="T965" s="187" t="s">
        <v>1007</v>
      </c>
      <c r="U965" s="195">
        <v>42111</v>
      </c>
      <c r="V965" s="190" t="s">
        <v>186</v>
      </c>
      <c r="W965" s="192">
        <f t="shared" si="691"/>
        <v>0</v>
      </c>
      <c r="X965" s="192" t="str">
        <f t="shared" si="692"/>
        <v>Correcto</v>
      </c>
    </row>
    <row r="966" spans="1:24" ht="18" customHeight="1" x14ac:dyDescent="0.25">
      <c r="A966" s="193">
        <v>957</v>
      </c>
      <c r="B966" s="187" t="s">
        <v>3588</v>
      </c>
      <c r="C966" s="188">
        <v>42103</v>
      </c>
      <c r="D966" s="194">
        <v>2</v>
      </c>
      <c r="E966" s="189" t="s">
        <v>93</v>
      </c>
      <c r="F966" s="187" t="s">
        <v>825</v>
      </c>
      <c r="G966" s="189" t="s">
        <v>202</v>
      </c>
      <c r="H966" s="188">
        <v>42107</v>
      </c>
      <c r="I966" s="189" t="s">
        <v>187</v>
      </c>
      <c r="J966" s="189" t="s">
        <v>103</v>
      </c>
      <c r="K966" s="187" t="s">
        <v>3589</v>
      </c>
      <c r="L966" s="188">
        <v>42107</v>
      </c>
      <c r="M966" s="187" t="s">
        <v>1914</v>
      </c>
      <c r="N966" s="190" t="s">
        <v>185</v>
      </c>
      <c r="O966" s="188">
        <v>42107</v>
      </c>
      <c r="P966" s="191">
        <f t="shared" si="693"/>
        <v>4</v>
      </c>
      <c r="Q966" s="187" t="s">
        <v>3590</v>
      </c>
      <c r="R966" s="190" t="s">
        <v>17</v>
      </c>
      <c r="S966" s="187" t="s">
        <v>16</v>
      </c>
      <c r="T966" s="187" t="s">
        <v>3591</v>
      </c>
      <c r="U966" s="195">
        <v>42108</v>
      </c>
      <c r="V966" s="190" t="s">
        <v>186</v>
      </c>
      <c r="W966" s="192">
        <f t="shared" si="691"/>
        <v>0</v>
      </c>
      <c r="X966" s="192" t="str">
        <f t="shared" si="692"/>
        <v>Correcto</v>
      </c>
    </row>
    <row r="967" spans="1:24" ht="18" customHeight="1" x14ac:dyDescent="0.25">
      <c r="A967" s="193">
        <v>958</v>
      </c>
      <c r="B967" s="187" t="s">
        <v>3592</v>
      </c>
      <c r="C967" s="188">
        <v>42103</v>
      </c>
      <c r="D967" s="194">
        <v>2</v>
      </c>
      <c r="E967" s="189" t="s">
        <v>93</v>
      </c>
      <c r="F967" s="187" t="s">
        <v>825</v>
      </c>
      <c r="G967" s="189" t="s">
        <v>202</v>
      </c>
      <c r="H967" s="188">
        <v>42107</v>
      </c>
      <c r="I967" s="189" t="s">
        <v>187</v>
      </c>
      <c r="J967" s="189" t="s">
        <v>103</v>
      </c>
      <c r="K967" s="187" t="s">
        <v>3593</v>
      </c>
      <c r="L967" s="188">
        <v>42107</v>
      </c>
      <c r="M967" s="187" t="s">
        <v>1914</v>
      </c>
      <c r="N967" s="190" t="s">
        <v>185</v>
      </c>
      <c r="O967" s="188">
        <v>42107</v>
      </c>
      <c r="P967" s="191">
        <f t="shared" si="693"/>
        <v>4</v>
      </c>
      <c r="Q967" s="187" t="s">
        <v>3594</v>
      </c>
      <c r="R967" s="190" t="s">
        <v>17</v>
      </c>
      <c r="S967" s="187" t="s">
        <v>101</v>
      </c>
      <c r="T967" s="187" t="s">
        <v>1011</v>
      </c>
      <c r="U967" s="195">
        <v>42111</v>
      </c>
      <c r="V967" s="190" t="s">
        <v>186</v>
      </c>
      <c r="W967" s="192">
        <f t="shared" si="691"/>
        <v>0</v>
      </c>
      <c r="X967" s="192" t="str">
        <f t="shared" si="692"/>
        <v>Correcto</v>
      </c>
    </row>
    <row r="968" spans="1:24" ht="18" customHeight="1" x14ac:dyDescent="0.25">
      <c r="A968" s="193">
        <v>959</v>
      </c>
      <c r="B968" s="187" t="s">
        <v>3595</v>
      </c>
      <c r="C968" s="188">
        <v>42103</v>
      </c>
      <c r="D968" s="194">
        <v>2</v>
      </c>
      <c r="E968" s="189" t="s">
        <v>93</v>
      </c>
      <c r="F968" s="187" t="s">
        <v>825</v>
      </c>
      <c r="G968" s="189" t="s">
        <v>202</v>
      </c>
      <c r="H968" s="188">
        <v>42107</v>
      </c>
      <c r="I968" s="189" t="s">
        <v>187</v>
      </c>
      <c r="J968" s="189" t="s">
        <v>103</v>
      </c>
      <c r="K968" s="187" t="s">
        <v>3596</v>
      </c>
      <c r="L968" s="188">
        <v>42107</v>
      </c>
      <c r="M968" s="187" t="s">
        <v>1914</v>
      </c>
      <c r="N968" s="190" t="s">
        <v>185</v>
      </c>
      <c r="O968" s="188">
        <v>42107</v>
      </c>
      <c r="P968" s="191">
        <f t="shared" si="693"/>
        <v>4</v>
      </c>
      <c r="Q968" s="187" t="s">
        <v>3597</v>
      </c>
      <c r="R968" s="190" t="s">
        <v>17</v>
      </c>
      <c r="S968" s="187" t="s">
        <v>729</v>
      </c>
      <c r="T968" s="187" t="s">
        <v>3598</v>
      </c>
      <c r="U968" s="195">
        <v>42108</v>
      </c>
      <c r="V968" s="190" t="s">
        <v>186</v>
      </c>
      <c r="W968" s="192">
        <f t="shared" si="691"/>
        <v>0</v>
      </c>
      <c r="X968" s="192" t="str">
        <f t="shared" si="692"/>
        <v>Correcto</v>
      </c>
    </row>
    <row r="969" spans="1:24" ht="18" customHeight="1" x14ac:dyDescent="0.25">
      <c r="A969" s="193">
        <v>960</v>
      </c>
      <c r="B969" s="187" t="s">
        <v>3599</v>
      </c>
      <c r="C969" s="188">
        <v>42103</v>
      </c>
      <c r="D969" s="194">
        <v>2</v>
      </c>
      <c r="E969" s="189" t="s">
        <v>93</v>
      </c>
      <c r="F969" s="187" t="s">
        <v>825</v>
      </c>
      <c r="G969" s="189" t="s">
        <v>202</v>
      </c>
      <c r="H969" s="187"/>
      <c r="I969" s="189" t="s">
        <v>187</v>
      </c>
      <c r="J969" s="189" t="s">
        <v>103</v>
      </c>
      <c r="K969" s="187"/>
      <c r="L969" s="187"/>
      <c r="M969" s="187" t="s">
        <v>1914</v>
      </c>
      <c r="N969" s="190" t="s">
        <v>185</v>
      </c>
      <c r="O969" s="188">
        <v>42107</v>
      </c>
      <c r="P969" s="191">
        <f t="shared" si="693"/>
        <v>4</v>
      </c>
      <c r="Q969" s="187" t="s">
        <v>3600</v>
      </c>
      <c r="R969" s="190" t="s">
        <v>17</v>
      </c>
      <c r="S969" s="187" t="s">
        <v>101</v>
      </c>
      <c r="T969" s="187" t="s">
        <v>2258</v>
      </c>
      <c r="U969" s="195">
        <v>42107</v>
      </c>
      <c r="V969" s="190" t="s">
        <v>186</v>
      </c>
      <c r="W969" s="192">
        <f t="shared" ref="W969:W1032" si="694">COUNTBLANK(C969:V969)</f>
        <v>3</v>
      </c>
      <c r="X969" s="192" t="str">
        <f t="shared" ref="X969:X1032" si="695">IF(W969=0,"Correcto","Incorrecto")</f>
        <v>Incorrecto</v>
      </c>
    </row>
    <row r="970" spans="1:24" ht="18" customHeight="1" x14ac:dyDescent="0.25">
      <c r="A970" s="193">
        <v>961</v>
      </c>
      <c r="B970" s="187" t="s">
        <v>3601</v>
      </c>
      <c r="C970" s="188">
        <v>42103</v>
      </c>
      <c r="D970" s="194">
        <v>2</v>
      </c>
      <c r="E970" s="189" t="s">
        <v>93</v>
      </c>
      <c r="F970" s="187" t="s">
        <v>825</v>
      </c>
      <c r="G970" s="189" t="s">
        <v>202</v>
      </c>
      <c r="H970" s="188">
        <v>42107</v>
      </c>
      <c r="I970" s="189" t="s">
        <v>187</v>
      </c>
      <c r="J970" s="189" t="s">
        <v>103</v>
      </c>
      <c r="K970" s="187" t="s">
        <v>3602</v>
      </c>
      <c r="L970" s="188">
        <v>42107</v>
      </c>
      <c r="M970" s="187" t="s">
        <v>1914</v>
      </c>
      <c r="N970" s="190" t="s">
        <v>185</v>
      </c>
      <c r="O970" s="188">
        <v>42110</v>
      </c>
      <c r="P970" s="191">
        <f t="shared" si="693"/>
        <v>7</v>
      </c>
      <c r="Q970" s="187" t="s">
        <v>3603</v>
      </c>
      <c r="R970" s="190" t="s">
        <v>17</v>
      </c>
      <c r="S970" s="187" t="s">
        <v>101</v>
      </c>
      <c r="T970" s="187" t="s">
        <v>953</v>
      </c>
      <c r="U970" s="195">
        <v>42111</v>
      </c>
      <c r="V970" s="190" t="s">
        <v>186</v>
      </c>
      <c r="W970" s="192">
        <f t="shared" si="694"/>
        <v>0</v>
      </c>
      <c r="X970" s="192" t="str">
        <f t="shared" si="695"/>
        <v>Correcto</v>
      </c>
    </row>
    <row r="971" spans="1:24" ht="18" customHeight="1" x14ac:dyDescent="0.25">
      <c r="A971" s="193">
        <v>962</v>
      </c>
      <c r="B971" s="187" t="s">
        <v>3604</v>
      </c>
      <c r="C971" s="188">
        <v>42103</v>
      </c>
      <c r="D971" s="194">
        <v>2</v>
      </c>
      <c r="E971" s="189" t="s">
        <v>93</v>
      </c>
      <c r="F971" s="187" t="s">
        <v>825</v>
      </c>
      <c r="G971" s="189" t="s">
        <v>202</v>
      </c>
      <c r="H971" s="188">
        <v>42107</v>
      </c>
      <c r="I971" s="189" t="s">
        <v>187</v>
      </c>
      <c r="J971" s="189" t="s">
        <v>103</v>
      </c>
      <c r="K971" s="187" t="s">
        <v>3605</v>
      </c>
      <c r="L971" s="188">
        <v>42107</v>
      </c>
      <c r="M971" s="187" t="s">
        <v>1914</v>
      </c>
      <c r="N971" s="190" t="s">
        <v>185</v>
      </c>
      <c r="O971" s="188">
        <v>42108</v>
      </c>
      <c r="P971" s="191">
        <f t="shared" si="693"/>
        <v>5</v>
      </c>
      <c r="Q971" s="187" t="s">
        <v>3606</v>
      </c>
      <c r="R971" s="190" t="s">
        <v>17</v>
      </c>
      <c r="S971" s="187" t="s">
        <v>101</v>
      </c>
      <c r="T971" s="187" t="s">
        <v>1226</v>
      </c>
      <c r="U971" s="195">
        <v>42111</v>
      </c>
      <c r="V971" s="190" t="s">
        <v>186</v>
      </c>
      <c r="W971" s="192">
        <f t="shared" si="694"/>
        <v>0</v>
      </c>
      <c r="X971" s="192" t="str">
        <f t="shared" si="695"/>
        <v>Correcto</v>
      </c>
    </row>
    <row r="972" spans="1:24" ht="18" customHeight="1" x14ac:dyDescent="0.25">
      <c r="A972" s="193">
        <v>963</v>
      </c>
      <c r="B972" s="187" t="s">
        <v>3607</v>
      </c>
      <c r="C972" s="188">
        <v>42103</v>
      </c>
      <c r="D972" s="194">
        <v>2</v>
      </c>
      <c r="E972" s="189" t="s">
        <v>93</v>
      </c>
      <c r="F972" s="187" t="s">
        <v>825</v>
      </c>
      <c r="G972" s="189" t="s">
        <v>202</v>
      </c>
      <c r="H972" s="188">
        <v>42107</v>
      </c>
      <c r="I972" s="189" t="s">
        <v>187</v>
      </c>
      <c r="J972" s="189" t="s">
        <v>103</v>
      </c>
      <c r="K972" s="187" t="s">
        <v>3608</v>
      </c>
      <c r="L972" s="188">
        <v>42107</v>
      </c>
      <c r="M972" s="187" t="s">
        <v>1914</v>
      </c>
      <c r="N972" s="190" t="s">
        <v>185</v>
      </c>
      <c r="O972" s="188">
        <v>42108</v>
      </c>
      <c r="P972" s="191">
        <f t="shared" si="693"/>
        <v>5</v>
      </c>
      <c r="Q972" s="187" t="s">
        <v>3609</v>
      </c>
      <c r="R972" s="190" t="s">
        <v>17</v>
      </c>
      <c r="S972" s="187" t="s">
        <v>101</v>
      </c>
      <c r="T972" s="187" t="s">
        <v>1442</v>
      </c>
      <c r="U972" s="195">
        <v>42111</v>
      </c>
      <c r="V972" s="190" t="s">
        <v>186</v>
      </c>
      <c r="W972" s="192">
        <f t="shared" si="694"/>
        <v>0</v>
      </c>
      <c r="X972" s="192" t="str">
        <f t="shared" si="695"/>
        <v>Correcto</v>
      </c>
    </row>
    <row r="973" spans="1:24" ht="18" customHeight="1" x14ac:dyDescent="0.25">
      <c r="A973" s="193">
        <v>964</v>
      </c>
      <c r="B973" s="187" t="s">
        <v>3610</v>
      </c>
      <c r="C973" s="188">
        <v>42103</v>
      </c>
      <c r="D973" s="194">
        <v>2</v>
      </c>
      <c r="E973" s="189" t="s">
        <v>93</v>
      </c>
      <c r="F973" s="187" t="s">
        <v>825</v>
      </c>
      <c r="G973" s="189" t="s">
        <v>202</v>
      </c>
      <c r="H973" s="188">
        <v>42107</v>
      </c>
      <c r="I973" s="189" t="s">
        <v>187</v>
      </c>
      <c r="J973" s="189" t="s">
        <v>103</v>
      </c>
      <c r="K973" s="187" t="s">
        <v>3611</v>
      </c>
      <c r="L973" s="188">
        <v>42107</v>
      </c>
      <c r="M973" s="187" t="s">
        <v>1914</v>
      </c>
      <c r="N973" s="190" t="s">
        <v>185</v>
      </c>
      <c r="O973" s="188">
        <v>42110</v>
      </c>
      <c r="P973" s="191">
        <f t="shared" si="693"/>
        <v>7</v>
      </c>
      <c r="Q973" s="187" t="s">
        <v>3612</v>
      </c>
      <c r="R973" s="190" t="s">
        <v>17</v>
      </c>
      <c r="S973" s="187" t="s">
        <v>101</v>
      </c>
      <c r="T973" s="187" t="s">
        <v>1163</v>
      </c>
      <c r="U973" s="195">
        <v>42111</v>
      </c>
      <c r="V973" s="190" t="s">
        <v>186</v>
      </c>
      <c r="W973" s="192">
        <f t="shared" si="694"/>
        <v>0</v>
      </c>
      <c r="X973" s="192" t="str">
        <f t="shared" si="695"/>
        <v>Correcto</v>
      </c>
    </row>
    <row r="974" spans="1:24" ht="18" customHeight="1" x14ac:dyDescent="0.25">
      <c r="A974" s="193">
        <v>965</v>
      </c>
      <c r="B974" s="187" t="s">
        <v>3613</v>
      </c>
      <c r="C974" s="188">
        <v>42103</v>
      </c>
      <c r="D974" s="194">
        <v>2</v>
      </c>
      <c r="E974" s="189" t="s">
        <v>93</v>
      </c>
      <c r="F974" s="187" t="s">
        <v>825</v>
      </c>
      <c r="G974" s="189" t="s">
        <v>202</v>
      </c>
      <c r="H974" s="188">
        <v>42107</v>
      </c>
      <c r="I974" s="189" t="s">
        <v>187</v>
      </c>
      <c r="J974" s="189" t="s">
        <v>103</v>
      </c>
      <c r="K974" s="187" t="s">
        <v>3614</v>
      </c>
      <c r="L974" s="188">
        <v>42107</v>
      </c>
      <c r="M974" s="187" t="s">
        <v>1914</v>
      </c>
      <c r="N974" s="190" t="s">
        <v>185</v>
      </c>
      <c r="O974" s="188">
        <v>42108</v>
      </c>
      <c r="P974" s="191">
        <f t="shared" si="693"/>
        <v>5</v>
      </c>
      <c r="Q974" s="187" t="s">
        <v>3615</v>
      </c>
      <c r="R974" s="190" t="s">
        <v>17</v>
      </c>
      <c r="S974" s="187" t="s">
        <v>101</v>
      </c>
      <c r="T974" s="187" t="s">
        <v>2730</v>
      </c>
      <c r="U974" s="195">
        <v>42111</v>
      </c>
      <c r="V974" s="190" t="s">
        <v>186</v>
      </c>
      <c r="W974" s="192">
        <f t="shared" si="694"/>
        <v>0</v>
      </c>
      <c r="X974" s="192" t="str">
        <f t="shared" si="695"/>
        <v>Correcto</v>
      </c>
    </row>
    <row r="975" spans="1:24" ht="18" customHeight="1" x14ac:dyDescent="0.25">
      <c r="A975" s="193">
        <v>966</v>
      </c>
      <c r="B975" s="187" t="s">
        <v>3616</v>
      </c>
      <c r="C975" s="188">
        <v>42103</v>
      </c>
      <c r="D975" s="194">
        <v>2</v>
      </c>
      <c r="E975" s="189" t="s">
        <v>93</v>
      </c>
      <c r="F975" s="187" t="s">
        <v>1654</v>
      </c>
      <c r="G975" s="189" t="s">
        <v>202</v>
      </c>
      <c r="H975" s="188">
        <v>42104</v>
      </c>
      <c r="I975" s="189" t="s">
        <v>187</v>
      </c>
      <c r="J975" s="189" t="s">
        <v>103</v>
      </c>
      <c r="K975" s="187" t="s">
        <v>3617</v>
      </c>
      <c r="L975" s="188">
        <v>42104</v>
      </c>
      <c r="M975" s="187" t="s">
        <v>1914</v>
      </c>
      <c r="N975" s="190" t="s">
        <v>185</v>
      </c>
      <c r="O975" s="188">
        <v>42104</v>
      </c>
      <c r="P975" s="191">
        <f t="shared" si="693"/>
        <v>1</v>
      </c>
      <c r="Q975" s="187" t="s">
        <v>3617</v>
      </c>
      <c r="R975" s="190" t="s">
        <v>17</v>
      </c>
      <c r="S975" s="187" t="s">
        <v>3618</v>
      </c>
      <c r="T975" s="187">
        <v>1102459045</v>
      </c>
      <c r="U975" s="195">
        <v>42107</v>
      </c>
      <c r="V975" s="190" t="s">
        <v>186</v>
      </c>
      <c r="W975" s="192">
        <f t="shared" si="694"/>
        <v>0</v>
      </c>
      <c r="X975" s="192" t="str">
        <f t="shared" si="695"/>
        <v>Correcto</v>
      </c>
    </row>
    <row r="976" spans="1:24" ht="18" customHeight="1" x14ac:dyDescent="0.25">
      <c r="A976" s="193">
        <v>967</v>
      </c>
      <c r="B976" s="187" t="s">
        <v>3619</v>
      </c>
      <c r="C976" s="188">
        <v>42103</v>
      </c>
      <c r="D976" s="194">
        <v>2</v>
      </c>
      <c r="E976" s="189" t="s">
        <v>93</v>
      </c>
      <c r="F976" s="187" t="s">
        <v>825</v>
      </c>
      <c r="G976" s="189" t="s">
        <v>202</v>
      </c>
      <c r="H976" s="188">
        <v>42104</v>
      </c>
      <c r="I976" s="189" t="s">
        <v>187</v>
      </c>
      <c r="J976" s="189" t="s">
        <v>103</v>
      </c>
      <c r="K976" s="187" t="s">
        <v>3620</v>
      </c>
      <c r="L976" s="188">
        <v>42104</v>
      </c>
      <c r="M976" s="187" t="s">
        <v>1914</v>
      </c>
      <c r="N976" s="190" t="s">
        <v>185</v>
      </c>
      <c r="O976" s="188">
        <v>42122</v>
      </c>
      <c r="P976" s="191">
        <f t="shared" si="693"/>
        <v>19</v>
      </c>
      <c r="Q976" s="187" t="s">
        <v>3621</v>
      </c>
      <c r="R976" s="190" t="s">
        <v>17</v>
      </c>
      <c r="S976" s="187" t="s">
        <v>101</v>
      </c>
      <c r="T976" s="187" t="s">
        <v>1023</v>
      </c>
      <c r="U976" s="195">
        <v>42124</v>
      </c>
      <c r="V976" s="190" t="s">
        <v>186</v>
      </c>
      <c r="W976" s="192">
        <f t="shared" si="694"/>
        <v>0</v>
      </c>
      <c r="X976" s="192" t="str">
        <f t="shared" si="695"/>
        <v>Correcto</v>
      </c>
    </row>
    <row r="977" spans="1:24" ht="18" customHeight="1" x14ac:dyDescent="0.25">
      <c r="A977" s="193">
        <v>968</v>
      </c>
      <c r="B977" s="187" t="s">
        <v>3622</v>
      </c>
      <c r="C977" s="188">
        <v>42103</v>
      </c>
      <c r="D977" s="194">
        <v>2</v>
      </c>
      <c r="E977" s="189" t="s">
        <v>93</v>
      </c>
      <c r="F977" s="187" t="s">
        <v>825</v>
      </c>
      <c r="G977" s="189" t="s">
        <v>202</v>
      </c>
      <c r="H977" s="188">
        <v>42108</v>
      </c>
      <c r="I977" s="189" t="s">
        <v>187</v>
      </c>
      <c r="J977" s="189" t="s">
        <v>103</v>
      </c>
      <c r="K977" s="187" t="s">
        <v>3623</v>
      </c>
      <c r="L977" s="188">
        <v>42108</v>
      </c>
      <c r="M977" s="187" t="s">
        <v>1914</v>
      </c>
      <c r="N977" s="190" t="s">
        <v>185</v>
      </c>
      <c r="O977" s="188">
        <v>42109</v>
      </c>
      <c r="P977" s="191">
        <f t="shared" si="693"/>
        <v>6</v>
      </c>
      <c r="Q977" s="187" t="s">
        <v>3624</v>
      </c>
      <c r="R977" s="190" t="s">
        <v>17</v>
      </c>
      <c r="S977" s="187" t="s">
        <v>101</v>
      </c>
      <c r="T977" s="187" t="s">
        <v>2258</v>
      </c>
      <c r="U977" s="195">
        <v>42111</v>
      </c>
      <c r="V977" s="190" t="s">
        <v>186</v>
      </c>
      <c r="W977" s="192">
        <f t="shared" si="694"/>
        <v>0</v>
      </c>
      <c r="X977" s="192" t="str">
        <f t="shared" si="695"/>
        <v>Correcto</v>
      </c>
    </row>
    <row r="978" spans="1:24" ht="18" customHeight="1" x14ac:dyDescent="0.25">
      <c r="A978" s="193">
        <v>969</v>
      </c>
      <c r="B978" s="187" t="s">
        <v>3625</v>
      </c>
      <c r="C978" s="188">
        <v>42103</v>
      </c>
      <c r="D978" s="194">
        <v>2</v>
      </c>
      <c r="E978" s="189" t="s">
        <v>93</v>
      </c>
      <c r="F978" s="187" t="s">
        <v>946</v>
      </c>
      <c r="G978" s="189" t="s">
        <v>202</v>
      </c>
      <c r="H978" s="188">
        <v>42110</v>
      </c>
      <c r="I978" s="189" t="s">
        <v>187</v>
      </c>
      <c r="J978" s="189" t="s">
        <v>103</v>
      </c>
      <c r="K978" s="187" t="s">
        <v>3626</v>
      </c>
      <c r="L978" s="188">
        <v>42110</v>
      </c>
      <c r="M978" s="187" t="s">
        <v>946</v>
      </c>
      <c r="N978" s="190" t="s">
        <v>185</v>
      </c>
      <c r="O978" s="188">
        <v>42110</v>
      </c>
      <c r="P978" s="191">
        <f t="shared" si="693"/>
        <v>7</v>
      </c>
      <c r="Q978" s="187" t="s">
        <v>3626</v>
      </c>
      <c r="R978" s="190" t="s">
        <v>17</v>
      </c>
      <c r="S978" s="187" t="s">
        <v>3627</v>
      </c>
      <c r="T978" s="187" t="s">
        <v>3628</v>
      </c>
      <c r="U978" s="195">
        <v>42110</v>
      </c>
      <c r="V978" s="190" t="s">
        <v>186</v>
      </c>
      <c r="W978" s="192">
        <f t="shared" si="694"/>
        <v>0</v>
      </c>
      <c r="X978" s="192" t="str">
        <f t="shared" si="695"/>
        <v>Correcto</v>
      </c>
    </row>
    <row r="979" spans="1:24" ht="18" customHeight="1" x14ac:dyDescent="0.25">
      <c r="A979" s="193">
        <v>970</v>
      </c>
      <c r="B979" s="187" t="s">
        <v>3629</v>
      </c>
      <c r="C979" s="188">
        <v>42103</v>
      </c>
      <c r="D979" s="194">
        <v>2</v>
      </c>
      <c r="E979" s="189" t="s">
        <v>93</v>
      </c>
      <c r="F979" s="187" t="s">
        <v>1654</v>
      </c>
      <c r="G979" s="189" t="s">
        <v>202</v>
      </c>
      <c r="H979" s="188">
        <v>42107</v>
      </c>
      <c r="I979" s="189" t="s">
        <v>187</v>
      </c>
      <c r="J979" s="189" t="s">
        <v>103</v>
      </c>
      <c r="K979" s="187" t="s">
        <v>3630</v>
      </c>
      <c r="L979" s="188">
        <v>42107</v>
      </c>
      <c r="M979" s="187" t="s">
        <v>1914</v>
      </c>
      <c r="N979" s="190" t="s">
        <v>185</v>
      </c>
      <c r="O979" s="188">
        <v>42107</v>
      </c>
      <c r="P979" s="191">
        <f t="shared" si="693"/>
        <v>4</v>
      </c>
      <c r="Q979" s="187" t="s">
        <v>3630</v>
      </c>
      <c r="R979" s="190" t="s">
        <v>17</v>
      </c>
      <c r="S979" s="187" t="s">
        <v>3631</v>
      </c>
      <c r="T979" s="187">
        <v>704773233</v>
      </c>
      <c r="U979" s="195">
        <v>42108</v>
      </c>
      <c r="V979" s="190" t="s">
        <v>186</v>
      </c>
      <c r="W979" s="192">
        <f t="shared" si="694"/>
        <v>0</v>
      </c>
      <c r="X979" s="192" t="str">
        <f t="shared" si="695"/>
        <v>Correcto</v>
      </c>
    </row>
    <row r="980" spans="1:24" ht="18" customHeight="1" x14ac:dyDescent="0.25">
      <c r="A980" s="193">
        <v>971</v>
      </c>
      <c r="B980" s="187" t="s">
        <v>3632</v>
      </c>
      <c r="C980" s="188">
        <v>42103</v>
      </c>
      <c r="D980" s="194">
        <v>2</v>
      </c>
      <c r="E980" s="189" t="s">
        <v>93</v>
      </c>
      <c r="F980" s="187" t="s">
        <v>825</v>
      </c>
      <c r="G980" s="189" t="s">
        <v>202</v>
      </c>
      <c r="H980" s="188">
        <v>42110</v>
      </c>
      <c r="I980" s="189" t="s">
        <v>187</v>
      </c>
      <c r="J980" s="189" t="s">
        <v>103</v>
      </c>
      <c r="K980" s="187" t="s">
        <v>3633</v>
      </c>
      <c r="L980" s="188">
        <v>42110</v>
      </c>
      <c r="M980" s="187" t="s">
        <v>1914</v>
      </c>
      <c r="N980" s="190" t="s">
        <v>185</v>
      </c>
      <c r="O980" s="188">
        <v>42114</v>
      </c>
      <c r="P980" s="191">
        <f t="shared" si="693"/>
        <v>11</v>
      </c>
      <c r="Q980" s="187" t="s">
        <v>3634</v>
      </c>
      <c r="R980" s="190" t="s">
        <v>605</v>
      </c>
      <c r="S980" s="187" t="s">
        <v>101</v>
      </c>
      <c r="T980" s="187" t="s">
        <v>3635</v>
      </c>
      <c r="U980" s="195">
        <v>42115</v>
      </c>
      <c r="V980" s="190" t="s">
        <v>186</v>
      </c>
      <c r="W980" s="192">
        <f t="shared" si="694"/>
        <v>0</v>
      </c>
      <c r="X980" s="192" t="str">
        <f t="shared" si="695"/>
        <v>Correcto</v>
      </c>
    </row>
    <row r="981" spans="1:24" ht="18" customHeight="1" x14ac:dyDescent="0.25">
      <c r="A981" s="193">
        <v>972</v>
      </c>
      <c r="B981" s="187" t="s">
        <v>3636</v>
      </c>
      <c r="C981" s="188">
        <v>42103</v>
      </c>
      <c r="D981" s="194"/>
      <c r="E981" s="189" t="s">
        <v>93</v>
      </c>
      <c r="F981" s="187" t="s">
        <v>1654</v>
      </c>
      <c r="G981" s="189" t="s">
        <v>202</v>
      </c>
      <c r="H981" s="188">
        <v>42116</v>
      </c>
      <c r="I981" s="189" t="s">
        <v>187</v>
      </c>
      <c r="J981" s="189" t="s">
        <v>103</v>
      </c>
      <c r="K981" s="187" t="s">
        <v>3637</v>
      </c>
      <c r="L981" s="188">
        <v>42117</v>
      </c>
      <c r="M981" s="187" t="s">
        <v>100</v>
      </c>
      <c r="N981" s="190" t="s">
        <v>185</v>
      </c>
      <c r="O981" s="188">
        <v>42122</v>
      </c>
      <c r="P981" s="191">
        <f t="shared" si="693"/>
        <v>19</v>
      </c>
      <c r="Q981" s="187" t="s">
        <v>3636</v>
      </c>
      <c r="R981" s="190" t="s">
        <v>17</v>
      </c>
      <c r="S981" s="187" t="s">
        <v>3638</v>
      </c>
      <c r="T981" s="187"/>
      <c r="U981" s="194"/>
      <c r="V981" s="190" t="s">
        <v>186</v>
      </c>
      <c r="W981" s="192">
        <f t="shared" si="694"/>
        <v>3</v>
      </c>
      <c r="X981" s="192" t="str">
        <f t="shared" si="695"/>
        <v>Incorrecto</v>
      </c>
    </row>
    <row r="982" spans="1:24" ht="18" customHeight="1" x14ac:dyDescent="0.25">
      <c r="A982" s="193">
        <v>973</v>
      </c>
      <c r="B982" s="187" t="s">
        <v>3639</v>
      </c>
      <c r="C982" s="188">
        <v>42103</v>
      </c>
      <c r="D982" s="194">
        <v>9</v>
      </c>
      <c r="E982" s="189" t="s">
        <v>93</v>
      </c>
      <c r="F982" s="187" t="s">
        <v>825</v>
      </c>
      <c r="G982" s="189" t="s">
        <v>202</v>
      </c>
      <c r="H982" s="188">
        <v>42114</v>
      </c>
      <c r="I982" s="189" t="s">
        <v>187</v>
      </c>
      <c r="J982" s="189" t="s">
        <v>103</v>
      </c>
      <c r="K982" s="187" t="s">
        <v>3640</v>
      </c>
      <c r="L982" s="188">
        <v>42114</v>
      </c>
      <c r="M982" s="187" t="s">
        <v>1914</v>
      </c>
      <c r="N982" s="190" t="s">
        <v>185</v>
      </c>
      <c r="O982" s="188">
        <v>42114</v>
      </c>
      <c r="P982" s="191">
        <f t="shared" si="693"/>
        <v>11</v>
      </c>
      <c r="Q982" s="187" t="s">
        <v>3641</v>
      </c>
      <c r="R982" s="190" t="s">
        <v>605</v>
      </c>
      <c r="S982" s="187" t="s">
        <v>3638</v>
      </c>
      <c r="T982" s="187" t="s">
        <v>3635</v>
      </c>
      <c r="U982" s="195">
        <v>42115</v>
      </c>
      <c r="V982" s="190" t="s">
        <v>186</v>
      </c>
      <c r="W982" s="192">
        <f t="shared" si="694"/>
        <v>0</v>
      </c>
      <c r="X982" s="192" t="str">
        <f t="shared" si="695"/>
        <v>Correcto</v>
      </c>
    </row>
    <row r="983" spans="1:24" ht="18" customHeight="1" x14ac:dyDescent="0.25">
      <c r="A983" s="193">
        <v>974</v>
      </c>
      <c r="B983" s="187" t="s">
        <v>3642</v>
      </c>
      <c r="C983" s="188">
        <v>42104</v>
      </c>
      <c r="D983" s="194">
        <v>2</v>
      </c>
      <c r="E983" s="189" t="s">
        <v>93</v>
      </c>
      <c r="F983" s="187" t="s">
        <v>1654</v>
      </c>
      <c r="G983" s="189" t="s">
        <v>202</v>
      </c>
      <c r="H983" s="188">
        <v>42108</v>
      </c>
      <c r="I983" s="189" t="s">
        <v>187</v>
      </c>
      <c r="J983" s="189" t="s">
        <v>103</v>
      </c>
      <c r="K983" s="187" t="s">
        <v>3643</v>
      </c>
      <c r="L983" s="188">
        <v>42108</v>
      </c>
      <c r="M983" s="187" t="s">
        <v>1914</v>
      </c>
      <c r="N983" s="190" t="s">
        <v>185</v>
      </c>
      <c r="O983" s="188">
        <v>42108</v>
      </c>
      <c r="P983" s="191">
        <f t="shared" si="693"/>
        <v>4</v>
      </c>
      <c r="Q983" s="187" t="s">
        <v>3643</v>
      </c>
      <c r="R983" s="190" t="s">
        <v>17</v>
      </c>
      <c r="S983" s="187" t="s">
        <v>3644</v>
      </c>
      <c r="T983" s="187">
        <v>1714647938</v>
      </c>
      <c r="U983" s="195">
        <v>42108</v>
      </c>
      <c r="V983" s="190" t="s">
        <v>186</v>
      </c>
      <c r="W983" s="192">
        <f t="shared" si="694"/>
        <v>0</v>
      </c>
      <c r="X983" s="192" t="str">
        <f t="shared" si="695"/>
        <v>Correcto</v>
      </c>
    </row>
    <row r="984" spans="1:24" ht="18" customHeight="1" x14ac:dyDescent="0.25">
      <c r="A984" s="193">
        <v>975</v>
      </c>
      <c r="B984" s="187" t="s">
        <v>3645</v>
      </c>
      <c r="C984" s="188">
        <v>42104</v>
      </c>
      <c r="D984" s="194">
        <v>2</v>
      </c>
      <c r="E984" s="189" t="s">
        <v>93</v>
      </c>
      <c r="F984" s="187" t="s">
        <v>1654</v>
      </c>
      <c r="G984" s="189" t="s">
        <v>202</v>
      </c>
      <c r="H984" s="188">
        <v>42108</v>
      </c>
      <c r="I984" s="189" t="s">
        <v>187</v>
      </c>
      <c r="J984" s="189" t="s">
        <v>103</v>
      </c>
      <c r="K984" s="187" t="s">
        <v>3646</v>
      </c>
      <c r="L984" s="188">
        <v>42108</v>
      </c>
      <c r="M984" s="187" t="s">
        <v>1914</v>
      </c>
      <c r="N984" s="190" t="s">
        <v>185</v>
      </c>
      <c r="O984" s="188">
        <v>42108</v>
      </c>
      <c r="P984" s="191">
        <f t="shared" si="693"/>
        <v>4</v>
      </c>
      <c r="Q984" s="187" t="s">
        <v>3646</v>
      </c>
      <c r="R984" s="190" t="s">
        <v>17</v>
      </c>
      <c r="S984" s="187" t="s">
        <v>3647</v>
      </c>
      <c r="T984" s="187">
        <v>107415556</v>
      </c>
      <c r="U984" s="195">
        <v>42109</v>
      </c>
      <c r="V984" s="190" t="s">
        <v>186</v>
      </c>
      <c r="W984" s="192">
        <f t="shared" si="694"/>
        <v>0</v>
      </c>
      <c r="X984" s="192" t="str">
        <f t="shared" si="695"/>
        <v>Correcto</v>
      </c>
    </row>
    <row r="985" spans="1:24" ht="18" customHeight="1" x14ac:dyDescent="0.25">
      <c r="A985" s="193">
        <v>976</v>
      </c>
      <c r="B985" s="187" t="s">
        <v>3648</v>
      </c>
      <c r="C985" s="188">
        <v>42104</v>
      </c>
      <c r="D985" s="194">
        <v>2</v>
      </c>
      <c r="E985" s="189" t="s">
        <v>93</v>
      </c>
      <c r="F985" s="187" t="s">
        <v>1654</v>
      </c>
      <c r="G985" s="189" t="s">
        <v>202</v>
      </c>
      <c r="H985" s="188">
        <v>42108</v>
      </c>
      <c r="I985" s="189" t="s">
        <v>187</v>
      </c>
      <c r="J985" s="189" t="s">
        <v>103</v>
      </c>
      <c r="K985" s="187" t="s">
        <v>3649</v>
      </c>
      <c r="L985" s="188">
        <v>42108</v>
      </c>
      <c r="M985" s="187" t="s">
        <v>1914</v>
      </c>
      <c r="N985" s="190" t="s">
        <v>185</v>
      </c>
      <c r="O985" s="188">
        <v>42108</v>
      </c>
      <c r="P985" s="191">
        <f t="shared" si="693"/>
        <v>4</v>
      </c>
      <c r="Q985" s="187" t="s">
        <v>3649</v>
      </c>
      <c r="R985" s="190" t="s">
        <v>17</v>
      </c>
      <c r="S985" s="187" t="s">
        <v>3650</v>
      </c>
      <c r="T985" s="187">
        <v>1105210833</v>
      </c>
      <c r="U985" s="195">
        <v>42109</v>
      </c>
      <c r="V985" s="190" t="s">
        <v>186</v>
      </c>
      <c r="W985" s="192">
        <f t="shared" si="694"/>
        <v>0</v>
      </c>
      <c r="X985" s="192" t="str">
        <f t="shared" si="695"/>
        <v>Correcto</v>
      </c>
    </row>
    <row r="986" spans="1:24" ht="18" customHeight="1" x14ac:dyDescent="0.25">
      <c r="A986" s="193">
        <v>977</v>
      </c>
      <c r="B986" s="187" t="s">
        <v>3651</v>
      </c>
      <c r="C986" s="188">
        <v>42104</v>
      </c>
      <c r="D986" s="194">
        <v>2</v>
      </c>
      <c r="E986" s="189" t="s">
        <v>93</v>
      </c>
      <c r="F986" s="187" t="s">
        <v>1654</v>
      </c>
      <c r="G986" s="189" t="s">
        <v>202</v>
      </c>
      <c r="H986" s="188">
        <v>42108</v>
      </c>
      <c r="I986" s="189" t="s">
        <v>187</v>
      </c>
      <c r="J986" s="189" t="s">
        <v>103</v>
      </c>
      <c r="K986" s="187" t="s">
        <v>3652</v>
      </c>
      <c r="L986" s="188">
        <v>42108</v>
      </c>
      <c r="M986" s="187" t="s">
        <v>1914</v>
      </c>
      <c r="N986" s="190" t="s">
        <v>185</v>
      </c>
      <c r="O986" s="188">
        <v>42108</v>
      </c>
      <c r="P986" s="191">
        <f t="shared" si="693"/>
        <v>4</v>
      </c>
      <c r="Q986" s="187" t="s">
        <v>3652</v>
      </c>
      <c r="R986" s="190" t="s">
        <v>17</v>
      </c>
      <c r="S986" s="187" t="s">
        <v>3653</v>
      </c>
      <c r="T986" s="187">
        <v>1003698204</v>
      </c>
      <c r="U986" s="195">
        <v>42109</v>
      </c>
      <c r="V986" s="190" t="s">
        <v>186</v>
      </c>
      <c r="W986" s="192">
        <f t="shared" si="694"/>
        <v>0</v>
      </c>
      <c r="X986" s="192" t="str">
        <f t="shared" si="695"/>
        <v>Correcto</v>
      </c>
    </row>
    <row r="987" spans="1:24" ht="18" customHeight="1" x14ac:dyDescent="0.25">
      <c r="A987" s="193">
        <v>978</v>
      </c>
      <c r="B987" s="187" t="s">
        <v>3654</v>
      </c>
      <c r="C987" s="188">
        <v>42107</v>
      </c>
      <c r="D987" s="194">
        <v>2</v>
      </c>
      <c r="E987" s="189" t="s">
        <v>93</v>
      </c>
      <c r="F987" s="187" t="s">
        <v>825</v>
      </c>
      <c r="G987" s="189" t="s">
        <v>202</v>
      </c>
      <c r="H987" s="188">
        <v>42107</v>
      </c>
      <c r="I987" s="189" t="s">
        <v>187</v>
      </c>
      <c r="J987" s="189" t="s">
        <v>103</v>
      </c>
      <c r="K987" s="187" t="s">
        <v>3655</v>
      </c>
      <c r="L987" s="188">
        <v>42107</v>
      </c>
      <c r="M987" s="187" t="s">
        <v>1914</v>
      </c>
      <c r="N987" s="190" t="s">
        <v>185</v>
      </c>
      <c r="O987" s="188">
        <v>42107</v>
      </c>
      <c r="P987" s="191">
        <f t="shared" si="693"/>
        <v>0</v>
      </c>
      <c r="Q987" s="187" t="s">
        <v>3656</v>
      </c>
      <c r="R987" s="190" t="s">
        <v>17</v>
      </c>
      <c r="S987" s="187" t="s">
        <v>101</v>
      </c>
      <c r="T987" s="187" t="s">
        <v>953</v>
      </c>
      <c r="U987" s="195">
        <v>42111</v>
      </c>
      <c r="V987" s="190" t="s">
        <v>186</v>
      </c>
      <c r="W987" s="192">
        <f t="shared" si="694"/>
        <v>0</v>
      </c>
      <c r="X987" s="192" t="str">
        <f t="shared" si="695"/>
        <v>Correcto</v>
      </c>
    </row>
    <row r="988" spans="1:24" ht="18" customHeight="1" x14ac:dyDescent="0.25">
      <c r="A988" s="193">
        <v>979</v>
      </c>
      <c r="B988" s="187" t="s">
        <v>3657</v>
      </c>
      <c r="C988" s="188">
        <v>42107</v>
      </c>
      <c r="D988" s="194">
        <v>2</v>
      </c>
      <c r="E988" s="189" t="s">
        <v>93</v>
      </c>
      <c r="F988" s="187" t="s">
        <v>825</v>
      </c>
      <c r="G988" s="189" t="s">
        <v>202</v>
      </c>
      <c r="H988" s="188">
        <v>42109</v>
      </c>
      <c r="I988" s="189" t="s">
        <v>187</v>
      </c>
      <c r="J988" s="189" t="s">
        <v>103</v>
      </c>
      <c r="K988" s="187" t="s">
        <v>3658</v>
      </c>
      <c r="L988" s="188">
        <v>42109</v>
      </c>
      <c r="M988" s="187" t="s">
        <v>1914</v>
      </c>
      <c r="N988" s="190" t="s">
        <v>185</v>
      </c>
      <c r="O988" s="188">
        <v>42109</v>
      </c>
      <c r="P988" s="191">
        <f t="shared" si="693"/>
        <v>2</v>
      </c>
      <c r="Q988" s="187" t="s">
        <v>3659</v>
      </c>
      <c r="R988" s="190" t="s">
        <v>17</v>
      </c>
      <c r="S988" s="187" t="s">
        <v>3228</v>
      </c>
      <c r="T988" s="187" t="s">
        <v>3660</v>
      </c>
      <c r="U988" s="195">
        <v>42110</v>
      </c>
      <c r="V988" s="190" t="s">
        <v>186</v>
      </c>
      <c r="W988" s="192">
        <f t="shared" si="694"/>
        <v>0</v>
      </c>
      <c r="X988" s="192" t="str">
        <f t="shared" si="695"/>
        <v>Correcto</v>
      </c>
    </row>
    <row r="989" spans="1:24" ht="18" customHeight="1" x14ac:dyDescent="0.25">
      <c r="A989" s="193">
        <v>980</v>
      </c>
      <c r="B989" s="187" t="s">
        <v>3661</v>
      </c>
      <c r="C989" s="188">
        <v>42107</v>
      </c>
      <c r="D989" s="194">
        <v>2</v>
      </c>
      <c r="E989" s="189" t="s">
        <v>93</v>
      </c>
      <c r="F989" s="187" t="s">
        <v>825</v>
      </c>
      <c r="G989" s="189" t="s">
        <v>202</v>
      </c>
      <c r="H989" s="188">
        <v>42114</v>
      </c>
      <c r="I989" s="189" t="s">
        <v>187</v>
      </c>
      <c r="J989" s="189" t="s">
        <v>103</v>
      </c>
      <c r="K989" s="187" t="s">
        <v>3662</v>
      </c>
      <c r="L989" s="188">
        <v>42114</v>
      </c>
      <c r="M989" s="187" t="s">
        <v>1914</v>
      </c>
      <c r="N989" s="190" t="s">
        <v>185</v>
      </c>
      <c r="O989" s="188">
        <v>42114</v>
      </c>
      <c r="P989" s="191">
        <f t="shared" si="693"/>
        <v>7</v>
      </c>
      <c r="Q989" s="187" t="s">
        <v>3663</v>
      </c>
      <c r="R989" s="190" t="s">
        <v>17</v>
      </c>
      <c r="S989" s="187" t="s">
        <v>3664</v>
      </c>
      <c r="T989" s="187" t="s">
        <v>3665</v>
      </c>
      <c r="U989" s="195">
        <v>42115</v>
      </c>
      <c r="V989" s="190" t="s">
        <v>186</v>
      </c>
      <c r="W989" s="192">
        <f t="shared" si="694"/>
        <v>0</v>
      </c>
      <c r="X989" s="192" t="str">
        <f t="shared" si="695"/>
        <v>Correcto</v>
      </c>
    </row>
    <row r="990" spans="1:24" ht="18" customHeight="1" x14ac:dyDescent="0.25">
      <c r="A990" s="193">
        <v>981</v>
      </c>
      <c r="B990" s="187" t="s">
        <v>3666</v>
      </c>
      <c r="C990" s="188">
        <v>42107</v>
      </c>
      <c r="D990" s="194">
        <v>2</v>
      </c>
      <c r="E990" s="189" t="s">
        <v>93</v>
      </c>
      <c r="F990" s="187" t="s">
        <v>1654</v>
      </c>
      <c r="G990" s="189" t="s">
        <v>202</v>
      </c>
      <c r="H990" s="188">
        <v>42108</v>
      </c>
      <c r="I990" s="189" t="s">
        <v>187</v>
      </c>
      <c r="J990" s="189" t="s">
        <v>103</v>
      </c>
      <c r="K990" s="187" t="s">
        <v>3667</v>
      </c>
      <c r="L990" s="188">
        <v>42108</v>
      </c>
      <c r="M990" s="187" t="s">
        <v>1914</v>
      </c>
      <c r="N990" s="190" t="s">
        <v>185</v>
      </c>
      <c r="O990" s="188">
        <v>42108</v>
      </c>
      <c r="P990" s="191">
        <f t="shared" si="693"/>
        <v>1</v>
      </c>
      <c r="Q990" s="187" t="s">
        <v>3667</v>
      </c>
      <c r="R990" s="190" t="s">
        <v>17</v>
      </c>
      <c r="S990" s="187" t="s">
        <v>3668</v>
      </c>
      <c r="T990" s="187">
        <v>1104862162</v>
      </c>
      <c r="U990" s="195">
        <v>42110</v>
      </c>
      <c r="V990" s="190" t="s">
        <v>186</v>
      </c>
      <c r="W990" s="192">
        <f t="shared" si="694"/>
        <v>0</v>
      </c>
      <c r="X990" s="192" t="str">
        <f t="shared" si="695"/>
        <v>Correcto</v>
      </c>
    </row>
    <row r="991" spans="1:24" ht="18" customHeight="1" x14ac:dyDescent="0.25">
      <c r="A991" s="193">
        <v>982</v>
      </c>
      <c r="B991" s="187" t="s">
        <v>3669</v>
      </c>
      <c r="C991" s="188">
        <v>42107</v>
      </c>
      <c r="D991" s="194">
        <v>28</v>
      </c>
      <c r="E991" s="189" t="s">
        <v>93</v>
      </c>
      <c r="F991" s="187" t="s">
        <v>825</v>
      </c>
      <c r="G991" s="189" t="s">
        <v>202</v>
      </c>
      <c r="H991" s="188">
        <v>42110</v>
      </c>
      <c r="I991" s="189" t="s">
        <v>187</v>
      </c>
      <c r="J991" s="189" t="s">
        <v>103</v>
      </c>
      <c r="K991" s="187" t="s">
        <v>3670</v>
      </c>
      <c r="L991" s="188">
        <v>42110</v>
      </c>
      <c r="M991" s="187" t="s">
        <v>1914</v>
      </c>
      <c r="N991" s="190" t="s">
        <v>185</v>
      </c>
      <c r="O991" s="188">
        <v>42110</v>
      </c>
      <c r="P991" s="191">
        <f t="shared" si="693"/>
        <v>3</v>
      </c>
      <c r="Q991" s="187" t="s">
        <v>3671</v>
      </c>
      <c r="R991" s="190" t="s">
        <v>17</v>
      </c>
      <c r="S991" s="187" t="s">
        <v>3664</v>
      </c>
      <c r="T991" s="187" t="s">
        <v>3672</v>
      </c>
      <c r="U991" s="195">
        <v>42110</v>
      </c>
      <c r="V991" s="190" t="s">
        <v>186</v>
      </c>
      <c r="W991" s="192">
        <f t="shared" si="694"/>
        <v>0</v>
      </c>
      <c r="X991" s="192" t="str">
        <f t="shared" si="695"/>
        <v>Correcto</v>
      </c>
    </row>
    <row r="992" spans="1:24" ht="18" customHeight="1" x14ac:dyDescent="0.25">
      <c r="A992" s="193">
        <v>983</v>
      </c>
      <c r="B992" s="187" t="s">
        <v>3673</v>
      </c>
      <c r="C992" s="188">
        <v>42107</v>
      </c>
      <c r="D992" s="194">
        <v>2</v>
      </c>
      <c r="E992" s="189" t="s">
        <v>93</v>
      </c>
      <c r="F992" s="187" t="s">
        <v>825</v>
      </c>
      <c r="G992" s="189" t="s">
        <v>202</v>
      </c>
      <c r="H992" s="188">
        <v>42110</v>
      </c>
      <c r="I992" s="189" t="s">
        <v>187</v>
      </c>
      <c r="J992" s="189" t="s">
        <v>103</v>
      </c>
      <c r="K992" s="187" t="s">
        <v>3674</v>
      </c>
      <c r="L992" s="188">
        <v>42110</v>
      </c>
      <c r="M992" s="187" t="s">
        <v>1914</v>
      </c>
      <c r="N992" s="190" t="s">
        <v>185</v>
      </c>
      <c r="O992" s="188">
        <v>42110</v>
      </c>
      <c r="P992" s="191">
        <f t="shared" si="693"/>
        <v>3</v>
      </c>
      <c r="Q992" s="187" t="s">
        <v>3675</v>
      </c>
      <c r="R992" s="190" t="s">
        <v>17</v>
      </c>
      <c r="S992" s="187" t="s">
        <v>3664</v>
      </c>
      <c r="T992" s="187" t="s">
        <v>3672</v>
      </c>
      <c r="U992" s="195">
        <v>42110</v>
      </c>
      <c r="V992" s="190" t="s">
        <v>186</v>
      </c>
      <c r="W992" s="192">
        <f t="shared" si="694"/>
        <v>0</v>
      </c>
      <c r="X992" s="192" t="str">
        <f t="shared" si="695"/>
        <v>Correcto</v>
      </c>
    </row>
    <row r="993" spans="1:24" ht="18" customHeight="1" x14ac:dyDescent="0.25">
      <c r="A993" s="193">
        <v>984</v>
      </c>
      <c r="B993" s="187" t="s">
        <v>3676</v>
      </c>
      <c r="C993" s="188">
        <v>42107</v>
      </c>
      <c r="D993" s="194">
        <v>2</v>
      </c>
      <c r="E993" s="189" t="s">
        <v>93</v>
      </c>
      <c r="F993" s="187" t="s">
        <v>825</v>
      </c>
      <c r="G993" s="189" t="s">
        <v>202</v>
      </c>
      <c r="H993" s="188">
        <v>42110</v>
      </c>
      <c r="I993" s="189" t="s">
        <v>187</v>
      </c>
      <c r="J993" s="189" t="s">
        <v>103</v>
      </c>
      <c r="K993" s="187" t="s">
        <v>3677</v>
      </c>
      <c r="L993" s="188">
        <v>42110</v>
      </c>
      <c r="M993" s="187" t="s">
        <v>1914</v>
      </c>
      <c r="N993" s="190" t="s">
        <v>185</v>
      </c>
      <c r="O993" s="188">
        <v>42110</v>
      </c>
      <c r="P993" s="191">
        <f t="shared" si="693"/>
        <v>3</v>
      </c>
      <c r="Q993" s="187" t="s">
        <v>3678</v>
      </c>
      <c r="R993" s="190" t="s">
        <v>17</v>
      </c>
      <c r="S993" s="187" t="s">
        <v>101</v>
      </c>
      <c r="T993" s="187" t="s">
        <v>953</v>
      </c>
      <c r="U993" s="195">
        <v>42111</v>
      </c>
      <c r="V993" s="190" t="s">
        <v>186</v>
      </c>
      <c r="W993" s="192">
        <f t="shared" si="694"/>
        <v>0</v>
      </c>
      <c r="X993" s="192" t="str">
        <f t="shared" si="695"/>
        <v>Correcto</v>
      </c>
    </row>
    <row r="994" spans="1:24" ht="18" customHeight="1" x14ac:dyDescent="0.25">
      <c r="A994" s="193">
        <v>985</v>
      </c>
      <c r="B994" s="187" t="s">
        <v>3679</v>
      </c>
      <c r="C994" s="188">
        <v>42107</v>
      </c>
      <c r="D994" s="194">
        <v>2</v>
      </c>
      <c r="E994" s="189" t="s">
        <v>93</v>
      </c>
      <c r="F994" s="187" t="s">
        <v>825</v>
      </c>
      <c r="G994" s="189" t="s">
        <v>202</v>
      </c>
      <c r="H994" s="188">
        <v>42110</v>
      </c>
      <c r="I994" s="189" t="s">
        <v>187</v>
      </c>
      <c r="J994" s="189" t="s">
        <v>103</v>
      </c>
      <c r="K994" s="187" t="s">
        <v>3680</v>
      </c>
      <c r="L994" s="188">
        <v>42110</v>
      </c>
      <c r="M994" s="187" t="s">
        <v>1914</v>
      </c>
      <c r="N994" s="190" t="s">
        <v>185</v>
      </c>
      <c r="O994" s="188">
        <v>42110</v>
      </c>
      <c r="P994" s="191">
        <f t="shared" si="693"/>
        <v>3</v>
      </c>
      <c r="Q994" s="187" t="s">
        <v>3681</v>
      </c>
      <c r="R994" s="190" t="s">
        <v>17</v>
      </c>
      <c r="S994" s="187" t="s">
        <v>101</v>
      </c>
      <c r="T994" s="187" t="s">
        <v>1023</v>
      </c>
      <c r="U994" s="195">
        <v>42111</v>
      </c>
      <c r="V994" s="190" t="s">
        <v>186</v>
      </c>
      <c r="W994" s="192">
        <f t="shared" si="694"/>
        <v>0</v>
      </c>
      <c r="X994" s="192" t="str">
        <f t="shared" si="695"/>
        <v>Correcto</v>
      </c>
    </row>
    <row r="995" spans="1:24" ht="18" customHeight="1" x14ac:dyDescent="0.25">
      <c r="A995" s="193">
        <v>986</v>
      </c>
      <c r="B995" s="187" t="s">
        <v>3682</v>
      </c>
      <c r="C995" s="188">
        <v>42107</v>
      </c>
      <c r="D995" s="194">
        <v>2</v>
      </c>
      <c r="E995" s="189" t="s">
        <v>93</v>
      </c>
      <c r="F995" s="187" t="s">
        <v>825</v>
      </c>
      <c r="G995" s="189" t="s">
        <v>202</v>
      </c>
      <c r="H995" s="188">
        <v>42110</v>
      </c>
      <c r="I995" s="189" t="s">
        <v>187</v>
      </c>
      <c r="J995" s="189" t="s">
        <v>103</v>
      </c>
      <c r="K995" s="187" t="s">
        <v>3683</v>
      </c>
      <c r="L995" s="188">
        <v>42110</v>
      </c>
      <c r="M995" s="187" t="s">
        <v>1914</v>
      </c>
      <c r="N995" s="190" t="s">
        <v>185</v>
      </c>
      <c r="O995" s="188">
        <v>42110</v>
      </c>
      <c r="P995" s="191">
        <f t="shared" si="693"/>
        <v>3</v>
      </c>
      <c r="Q995" s="187" t="s">
        <v>3684</v>
      </c>
      <c r="R995" s="190" t="s">
        <v>17</v>
      </c>
      <c r="S995" s="187" t="s">
        <v>101</v>
      </c>
      <c r="T995" s="187" t="s">
        <v>1023</v>
      </c>
      <c r="U995" s="195">
        <v>42111</v>
      </c>
      <c r="V995" s="190" t="s">
        <v>186</v>
      </c>
      <c r="W995" s="192">
        <f t="shared" si="694"/>
        <v>0</v>
      </c>
      <c r="X995" s="192" t="str">
        <f t="shared" si="695"/>
        <v>Correcto</v>
      </c>
    </row>
    <row r="996" spans="1:24" ht="18" customHeight="1" x14ac:dyDescent="0.25">
      <c r="A996" s="193">
        <v>987</v>
      </c>
      <c r="B996" s="187" t="s">
        <v>3685</v>
      </c>
      <c r="C996" s="188">
        <v>42107</v>
      </c>
      <c r="D996" s="194">
        <v>2</v>
      </c>
      <c r="E996" s="189" t="s">
        <v>93</v>
      </c>
      <c r="F996" s="187" t="s">
        <v>825</v>
      </c>
      <c r="G996" s="189" t="s">
        <v>202</v>
      </c>
      <c r="H996" s="188">
        <v>42110</v>
      </c>
      <c r="I996" s="189" t="s">
        <v>187</v>
      </c>
      <c r="J996" s="189" t="s">
        <v>103</v>
      </c>
      <c r="K996" s="187" t="s">
        <v>3686</v>
      </c>
      <c r="L996" s="188">
        <v>42110</v>
      </c>
      <c r="M996" s="187" t="s">
        <v>1914</v>
      </c>
      <c r="N996" s="190" t="s">
        <v>185</v>
      </c>
      <c r="O996" s="188">
        <v>42110</v>
      </c>
      <c r="P996" s="191">
        <f t="shared" si="693"/>
        <v>3</v>
      </c>
      <c r="Q996" s="187" t="s">
        <v>3687</v>
      </c>
      <c r="R996" s="190" t="s">
        <v>17</v>
      </c>
      <c r="S996" s="187" t="s">
        <v>101</v>
      </c>
      <c r="T996" s="187" t="s">
        <v>996</v>
      </c>
      <c r="U996" s="195">
        <v>42111</v>
      </c>
      <c r="V996" s="190" t="s">
        <v>186</v>
      </c>
      <c r="W996" s="192">
        <f t="shared" si="694"/>
        <v>0</v>
      </c>
      <c r="X996" s="192" t="str">
        <f t="shared" si="695"/>
        <v>Correcto</v>
      </c>
    </row>
    <row r="997" spans="1:24" ht="18" customHeight="1" x14ac:dyDescent="0.25">
      <c r="A997" s="193">
        <v>988</v>
      </c>
      <c r="B997" s="187" t="s">
        <v>3688</v>
      </c>
      <c r="C997" s="188">
        <v>42107</v>
      </c>
      <c r="D997" s="194">
        <v>2</v>
      </c>
      <c r="E997" s="189" t="s">
        <v>93</v>
      </c>
      <c r="F997" s="187" t="s">
        <v>825</v>
      </c>
      <c r="G997" s="189" t="s">
        <v>202</v>
      </c>
      <c r="H997" s="188">
        <v>42110</v>
      </c>
      <c r="I997" s="189" t="s">
        <v>187</v>
      </c>
      <c r="J997" s="189" t="s">
        <v>103</v>
      </c>
      <c r="K997" s="187" t="s">
        <v>3689</v>
      </c>
      <c r="L997" s="188">
        <v>42110</v>
      </c>
      <c r="M997" s="187" t="s">
        <v>1914</v>
      </c>
      <c r="N997" s="190" t="s">
        <v>185</v>
      </c>
      <c r="O997" s="188">
        <v>42110</v>
      </c>
      <c r="P997" s="191">
        <f t="shared" si="693"/>
        <v>3</v>
      </c>
      <c r="Q997" s="187" t="s">
        <v>3690</v>
      </c>
      <c r="R997" s="190" t="s">
        <v>17</v>
      </c>
      <c r="S997" s="187" t="s">
        <v>101</v>
      </c>
      <c r="T997" s="187" t="s">
        <v>996</v>
      </c>
      <c r="U997" s="195">
        <v>42111</v>
      </c>
      <c r="V997" s="190" t="s">
        <v>186</v>
      </c>
      <c r="W997" s="192">
        <f t="shared" si="694"/>
        <v>0</v>
      </c>
      <c r="X997" s="192" t="str">
        <f t="shared" si="695"/>
        <v>Correcto</v>
      </c>
    </row>
    <row r="998" spans="1:24" ht="18" customHeight="1" x14ac:dyDescent="0.25">
      <c r="A998" s="193">
        <v>989</v>
      </c>
      <c r="B998" s="187" t="s">
        <v>3691</v>
      </c>
      <c r="C998" s="188">
        <v>42107</v>
      </c>
      <c r="D998" s="194">
        <v>2</v>
      </c>
      <c r="E998" s="189" t="s">
        <v>93</v>
      </c>
      <c r="F998" s="187" t="s">
        <v>825</v>
      </c>
      <c r="G998" s="189" t="s">
        <v>202</v>
      </c>
      <c r="H998" s="188">
        <v>42110</v>
      </c>
      <c r="I998" s="189" t="s">
        <v>187</v>
      </c>
      <c r="J998" s="189" t="s">
        <v>103</v>
      </c>
      <c r="K998" s="187" t="s">
        <v>3692</v>
      </c>
      <c r="L998" s="188">
        <v>42110</v>
      </c>
      <c r="M998" s="187" t="s">
        <v>1914</v>
      </c>
      <c r="N998" s="190" t="s">
        <v>185</v>
      </c>
      <c r="O998" s="188">
        <v>42110</v>
      </c>
      <c r="P998" s="191">
        <f t="shared" si="693"/>
        <v>3</v>
      </c>
      <c r="Q998" s="187" t="s">
        <v>3693</v>
      </c>
      <c r="R998" s="190" t="s">
        <v>17</v>
      </c>
      <c r="S998" s="187" t="s">
        <v>101</v>
      </c>
      <c r="T998" s="187" t="s">
        <v>953</v>
      </c>
      <c r="U998" s="195">
        <v>42111</v>
      </c>
      <c r="V998" s="190" t="s">
        <v>186</v>
      </c>
      <c r="W998" s="192">
        <f t="shared" si="694"/>
        <v>0</v>
      </c>
      <c r="X998" s="192" t="str">
        <f t="shared" si="695"/>
        <v>Correcto</v>
      </c>
    </row>
    <row r="999" spans="1:24" ht="18" customHeight="1" x14ac:dyDescent="0.25">
      <c r="A999" s="193">
        <v>990</v>
      </c>
      <c r="B999" s="187" t="s">
        <v>3694</v>
      </c>
      <c r="C999" s="188">
        <v>42107</v>
      </c>
      <c r="D999" s="194">
        <v>6</v>
      </c>
      <c r="E999" s="189" t="s">
        <v>93</v>
      </c>
      <c r="F999" s="187" t="s">
        <v>825</v>
      </c>
      <c r="G999" s="189" t="s">
        <v>202</v>
      </c>
      <c r="H999" s="188">
        <v>42110</v>
      </c>
      <c r="I999" s="189" t="s">
        <v>187</v>
      </c>
      <c r="J999" s="189" t="s">
        <v>103</v>
      </c>
      <c r="K999" s="187" t="s">
        <v>3695</v>
      </c>
      <c r="L999" s="188">
        <v>42110</v>
      </c>
      <c r="M999" s="187" t="s">
        <v>1914</v>
      </c>
      <c r="N999" s="190" t="s">
        <v>185</v>
      </c>
      <c r="O999" s="188">
        <v>42114</v>
      </c>
      <c r="P999" s="191">
        <f t="shared" si="693"/>
        <v>7</v>
      </c>
      <c r="Q999" s="187" t="s">
        <v>3696</v>
      </c>
      <c r="R999" s="190" t="s">
        <v>17</v>
      </c>
      <c r="S999" s="187" t="s">
        <v>101</v>
      </c>
      <c r="T999" s="187" t="s">
        <v>1011</v>
      </c>
      <c r="U999" s="195">
        <v>42116</v>
      </c>
      <c r="V999" s="190" t="s">
        <v>186</v>
      </c>
      <c r="W999" s="192">
        <f t="shared" si="694"/>
        <v>0</v>
      </c>
      <c r="X999" s="192" t="str">
        <f t="shared" si="695"/>
        <v>Correcto</v>
      </c>
    </row>
    <row r="1000" spans="1:24" ht="18" customHeight="1" x14ac:dyDescent="0.25">
      <c r="A1000" s="193">
        <v>991</v>
      </c>
      <c r="B1000" s="187" t="s">
        <v>3697</v>
      </c>
      <c r="C1000" s="188">
        <v>42107</v>
      </c>
      <c r="D1000" s="194">
        <v>2</v>
      </c>
      <c r="E1000" s="189" t="s">
        <v>93</v>
      </c>
      <c r="F1000" s="187" t="s">
        <v>825</v>
      </c>
      <c r="G1000" s="189" t="s">
        <v>202</v>
      </c>
      <c r="H1000" s="188">
        <v>42110</v>
      </c>
      <c r="I1000" s="189" t="s">
        <v>187</v>
      </c>
      <c r="J1000" s="189" t="s">
        <v>103</v>
      </c>
      <c r="K1000" s="187" t="s">
        <v>3698</v>
      </c>
      <c r="L1000" s="188">
        <v>42110</v>
      </c>
      <c r="M1000" s="187" t="s">
        <v>1914</v>
      </c>
      <c r="N1000" s="190" t="s">
        <v>185</v>
      </c>
      <c r="O1000" s="188">
        <v>42110</v>
      </c>
      <c r="P1000" s="191">
        <f t="shared" si="693"/>
        <v>3</v>
      </c>
      <c r="Q1000" s="187" t="s">
        <v>3699</v>
      </c>
      <c r="R1000" s="190" t="s">
        <v>17</v>
      </c>
      <c r="S1000" s="187" t="s">
        <v>101</v>
      </c>
      <c r="T1000" s="187" t="s">
        <v>996</v>
      </c>
      <c r="U1000" s="195">
        <v>42111</v>
      </c>
      <c r="V1000" s="190" t="s">
        <v>186</v>
      </c>
      <c r="W1000" s="192">
        <f t="shared" si="694"/>
        <v>0</v>
      </c>
      <c r="X1000" s="192" t="str">
        <f t="shared" si="695"/>
        <v>Correcto</v>
      </c>
    </row>
    <row r="1001" spans="1:24" ht="18" customHeight="1" x14ac:dyDescent="0.25">
      <c r="A1001" s="193">
        <v>992</v>
      </c>
      <c r="B1001" s="187" t="s">
        <v>3700</v>
      </c>
      <c r="C1001" s="188">
        <v>42107</v>
      </c>
      <c r="D1001" s="194">
        <v>2</v>
      </c>
      <c r="E1001" s="189" t="s">
        <v>93</v>
      </c>
      <c r="F1001" s="187" t="s">
        <v>825</v>
      </c>
      <c r="G1001" s="189" t="s">
        <v>202</v>
      </c>
      <c r="H1001" s="188">
        <v>42110</v>
      </c>
      <c r="I1001" s="189" t="s">
        <v>187</v>
      </c>
      <c r="J1001" s="189" t="s">
        <v>103</v>
      </c>
      <c r="K1001" s="187" t="s">
        <v>3701</v>
      </c>
      <c r="L1001" s="188">
        <v>42110</v>
      </c>
      <c r="M1001" s="187" t="s">
        <v>1914</v>
      </c>
      <c r="N1001" s="190" t="s">
        <v>185</v>
      </c>
      <c r="O1001" s="188">
        <v>42110</v>
      </c>
      <c r="P1001" s="191">
        <f t="shared" si="693"/>
        <v>3</v>
      </c>
      <c r="Q1001" s="187" t="s">
        <v>3702</v>
      </c>
      <c r="R1001" s="190" t="s">
        <v>17</v>
      </c>
      <c r="S1001" s="187" t="s">
        <v>101</v>
      </c>
      <c r="T1001" s="187" t="s">
        <v>1011</v>
      </c>
      <c r="U1001" s="195">
        <v>42111</v>
      </c>
      <c r="V1001" s="190" t="s">
        <v>186</v>
      </c>
      <c r="W1001" s="192">
        <f t="shared" si="694"/>
        <v>0</v>
      </c>
      <c r="X1001" s="192" t="str">
        <f t="shared" si="695"/>
        <v>Correcto</v>
      </c>
    </row>
    <row r="1002" spans="1:24" ht="18" customHeight="1" x14ac:dyDescent="0.25">
      <c r="A1002" s="193">
        <v>993</v>
      </c>
      <c r="B1002" s="187" t="s">
        <v>3703</v>
      </c>
      <c r="C1002" s="188">
        <v>42107</v>
      </c>
      <c r="D1002" s="194">
        <v>2</v>
      </c>
      <c r="E1002" s="189" t="s">
        <v>93</v>
      </c>
      <c r="F1002" s="187" t="s">
        <v>825</v>
      </c>
      <c r="G1002" s="189" t="s">
        <v>202</v>
      </c>
      <c r="H1002" s="188">
        <v>42109</v>
      </c>
      <c r="I1002" s="189" t="s">
        <v>187</v>
      </c>
      <c r="J1002" s="189" t="s">
        <v>103</v>
      </c>
      <c r="K1002" s="187" t="s">
        <v>3704</v>
      </c>
      <c r="L1002" s="188">
        <v>42109</v>
      </c>
      <c r="M1002" s="187" t="s">
        <v>1914</v>
      </c>
      <c r="N1002" s="190" t="s">
        <v>185</v>
      </c>
      <c r="O1002" s="188">
        <v>42114</v>
      </c>
      <c r="P1002" s="191">
        <f t="shared" si="693"/>
        <v>7</v>
      </c>
      <c r="Q1002" s="187" t="s">
        <v>3705</v>
      </c>
      <c r="R1002" s="190" t="s">
        <v>17</v>
      </c>
      <c r="S1002" s="187" t="s">
        <v>101</v>
      </c>
      <c r="T1002" s="187" t="s">
        <v>996</v>
      </c>
      <c r="U1002" s="195">
        <v>42116</v>
      </c>
      <c r="V1002" s="190" t="s">
        <v>186</v>
      </c>
      <c r="W1002" s="192">
        <f t="shared" si="694"/>
        <v>0</v>
      </c>
      <c r="X1002" s="192" t="str">
        <f t="shared" si="695"/>
        <v>Correcto</v>
      </c>
    </row>
    <row r="1003" spans="1:24" ht="18" customHeight="1" x14ac:dyDescent="0.25">
      <c r="A1003" s="193">
        <v>994</v>
      </c>
      <c r="B1003" s="187" t="s">
        <v>3706</v>
      </c>
      <c r="C1003" s="188">
        <v>42107</v>
      </c>
      <c r="D1003" s="194">
        <v>2</v>
      </c>
      <c r="E1003" s="189" t="s">
        <v>93</v>
      </c>
      <c r="F1003" s="187" t="s">
        <v>1654</v>
      </c>
      <c r="G1003" s="189" t="s">
        <v>202</v>
      </c>
      <c r="H1003" s="188">
        <v>42108</v>
      </c>
      <c r="I1003" s="189" t="s">
        <v>187</v>
      </c>
      <c r="J1003" s="189" t="s">
        <v>103</v>
      </c>
      <c r="K1003" s="187" t="s">
        <v>3707</v>
      </c>
      <c r="L1003" s="188">
        <v>42108</v>
      </c>
      <c r="M1003" s="187" t="s">
        <v>1914</v>
      </c>
      <c r="N1003" s="190" t="s">
        <v>185</v>
      </c>
      <c r="O1003" s="188">
        <v>42108</v>
      </c>
      <c r="P1003" s="191">
        <f t="shared" si="693"/>
        <v>1</v>
      </c>
      <c r="Q1003" s="187" t="s">
        <v>3707</v>
      </c>
      <c r="R1003" s="190" t="s">
        <v>17</v>
      </c>
      <c r="S1003" s="187" t="s">
        <v>3708</v>
      </c>
      <c r="T1003" s="187">
        <v>704199785</v>
      </c>
      <c r="U1003" s="195">
        <v>42110</v>
      </c>
      <c r="V1003" s="190" t="s">
        <v>186</v>
      </c>
      <c r="W1003" s="192">
        <f t="shared" si="694"/>
        <v>0</v>
      </c>
      <c r="X1003" s="192" t="str">
        <f t="shared" si="695"/>
        <v>Correcto</v>
      </c>
    </row>
    <row r="1004" spans="1:24" ht="18" customHeight="1" x14ac:dyDescent="0.25">
      <c r="A1004" s="193">
        <v>995</v>
      </c>
      <c r="B1004" s="187" t="s">
        <v>3709</v>
      </c>
      <c r="C1004" s="188">
        <v>42107</v>
      </c>
      <c r="D1004" s="194">
        <v>2</v>
      </c>
      <c r="E1004" s="189" t="s">
        <v>93</v>
      </c>
      <c r="F1004" s="187" t="s">
        <v>825</v>
      </c>
      <c r="G1004" s="189" t="s">
        <v>202</v>
      </c>
      <c r="H1004" s="188">
        <v>42109</v>
      </c>
      <c r="I1004" s="189" t="s">
        <v>187</v>
      </c>
      <c r="J1004" s="189" t="s">
        <v>103</v>
      </c>
      <c r="K1004" s="187" t="s">
        <v>3710</v>
      </c>
      <c r="L1004" s="188">
        <v>42109</v>
      </c>
      <c r="M1004" s="187" t="s">
        <v>1914</v>
      </c>
      <c r="N1004" s="190" t="s">
        <v>185</v>
      </c>
      <c r="O1004" s="188">
        <v>42109</v>
      </c>
      <c r="P1004" s="191">
        <f t="shared" si="693"/>
        <v>2</v>
      </c>
      <c r="Q1004" s="187" t="s">
        <v>3711</v>
      </c>
      <c r="R1004" s="190" t="s">
        <v>17</v>
      </c>
      <c r="S1004" s="187" t="s">
        <v>101</v>
      </c>
      <c r="T1004" s="187" t="s">
        <v>953</v>
      </c>
      <c r="U1004" s="195">
        <v>42111</v>
      </c>
      <c r="V1004" s="190" t="s">
        <v>186</v>
      </c>
      <c r="W1004" s="192">
        <f t="shared" si="694"/>
        <v>0</v>
      </c>
      <c r="X1004" s="192" t="str">
        <f t="shared" si="695"/>
        <v>Correcto</v>
      </c>
    </row>
    <row r="1005" spans="1:24" ht="18" customHeight="1" x14ac:dyDescent="0.25">
      <c r="A1005" s="193">
        <v>996</v>
      </c>
      <c r="B1005" s="187" t="s">
        <v>3712</v>
      </c>
      <c r="C1005" s="188">
        <v>42107</v>
      </c>
      <c r="D1005" s="194">
        <v>2</v>
      </c>
      <c r="E1005" s="189" t="s">
        <v>93</v>
      </c>
      <c r="F1005" s="187" t="s">
        <v>1654</v>
      </c>
      <c r="G1005" s="189" t="s">
        <v>202</v>
      </c>
      <c r="H1005" s="188">
        <v>42107</v>
      </c>
      <c r="I1005" s="189" t="s">
        <v>187</v>
      </c>
      <c r="J1005" s="189" t="s">
        <v>103</v>
      </c>
      <c r="K1005" s="187" t="s">
        <v>3713</v>
      </c>
      <c r="L1005" s="188">
        <v>42107</v>
      </c>
      <c r="M1005" s="187" t="s">
        <v>1914</v>
      </c>
      <c r="N1005" s="190" t="s">
        <v>185</v>
      </c>
      <c r="O1005" s="188">
        <v>42107</v>
      </c>
      <c r="P1005" s="191">
        <f t="shared" si="693"/>
        <v>0</v>
      </c>
      <c r="Q1005" s="187" t="s">
        <v>3713</v>
      </c>
      <c r="R1005" s="190" t="s">
        <v>17</v>
      </c>
      <c r="S1005" s="187" t="s">
        <v>3714</v>
      </c>
      <c r="T1005" s="187">
        <v>1104640337</v>
      </c>
      <c r="U1005" s="195">
        <v>42108</v>
      </c>
      <c r="V1005" s="190" t="s">
        <v>186</v>
      </c>
      <c r="W1005" s="192">
        <f t="shared" si="694"/>
        <v>0</v>
      </c>
      <c r="X1005" s="192" t="str">
        <f t="shared" si="695"/>
        <v>Correcto</v>
      </c>
    </row>
    <row r="1006" spans="1:24" ht="18" customHeight="1" x14ac:dyDescent="0.25">
      <c r="A1006" s="193">
        <v>997</v>
      </c>
      <c r="B1006" s="187" t="s">
        <v>3715</v>
      </c>
      <c r="C1006" s="188">
        <v>42107</v>
      </c>
      <c r="D1006" s="194">
        <v>2</v>
      </c>
      <c r="E1006" s="189" t="s">
        <v>93</v>
      </c>
      <c r="F1006" s="187" t="s">
        <v>1654</v>
      </c>
      <c r="G1006" s="189" t="s">
        <v>202</v>
      </c>
      <c r="H1006" s="188">
        <v>42108</v>
      </c>
      <c r="I1006" s="189" t="s">
        <v>187</v>
      </c>
      <c r="J1006" s="189" t="s">
        <v>103</v>
      </c>
      <c r="K1006" s="187" t="s">
        <v>3716</v>
      </c>
      <c r="L1006" s="188">
        <v>42108</v>
      </c>
      <c r="M1006" s="187" t="s">
        <v>1914</v>
      </c>
      <c r="N1006" s="190" t="s">
        <v>185</v>
      </c>
      <c r="O1006" s="188">
        <v>42108</v>
      </c>
      <c r="P1006" s="191">
        <f t="shared" si="693"/>
        <v>1</v>
      </c>
      <c r="Q1006" s="187" t="s">
        <v>3716</v>
      </c>
      <c r="R1006" s="190" t="s">
        <v>17</v>
      </c>
      <c r="S1006" s="187" t="s">
        <v>3717</v>
      </c>
      <c r="T1006" s="187">
        <v>1101777611</v>
      </c>
      <c r="U1006" s="195">
        <v>42110</v>
      </c>
      <c r="V1006" s="190" t="s">
        <v>186</v>
      </c>
      <c r="W1006" s="192">
        <f t="shared" si="694"/>
        <v>0</v>
      </c>
      <c r="X1006" s="192" t="str">
        <f t="shared" si="695"/>
        <v>Correcto</v>
      </c>
    </row>
    <row r="1007" spans="1:24" ht="18" customHeight="1" x14ac:dyDescent="0.25">
      <c r="A1007" s="193">
        <v>998</v>
      </c>
      <c r="B1007" s="187" t="s">
        <v>3718</v>
      </c>
      <c r="C1007" s="188">
        <v>42107</v>
      </c>
      <c r="D1007" s="194">
        <v>2</v>
      </c>
      <c r="E1007" s="189" t="s">
        <v>93</v>
      </c>
      <c r="F1007" s="187" t="s">
        <v>825</v>
      </c>
      <c r="G1007" s="189" t="s">
        <v>202</v>
      </c>
      <c r="H1007" s="188">
        <v>42109</v>
      </c>
      <c r="I1007" s="189" t="s">
        <v>187</v>
      </c>
      <c r="J1007" s="189" t="s">
        <v>103</v>
      </c>
      <c r="K1007" s="187" t="s">
        <v>3719</v>
      </c>
      <c r="L1007" s="188">
        <v>42109</v>
      </c>
      <c r="M1007" s="187" t="s">
        <v>1914</v>
      </c>
      <c r="N1007" s="190" t="s">
        <v>185</v>
      </c>
      <c r="O1007" s="188">
        <v>42110</v>
      </c>
      <c r="P1007" s="191">
        <f t="shared" si="693"/>
        <v>3</v>
      </c>
      <c r="Q1007" s="187" t="s">
        <v>3720</v>
      </c>
      <c r="R1007" s="190" t="s">
        <v>17</v>
      </c>
      <c r="S1007" s="187" t="s">
        <v>101</v>
      </c>
      <c r="T1007" s="187" t="s">
        <v>953</v>
      </c>
      <c r="U1007" s="195">
        <v>42111</v>
      </c>
      <c r="V1007" s="190" t="s">
        <v>186</v>
      </c>
      <c r="W1007" s="192">
        <f t="shared" si="694"/>
        <v>0</v>
      </c>
      <c r="X1007" s="192" t="str">
        <f t="shared" si="695"/>
        <v>Correcto</v>
      </c>
    </row>
    <row r="1008" spans="1:24" ht="18" customHeight="1" x14ac:dyDescent="0.25">
      <c r="A1008" s="193">
        <v>999</v>
      </c>
      <c r="B1008" s="187" t="s">
        <v>3721</v>
      </c>
      <c r="C1008" s="188">
        <v>42107</v>
      </c>
      <c r="D1008" s="194">
        <v>2</v>
      </c>
      <c r="E1008" s="189" t="s">
        <v>93</v>
      </c>
      <c r="F1008" s="187" t="s">
        <v>825</v>
      </c>
      <c r="G1008" s="189" t="s">
        <v>202</v>
      </c>
      <c r="H1008" s="188">
        <v>42109</v>
      </c>
      <c r="I1008" s="189" t="s">
        <v>187</v>
      </c>
      <c r="J1008" s="189" t="s">
        <v>103</v>
      </c>
      <c r="K1008" s="187" t="s">
        <v>3722</v>
      </c>
      <c r="L1008" s="188">
        <v>42109</v>
      </c>
      <c r="M1008" s="187" t="s">
        <v>1914</v>
      </c>
      <c r="N1008" s="190" t="s">
        <v>185</v>
      </c>
      <c r="O1008" s="188">
        <v>42110</v>
      </c>
      <c r="P1008" s="191">
        <f t="shared" si="693"/>
        <v>3</v>
      </c>
      <c r="Q1008" s="187" t="s">
        <v>3723</v>
      </c>
      <c r="R1008" s="190" t="s">
        <v>17</v>
      </c>
      <c r="S1008" s="187" t="s">
        <v>101</v>
      </c>
      <c r="T1008" s="187" t="s">
        <v>3724</v>
      </c>
      <c r="U1008" s="195">
        <v>42111</v>
      </c>
      <c r="V1008" s="190" t="s">
        <v>186</v>
      </c>
      <c r="W1008" s="192">
        <f t="shared" si="694"/>
        <v>0</v>
      </c>
      <c r="X1008" s="192" t="str">
        <f t="shared" si="695"/>
        <v>Correcto</v>
      </c>
    </row>
    <row r="1009" spans="1:24" ht="18" customHeight="1" x14ac:dyDescent="0.25">
      <c r="A1009" s="193">
        <v>1000</v>
      </c>
      <c r="B1009" s="187" t="s">
        <v>3725</v>
      </c>
      <c r="C1009" s="188">
        <v>42107</v>
      </c>
      <c r="D1009" s="194">
        <v>5</v>
      </c>
      <c r="E1009" s="189" t="s">
        <v>93</v>
      </c>
      <c r="F1009" s="187" t="s">
        <v>825</v>
      </c>
      <c r="G1009" s="189" t="s">
        <v>202</v>
      </c>
      <c r="H1009" s="188">
        <v>42109</v>
      </c>
      <c r="I1009" s="189" t="s">
        <v>187</v>
      </c>
      <c r="J1009" s="189" t="s">
        <v>103</v>
      </c>
      <c r="K1009" s="187" t="s">
        <v>3726</v>
      </c>
      <c r="L1009" s="188">
        <v>42109</v>
      </c>
      <c r="M1009" s="187" t="s">
        <v>1914</v>
      </c>
      <c r="N1009" s="190" t="s">
        <v>185</v>
      </c>
      <c r="O1009" s="188">
        <v>42109</v>
      </c>
      <c r="P1009" s="191">
        <f t="shared" si="693"/>
        <v>2</v>
      </c>
      <c r="Q1009" s="187" t="s">
        <v>3727</v>
      </c>
      <c r="R1009" s="190" t="s">
        <v>2438</v>
      </c>
      <c r="S1009" s="187" t="s">
        <v>101</v>
      </c>
      <c r="T1009" s="187" t="s">
        <v>3728</v>
      </c>
      <c r="U1009" s="195">
        <v>42110</v>
      </c>
      <c r="V1009" s="190" t="s">
        <v>186</v>
      </c>
      <c r="W1009" s="192">
        <f t="shared" si="694"/>
        <v>0</v>
      </c>
      <c r="X1009" s="192" t="str">
        <f t="shared" si="695"/>
        <v>Correcto</v>
      </c>
    </row>
    <row r="1010" spans="1:24" ht="18" customHeight="1" x14ac:dyDescent="0.25">
      <c r="A1010" s="193">
        <v>1001</v>
      </c>
      <c r="B1010" s="187" t="s">
        <v>3729</v>
      </c>
      <c r="C1010" s="188">
        <v>42107</v>
      </c>
      <c r="D1010" s="194">
        <v>5</v>
      </c>
      <c r="E1010" s="189" t="s">
        <v>93</v>
      </c>
      <c r="F1010" s="187" t="s">
        <v>825</v>
      </c>
      <c r="G1010" s="189" t="s">
        <v>202</v>
      </c>
      <c r="H1010" s="188">
        <v>42109</v>
      </c>
      <c r="I1010" s="189" t="s">
        <v>187</v>
      </c>
      <c r="J1010" s="189" t="s">
        <v>103</v>
      </c>
      <c r="K1010" s="187" t="s">
        <v>3730</v>
      </c>
      <c r="L1010" s="188">
        <v>42109</v>
      </c>
      <c r="M1010" s="187" t="s">
        <v>1914</v>
      </c>
      <c r="N1010" s="190" t="s">
        <v>185</v>
      </c>
      <c r="O1010" s="188">
        <v>42109</v>
      </c>
      <c r="P1010" s="191">
        <f t="shared" si="693"/>
        <v>2</v>
      </c>
      <c r="Q1010" s="187" t="s">
        <v>3731</v>
      </c>
      <c r="R1010" s="190" t="s">
        <v>2438</v>
      </c>
      <c r="S1010" s="187" t="s">
        <v>101</v>
      </c>
      <c r="T1010" s="187" t="s">
        <v>3728</v>
      </c>
      <c r="U1010" s="195">
        <v>42110</v>
      </c>
      <c r="V1010" s="190" t="s">
        <v>186</v>
      </c>
      <c r="W1010" s="192">
        <f t="shared" si="694"/>
        <v>0</v>
      </c>
      <c r="X1010" s="192" t="str">
        <f t="shared" si="695"/>
        <v>Correcto</v>
      </c>
    </row>
    <row r="1011" spans="1:24" ht="18" customHeight="1" x14ac:dyDescent="0.25">
      <c r="A1011" s="193">
        <v>1002</v>
      </c>
      <c r="B1011" s="187" t="s">
        <v>3732</v>
      </c>
      <c r="C1011" s="188">
        <v>42107</v>
      </c>
      <c r="D1011" s="194">
        <v>5</v>
      </c>
      <c r="E1011" s="189" t="s">
        <v>93</v>
      </c>
      <c r="F1011" s="187" t="s">
        <v>825</v>
      </c>
      <c r="G1011" s="189" t="s">
        <v>202</v>
      </c>
      <c r="H1011" s="188">
        <v>42109</v>
      </c>
      <c r="I1011" s="189" t="s">
        <v>187</v>
      </c>
      <c r="J1011" s="189" t="s">
        <v>103</v>
      </c>
      <c r="K1011" s="187" t="s">
        <v>3733</v>
      </c>
      <c r="L1011" s="188">
        <v>42109</v>
      </c>
      <c r="M1011" s="187" t="s">
        <v>1914</v>
      </c>
      <c r="N1011" s="190" t="s">
        <v>185</v>
      </c>
      <c r="O1011" s="188">
        <v>42109</v>
      </c>
      <c r="P1011" s="191">
        <f t="shared" si="693"/>
        <v>2</v>
      </c>
      <c r="Q1011" s="187" t="s">
        <v>3734</v>
      </c>
      <c r="R1011" s="190" t="s">
        <v>2438</v>
      </c>
      <c r="S1011" s="187" t="s">
        <v>101</v>
      </c>
      <c r="T1011" s="187" t="s">
        <v>3728</v>
      </c>
      <c r="U1011" s="195">
        <v>42110</v>
      </c>
      <c r="V1011" s="190" t="s">
        <v>186</v>
      </c>
      <c r="W1011" s="192">
        <f t="shared" si="694"/>
        <v>0</v>
      </c>
      <c r="X1011" s="192" t="str">
        <f t="shared" si="695"/>
        <v>Correcto</v>
      </c>
    </row>
    <row r="1012" spans="1:24" ht="18" customHeight="1" x14ac:dyDescent="0.25">
      <c r="A1012" s="193">
        <v>1003</v>
      </c>
      <c r="B1012" s="187" t="s">
        <v>3735</v>
      </c>
      <c r="C1012" s="188">
        <v>42107</v>
      </c>
      <c r="D1012" s="194">
        <v>5</v>
      </c>
      <c r="E1012" s="189" t="s">
        <v>93</v>
      </c>
      <c r="F1012" s="187" t="s">
        <v>825</v>
      </c>
      <c r="G1012" s="189" t="s">
        <v>202</v>
      </c>
      <c r="H1012" s="188">
        <v>42109</v>
      </c>
      <c r="I1012" s="189" t="s">
        <v>187</v>
      </c>
      <c r="J1012" s="189" t="s">
        <v>103</v>
      </c>
      <c r="K1012" s="187" t="s">
        <v>3736</v>
      </c>
      <c r="L1012" s="188">
        <v>42109</v>
      </c>
      <c r="M1012" s="187" t="s">
        <v>1914</v>
      </c>
      <c r="N1012" s="190" t="s">
        <v>185</v>
      </c>
      <c r="O1012" s="188">
        <v>42109</v>
      </c>
      <c r="P1012" s="191">
        <f t="shared" si="693"/>
        <v>2</v>
      </c>
      <c r="Q1012" s="187" t="s">
        <v>3737</v>
      </c>
      <c r="R1012" s="190" t="s">
        <v>2438</v>
      </c>
      <c r="S1012" s="187" t="s">
        <v>101</v>
      </c>
      <c r="T1012" s="187" t="s">
        <v>3728</v>
      </c>
      <c r="U1012" s="195">
        <v>42110</v>
      </c>
      <c r="V1012" s="190" t="s">
        <v>186</v>
      </c>
      <c r="W1012" s="192">
        <f t="shared" si="694"/>
        <v>0</v>
      </c>
      <c r="X1012" s="192" t="str">
        <f t="shared" si="695"/>
        <v>Correcto</v>
      </c>
    </row>
    <row r="1013" spans="1:24" ht="18" customHeight="1" x14ac:dyDescent="0.25">
      <c r="A1013" s="193">
        <v>1004</v>
      </c>
      <c r="B1013" s="187" t="s">
        <v>3738</v>
      </c>
      <c r="C1013" s="188">
        <v>42107</v>
      </c>
      <c r="D1013" s="194">
        <v>5</v>
      </c>
      <c r="E1013" s="189" t="s">
        <v>93</v>
      </c>
      <c r="F1013" s="187" t="s">
        <v>825</v>
      </c>
      <c r="G1013" s="189" t="s">
        <v>202</v>
      </c>
      <c r="H1013" s="188">
        <v>42109</v>
      </c>
      <c r="I1013" s="189" t="s">
        <v>187</v>
      </c>
      <c r="J1013" s="189" t="s">
        <v>103</v>
      </c>
      <c r="K1013" s="187" t="s">
        <v>3739</v>
      </c>
      <c r="L1013" s="188">
        <v>42109</v>
      </c>
      <c r="M1013" s="187" t="s">
        <v>1914</v>
      </c>
      <c r="N1013" s="190" t="s">
        <v>185</v>
      </c>
      <c r="O1013" s="188">
        <v>42109</v>
      </c>
      <c r="P1013" s="191">
        <f t="shared" si="693"/>
        <v>2</v>
      </c>
      <c r="Q1013" s="187" t="s">
        <v>3740</v>
      </c>
      <c r="R1013" s="190" t="s">
        <v>2438</v>
      </c>
      <c r="S1013" s="187" t="s">
        <v>101</v>
      </c>
      <c r="T1013" s="187" t="s">
        <v>3728</v>
      </c>
      <c r="U1013" s="195">
        <v>42110</v>
      </c>
      <c r="V1013" s="190" t="s">
        <v>186</v>
      </c>
      <c r="W1013" s="192">
        <f t="shared" si="694"/>
        <v>0</v>
      </c>
      <c r="X1013" s="192" t="str">
        <f t="shared" si="695"/>
        <v>Correcto</v>
      </c>
    </row>
    <row r="1014" spans="1:24" ht="18" customHeight="1" x14ac:dyDescent="0.25">
      <c r="A1014" s="193">
        <v>1005</v>
      </c>
      <c r="B1014" s="187" t="s">
        <v>3741</v>
      </c>
      <c r="C1014" s="188">
        <v>42107</v>
      </c>
      <c r="D1014" s="194">
        <v>2</v>
      </c>
      <c r="E1014" s="189" t="s">
        <v>93</v>
      </c>
      <c r="F1014" s="187" t="s">
        <v>1654</v>
      </c>
      <c r="G1014" s="189" t="s">
        <v>202</v>
      </c>
      <c r="H1014" s="188">
        <v>42108</v>
      </c>
      <c r="I1014" s="189" t="s">
        <v>187</v>
      </c>
      <c r="J1014" s="189" t="s">
        <v>103</v>
      </c>
      <c r="K1014" s="187" t="s">
        <v>3742</v>
      </c>
      <c r="L1014" s="188">
        <v>42108</v>
      </c>
      <c r="M1014" s="187" t="s">
        <v>1914</v>
      </c>
      <c r="N1014" s="190" t="s">
        <v>185</v>
      </c>
      <c r="O1014" s="188">
        <v>42108</v>
      </c>
      <c r="P1014" s="191">
        <f t="shared" si="693"/>
        <v>1</v>
      </c>
      <c r="Q1014" s="187" t="s">
        <v>3742</v>
      </c>
      <c r="R1014" s="190" t="s">
        <v>17</v>
      </c>
      <c r="S1014" s="187" t="s">
        <v>3743</v>
      </c>
      <c r="T1014" s="187">
        <v>1102250212</v>
      </c>
      <c r="U1014" s="195">
        <v>42110</v>
      </c>
      <c r="V1014" s="190" t="s">
        <v>186</v>
      </c>
      <c r="W1014" s="192">
        <f t="shared" si="694"/>
        <v>0</v>
      </c>
      <c r="X1014" s="192" t="str">
        <f t="shared" si="695"/>
        <v>Correcto</v>
      </c>
    </row>
    <row r="1015" spans="1:24" ht="18" customHeight="1" x14ac:dyDescent="0.25">
      <c r="A1015" s="193">
        <v>1006</v>
      </c>
      <c r="B1015" s="187" t="s">
        <v>3744</v>
      </c>
      <c r="C1015" s="188">
        <v>42107</v>
      </c>
      <c r="D1015" s="194">
        <v>2</v>
      </c>
      <c r="E1015" s="189" t="s">
        <v>93</v>
      </c>
      <c r="F1015" s="187" t="s">
        <v>825</v>
      </c>
      <c r="G1015" s="189" t="s">
        <v>202</v>
      </c>
      <c r="H1015" s="188">
        <v>42109</v>
      </c>
      <c r="I1015" s="189" t="s">
        <v>187</v>
      </c>
      <c r="J1015" s="189" t="s">
        <v>103</v>
      </c>
      <c r="K1015" s="187" t="s">
        <v>3745</v>
      </c>
      <c r="L1015" s="188">
        <v>42109</v>
      </c>
      <c r="M1015" s="187" t="s">
        <v>1914</v>
      </c>
      <c r="N1015" s="190" t="s">
        <v>185</v>
      </c>
      <c r="O1015" s="188">
        <v>42109</v>
      </c>
      <c r="P1015" s="191">
        <f t="shared" si="693"/>
        <v>2</v>
      </c>
      <c r="Q1015" s="187" t="s">
        <v>3746</v>
      </c>
      <c r="R1015" s="190" t="s">
        <v>17</v>
      </c>
      <c r="S1015" s="187" t="s">
        <v>101</v>
      </c>
      <c r="T1015" s="187" t="s">
        <v>1286</v>
      </c>
      <c r="U1015" s="195">
        <v>42111</v>
      </c>
      <c r="V1015" s="190" t="s">
        <v>186</v>
      </c>
      <c r="W1015" s="192">
        <f t="shared" si="694"/>
        <v>0</v>
      </c>
      <c r="X1015" s="192" t="str">
        <f t="shared" si="695"/>
        <v>Correcto</v>
      </c>
    </row>
    <row r="1016" spans="1:24" ht="18" customHeight="1" x14ac:dyDescent="0.25">
      <c r="A1016" s="193">
        <v>1007</v>
      </c>
      <c r="B1016" s="187" t="s">
        <v>3747</v>
      </c>
      <c r="C1016" s="188">
        <v>42107</v>
      </c>
      <c r="D1016" s="194">
        <v>2</v>
      </c>
      <c r="E1016" s="189" t="s">
        <v>93</v>
      </c>
      <c r="F1016" s="187" t="s">
        <v>825</v>
      </c>
      <c r="G1016" s="189" t="s">
        <v>202</v>
      </c>
      <c r="H1016" s="188">
        <v>42109</v>
      </c>
      <c r="I1016" s="189" t="s">
        <v>187</v>
      </c>
      <c r="J1016" s="189" t="s">
        <v>103</v>
      </c>
      <c r="K1016" s="187" t="s">
        <v>3748</v>
      </c>
      <c r="L1016" s="188">
        <v>42109</v>
      </c>
      <c r="M1016" s="187" t="s">
        <v>1914</v>
      </c>
      <c r="N1016" s="190" t="s">
        <v>185</v>
      </c>
      <c r="O1016" s="188">
        <v>42109</v>
      </c>
      <c r="P1016" s="191">
        <f t="shared" si="693"/>
        <v>2</v>
      </c>
      <c r="Q1016" s="187" t="s">
        <v>3749</v>
      </c>
      <c r="R1016" s="190" t="s">
        <v>17</v>
      </c>
      <c r="S1016" s="187" t="s">
        <v>101</v>
      </c>
      <c r="T1016" s="187" t="s">
        <v>1286</v>
      </c>
      <c r="U1016" s="195">
        <v>42111</v>
      </c>
      <c r="V1016" s="190" t="s">
        <v>186</v>
      </c>
      <c r="W1016" s="192">
        <f t="shared" si="694"/>
        <v>0</v>
      </c>
      <c r="X1016" s="192" t="str">
        <f t="shared" si="695"/>
        <v>Correcto</v>
      </c>
    </row>
    <row r="1017" spans="1:24" ht="18" customHeight="1" x14ac:dyDescent="0.25">
      <c r="A1017" s="193">
        <v>1008</v>
      </c>
      <c r="B1017" s="187" t="s">
        <v>3750</v>
      </c>
      <c r="C1017" s="188">
        <v>42107</v>
      </c>
      <c r="D1017" s="194">
        <v>2</v>
      </c>
      <c r="E1017" s="189" t="s">
        <v>93</v>
      </c>
      <c r="F1017" s="187" t="s">
        <v>825</v>
      </c>
      <c r="G1017" s="189" t="s">
        <v>202</v>
      </c>
      <c r="H1017" s="188">
        <v>42109</v>
      </c>
      <c r="I1017" s="189" t="s">
        <v>187</v>
      </c>
      <c r="J1017" s="189" t="s">
        <v>103</v>
      </c>
      <c r="K1017" s="187" t="s">
        <v>3751</v>
      </c>
      <c r="L1017" s="188">
        <v>42109</v>
      </c>
      <c r="M1017" s="187" t="s">
        <v>1914</v>
      </c>
      <c r="N1017" s="190" t="s">
        <v>185</v>
      </c>
      <c r="O1017" s="188">
        <v>42111</v>
      </c>
      <c r="P1017" s="191">
        <f t="shared" si="693"/>
        <v>4</v>
      </c>
      <c r="Q1017" s="187" t="s">
        <v>3752</v>
      </c>
      <c r="R1017" s="190" t="s">
        <v>17</v>
      </c>
      <c r="S1017" s="187" t="s">
        <v>101</v>
      </c>
      <c r="T1017" s="187" t="s">
        <v>1286</v>
      </c>
      <c r="U1017" s="195">
        <v>42111</v>
      </c>
      <c r="V1017" s="190" t="s">
        <v>186</v>
      </c>
      <c r="W1017" s="192">
        <f t="shared" si="694"/>
        <v>0</v>
      </c>
      <c r="X1017" s="192" t="str">
        <f t="shared" si="695"/>
        <v>Correcto</v>
      </c>
    </row>
    <row r="1018" spans="1:24" ht="18" customHeight="1" x14ac:dyDescent="0.25">
      <c r="A1018" s="193">
        <v>1009</v>
      </c>
      <c r="B1018" s="187" t="s">
        <v>3753</v>
      </c>
      <c r="C1018" s="188">
        <v>42107</v>
      </c>
      <c r="D1018" s="194">
        <v>7</v>
      </c>
      <c r="E1018" s="189" t="s">
        <v>93</v>
      </c>
      <c r="F1018" s="187" t="s">
        <v>825</v>
      </c>
      <c r="G1018" s="189" t="s">
        <v>202</v>
      </c>
      <c r="H1018" s="188">
        <v>42110</v>
      </c>
      <c r="I1018" s="189" t="s">
        <v>187</v>
      </c>
      <c r="J1018" s="189" t="s">
        <v>103</v>
      </c>
      <c r="K1018" s="187" t="s">
        <v>3754</v>
      </c>
      <c r="L1018" s="188">
        <v>42110</v>
      </c>
      <c r="M1018" s="187" t="s">
        <v>1914</v>
      </c>
      <c r="N1018" s="190" t="s">
        <v>185</v>
      </c>
      <c r="O1018" s="188">
        <v>42114</v>
      </c>
      <c r="P1018" s="191">
        <f t="shared" ref="P1018:P1081" si="696">O1018-C1018</f>
        <v>7</v>
      </c>
      <c r="Q1018" s="187" t="s">
        <v>3755</v>
      </c>
      <c r="R1018" s="190" t="s">
        <v>17</v>
      </c>
      <c r="S1018" s="187" t="s">
        <v>101</v>
      </c>
      <c r="T1018" s="187" t="s">
        <v>1286</v>
      </c>
      <c r="U1018" s="195">
        <v>42124</v>
      </c>
      <c r="V1018" s="190" t="s">
        <v>186</v>
      </c>
      <c r="W1018" s="192">
        <f t="shared" si="694"/>
        <v>0</v>
      </c>
      <c r="X1018" s="192" t="str">
        <f t="shared" si="695"/>
        <v>Correcto</v>
      </c>
    </row>
    <row r="1019" spans="1:24" ht="18" customHeight="1" x14ac:dyDescent="0.25">
      <c r="A1019" s="193">
        <v>1010</v>
      </c>
      <c r="B1019" s="187" t="s">
        <v>3756</v>
      </c>
      <c r="C1019" s="188">
        <v>42107</v>
      </c>
      <c r="D1019" s="194">
        <v>2</v>
      </c>
      <c r="E1019" s="189" t="s">
        <v>93</v>
      </c>
      <c r="F1019" s="187" t="s">
        <v>825</v>
      </c>
      <c r="G1019" s="189" t="s">
        <v>202</v>
      </c>
      <c r="H1019" s="188">
        <v>42109</v>
      </c>
      <c r="I1019" s="189" t="s">
        <v>187</v>
      </c>
      <c r="J1019" s="189" t="s">
        <v>103</v>
      </c>
      <c r="K1019" s="187" t="s">
        <v>3757</v>
      </c>
      <c r="L1019" s="188">
        <v>42109</v>
      </c>
      <c r="M1019" s="187" t="s">
        <v>1914</v>
      </c>
      <c r="N1019" s="190" t="s">
        <v>185</v>
      </c>
      <c r="O1019" s="188">
        <v>42109</v>
      </c>
      <c r="P1019" s="191">
        <f t="shared" si="696"/>
        <v>2</v>
      </c>
      <c r="Q1019" s="187" t="s">
        <v>3758</v>
      </c>
      <c r="R1019" s="190" t="s">
        <v>17</v>
      </c>
      <c r="S1019" s="187" t="s">
        <v>101</v>
      </c>
      <c r="T1019" s="187" t="s">
        <v>1286</v>
      </c>
      <c r="U1019" s="195">
        <v>42111</v>
      </c>
      <c r="V1019" s="190" t="s">
        <v>186</v>
      </c>
      <c r="W1019" s="192">
        <f t="shared" si="694"/>
        <v>0</v>
      </c>
      <c r="X1019" s="192" t="str">
        <f t="shared" si="695"/>
        <v>Correcto</v>
      </c>
    </row>
    <row r="1020" spans="1:24" ht="18" customHeight="1" x14ac:dyDescent="0.25">
      <c r="A1020" s="193">
        <v>1011</v>
      </c>
      <c r="B1020" s="187" t="s">
        <v>3759</v>
      </c>
      <c r="C1020" s="188">
        <v>42107</v>
      </c>
      <c r="D1020" s="194">
        <v>12</v>
      </c>
      <c r="E1020" s="189" t="s">
        <v>93</v>
      </c>
      <c r="F1020" s="187" t="s">
        <v>825</v>
      </c>
      <c r="G1020" s="189" t="s">
        <v>202</v>
      </c>
      <c r="H1020" s="188">
        <v>42112</v>
      </c>
      <c r="I1020" s="189" t="s">
        <v>187</v>
      </c>
      <c r="J1020" s="189" t="s">
        <v>103</v>
      </c>
      <c r="K1020" s="187" t="s">
        <v>3760</v>
      </c>
      <c r="L1020" s="188">
        <v>42112</v>
      </c>
      <c r="M1020" s="187" t="s">
        <v>1914</v>
      </c>
      <c r="N1020" s="190" t="s">
        <v>185</v>
      </c>
      <c r="O1020" s="188">
        <v>42115</v>
      </c>
      <c r="P1020" s="191">
        <f t="shared" si="696"/>
        <v>8</v>
      </c>
      <c r="Q1020" s="187" t="s">
        <v>3761</v>
      </c>
      <c r="R1020" s="190" t="s">
        <v>17</v>
      </c>
      <c r="S1020" s="187" t="s">
        <v>101</v>
      </c>
      <c r="T1020" s="187" t="s">
        <v>1150</v>
      </c>
      <c r="U1020" s="195">
        <v>42149</v>
      </c>
      <c r="V1020" s="190" t="s">
        <v>186</v>
      </c>
      <c r="W1020" s="192">
        <f t="shared" si="694"/>
        <v>0</v>
      </c>
      <c r="X1020" s="192" t="str">
        <f t="shared" si="695"/>
        <v>Correcto</v>
      </c>
    </row>
    <row r="1021" spans="1:24" ht="18" customHeight="1" x14ac:dyDescent="0.25">
      <c r="A1021" s="193">
        <v>1012</v>
      </c>
      <c r="B1021" s="187" t="s">
        <v>3762</v>
      </c>
      <c r="C1021" s="188">
        <v>42107</v>
      </c>
      <c r="D1021" s="194">
        <v>27</v>
      </c>
      <c r="E1021" s="189" t="s">
        <v>93</v>
      </c>
      <c r="F1021" s="187" t="s">
        <v>825</v>
      </c>
      <c r="G1021" s="189" t="s">
        <v>202</v>
      </c>
      <c r="H1021" s="188">
        <v>42115</v>
      </c>
      <c r="I1021" s="189" t="s">
        <v>187</v>
      </c>
      <c r="J1021" s="189" t="s">
        <v>103</v>
      </c>
      <c r="K1021" s="187" t="s">
        <v>3763</v>
      </c>
      <c r="L1021" s="188">
        <v>42115</v>
      </c>
      <c r="M1021" s="187" t="s">
        <v>1914</v>
      </c>
      <c r="N1021" s="190" t="s">
        <v>185</v>
      </c>
      <c r="O1021" s="188">
        <v>42116</v>
      </c>
      <c r="P1021" s="191">
        <f t="shared" si="696"/>
        <v>9</v>
      </c>
      <c r="Q1021" s="187" t="s">
        <v>3764</v>
      </c>
      <c r="R1021" s="190" t="s">
        <v>17</v>
      </c>
      <c r="S1021" s="187" t="s">
        <v>101</v>
      </c>
      <c r="T1021" s="187" t="s">
        <v>1150</v>
      </c>
      <c r="U1021" s="195">
        <v>42122</v>
      </c>
      <c r="V1021" s="190" t="s">
        <v>186</v>
      </c>
      <c r="W1021" s="192">
        <f t="shared" si="694"/>
        <v>0</v>
      </c>
      <c r="X1021" s="192" t="str">
        <f t="shared" si="695"/>
        <v>Correcto</v>
      </c>
    </row>
    <row r="1022" spans="1:24" ht="18" customHeight="1" x14ac:dyDescent="0.25">
      <c r="A1022" s="193">
        <v>1013</v>
      </c>
      <c r="B1022" s="187" t="s">
        <v>3765</v>
      </c>
      <c r="C1022" s="188">
        <v>42107</v>
      </c>
      <c r="D1022" s="194">
        <v>2</v>
      </c>
      <c r="E1022" s="189" t="s">
        <v>93</v>
      </c>
      <c r="F1022" s="187" t="s">
        <v>825</v>
      </c>
      <c r="G1022" s="189" t="s">
        <v>202</v>
      </c>
      <c r="H1022" s="188">
        <v>42109</v>
      </c>
      <c r="I1022" s="189" t="s">
        <v>187</v>
      </c>
      <c r="J1022" s="189" t="s">
        <v>103</v>
      </c>
      <c r="K1022" s="187" t="s">
        <v>3766</v>
      </c>
      <c r="L1022" s="188">
        <v>42109</v>
      </c>
      <c r="M1022" s="187" t="s">
        <v>1914</v>
      </c>
      <c r="N1022" s="190" t="s">
        <v>185</v>
      </c>
      <c r="O1022" s="188">
        <v>42109</v>
      </c>
      <c r="P1022" s="191">
        <f t="shared" si="696"/>
        <v>2</v>
      </c>
      <c r="Q1022" s="187" t="s">
        <v>3767</v>
      </c>
      <c r="R1022" s="190" t="s">
        <v>17</v>
      </c>
      <c r="S1022" s="187" t="s">
        <v>101</v>
      </c>
      <c r="T1022" s="187" t="s">
        <v>1008</v>
      </c>
      <c r="U1022" s="195">
        <v>42111</v>
      </c>
      <c r="V1022" s="190" t="s">
        <v>186</v>
      </c>
      <c r="W1022" s="192">
        <f t="shared" si="694"/>
        <v>0</v>
      </c>
      <c r="X1022" s="192" t="str">
        <f t="shared" si="695"/>
        <v>Correcto</v>
      </c>
    </row>
    <row r="1023" spans="1:24" ht="18" customHeight="1" x14ac:dyDescent="0.25">
      <c r="A1023" s="193">
        <v>1014</v>
      </c>
      <c r="B1023" s="187" t="s">
        <v>3768</v>
      </c>
      <c r="C1023" s="188">
        <v>42107</v>
      </c>
      <c r="D1023" s="194">
        <v>2</v>
      </c>
      <c r="E1023" s="189" t="s">
        <v>93</v>
      </c>
      <c r="F1023" s="187" t="s">
        <v>825</v>
      </c>
      <c r="G1023" s="189" t="s">
        <v>202</v>
      </c>
      <c r="H1023" s="188">
        <v>42109</v>
      </c>
      <c r="I1023" s="189" t="s">
        <v>187</v>
      </c>
      <c r="J1023" s="189" t="s">
        <v>103</v>
      </c>
      <c r="K1023" s="187" t="s">
        <v>3769</v>
      </c>
      <c r="L1023" s="188">
        <v>42109</v>
      </c>
      <c r="M1023" s="187" t="s">
        <v>1914</v>
      </c>
      <c r="N1023" s="190" t="s">
        <v>185</v>
      </c>
      <c r="O1023" s="188">
        <v>42109</v>
      </c>
      <c r="P1023" s="191">
        <f t="shared" si="696"/>
        <v>2</v>
      </c>
      <c r="Q1023" s="187" t="s">
        <v>3770</v>
      </c>
      <c r="R1023" s="190" t="s">
        <v>17</v>
      </c>
      <c r="S1023" s="187" t="s">
        <v>101</v>
      </c>
      <c r="T1023" s="187" t="s">
        <v>1226</v>
      </c>
      <c r="U1023" s="195">
        <v>42111</v>
      </c>
      <c r="V1023" s="190" t="s">
        <v>186</v>
      </c>
      <c r="W1023" s="192">
        <f t="shared" si="694"/>
        <v>0</v>
      </c>
      <c r="X1023" s="192" t="str">
        <f t="shared" si="695"/>
        <v>Correcto</v>
      </c>
    </row>
    <row r="1024" spans="1:24" ht="18" customHeight="1" x14ac:dyDescent="0.25">
      <c r="A1024" s="193">
        <v>1015</v>
      </c>
      <c r="B1024" s="187" t="s">
        <v>3771</v>
      </c>
      <c r="C1024" s="188">
        <v>42107</v>
      </c>
      <c r="D1024" s="194">
        <v>2</v>
      </c>
      <c r="E1024" s="189" t="s">
        <v>93</v>
      </c>
      <c r="F1024" s="187" t="s">
        <v>1654</v>
      </c>
      <c r="G1024" s="189" t="s">
        <v>202</v>
      </c>
      <c r="H1024" s="188">
        <v>42109</v>
      </c>
      <c r="I1024" s="189" t="s">
        <v>187</v>
      </c>
      <c r="J1024" s="189" t="s">
        <v>103</v>
      </c>
      <c r="K1024" s="187" t="s">
        <v>3772</v>
      </c>
      <c r="L1024" s="188">
        <v>42109</v>
      </c>
      <c r="M1024" s="187" t="s">
        <v>3773</v>
      </c>
      <c r="N1024" s="190" t="s">
        <v>3774</v>
      </c>
      <c r="O1024" s="188">
        <v>42110</v>
      </c>
      <c r="P1024" s="191">
        <f t="shared" si="696"/>
        <v>3</v>
      </c>
      <c r="Q1024" s="187" t="s">
        <v>3775</v>
      </c>
      <c r="R1024" s="190" t="s">
        <v>17</v>
      </c>
      <c r="S1024" s="187" t="s">
        <v>3776</v>
      </c>
      <c r="T1024" s="187">
        <v>1103345714</v>
      </c>
      <c r="U1024" s="195">
        <v>42111</v>
      </c>
      <c r="V1024" s="190" t="s">
        <v>186</v>
      </c>
      <c r="W1024" s="192">
        <f t="shared" si="694"/>
        <v>0</v>
      </c>
      <c r="X1024" s="192" t="str">
        <f t="shared" si="695"/>
        <v>Correcto</v>
      </c>
    </row>
    <row r="1025" spans="1:24" ht="18" customHeight="1" x14ac:dyDescent="0.25">
      <c r="A1025" s="193">
        <v>1016</v>
      </c>
      <c r="B1025" s="187" t="s">
        <v>3777</v>
      </c>
      <c r="C1025" s="188">
        <v>42107</v>
      </c>
      <c r="D1025" s="194">
        <v>2</v>
      </c>
      <c r="E1025" s="189" t="s">
        <v>93</v>
      </c>
      <c r="F1025" s="187" t="s">
        <v>825</v>
      </c>
      <c r="G1025" s="189" t="s">
        <v>202</v>
      </c>
      <c r="H1025" s="188">
        <v>42109</v>
      </c>
      <c r="I1025" s="189" t="s">
        <v>187</v>
      </c>
      <c r="J1025" s="189" t="s">
        <v>103</v>
      </c>
      <c r="K1025" s="187" t="s">
        <v>3778</v>
      </c>
      <c r="L1025" s="188">
        <v>42109</v>
      </c>
      <c r="M1025" s="187" t="s">
        <v>1914</v>
      </c>
      <c r="N1025" s="190" t="s">
        <v>185</v>
      </c>
      <c r="O1025" s="188">
        <v>42109</v>
      </c>
      <c r="P1025" s="191">
        <f t="shared" si="696"/>
        <v>2</v>
      </c>
      <c r="Q1025" s="187" t="s">
        <v>3779</v>
      </c>
      <c r="R1025" s="190" t="s">
        <v>17</v>
      </c>
      <c r="S1025" s="187" t="s">
        <v>101</v>
      </c>
      <c r="T1025" s="187" t="s">
        <v>953</v>
      </c>
      <c r="U1025" s="195">
        <v>42111</v>
      </c>
      <c r="V1025" s="190" t="s">
        <v>186</v>
      </c>
      <c r="W1025" s="192">
        <f t="shared" si="694"/>
        <v>0</v>
      </c>
      <c r="X1025" s="192" t="str">
        <f t="shared" si="695"/>
        <v>Correcto</v>
      </c>
    </row>
    <row r="1026" spans="1:24" ht="18" customHeight="1" x14ac:dyDescent="0.25">
      <c r="A1026" s="193">
        <v>1017</v>
      </c>
      <c r="B1026" s="187" t="s">
        <v>3780</v>
      </c>
      <c r="C1026" s="188">
        <v>42108</v>
      </c>
      <c r="D1026" s="194">
        <v>30</v>
      </c>
      <c r="E1026" s="189" t="s">
        <v>93</v>
      </c>
      <c r="F1026" s="187" t="s">
        <v>825</v>
      </c>
      <c r="G1026" s="189" t="s">
        <v>202</v>
      </c>
      <c r="H1026" s="188">
        <v>42117</v>
      </c>
      <c r="I1026" s="189" t="s">
        <v>187</v>
      </c>
      <c r="J1026" s="189" t="s">
        <v>103</v>
      </c>
      <c r="K1026" s="187" t="s">
        <v>3781</v>
      </c>
      <c r="L1026" s="188">
        <v>42117</v>
      </c>
      <c r="M1026" s="187" t="s">
        <v>1914</v>
      </c>
      <c r="N1026" s="190" t="s">
        <v>185</v>
      </c>
      <c r="O1026" s="188">
        <v>42117</v>
      </c>
      <c r="P1026" s="191">
        <f t="shared" si="696"/>
        <v>9</v>
      </c>
      <c r="Q1026" s="187" t="s">
        <v>3782</v>
      </c>
      <c r="R1026" s="190" t="s">
        <v>17</v>
      </c>
      <c r="S1026" s="187" t="s">
        <v>101</v>
      </c>
      <c r="T1026" s="187" t="s">
        <v>1286</v>
      </c>
      <c r="U1026" s="195">
        <v>42122</v>
      </c>
      <c r="V1026" s="190" t="s">
        <v>186</v>
      </c>
      <c r="W1026" s="192">
        <f t="shared" si="694"/>
        <v>0</v>
      </c>
      <c r="X1026" s="192" t="str">
        <f t="shared" si="695"/>
        <v>Correcto</v>
      </c>
    </row>
    <row r="1027" spans="1:24" ht="18" customHeight="1" x14ac:dyDescent="0.25">
      <c r="A1027" s="193">
        <v>1018</v>
      </c>
      <c r="B1027" s="187" t="s">
        <v>3783</v>
      </c>
      <c r="C1027" s="188">
        <v>42108</v>
      </c>
      <c r="D1027" s="194">
        <v>2</v>
      </c>
      <c r="E1027" s="189" t="s">
        <v>93</v>
      </c>
      <c r="F1027" s="187" t="s">
        <v>1654</v>
      </c>
      <c r="G1027" s="189" t="s">
        <v>202</v>
      </c>
      <c r="H1027" s="188">
        <v>42121</v>
      </c>
      <c r="I1027" s="189" t="s">
        <v>187</v>
      </c>
      <c r="J1027" s="189" t="s">
        <v>103</v>
      </c>
      <c r="K1027" s="187" t="s">
        <v>3784</v>
      </c>
      <c r="L1027" s="188">
        <v>42121</v>
      </c>
      <c r="M1027" s="187" t="s">
        <v>3785</v>
      </c>
      <c r="N1027" s="190" t="s">
        <v>3774</v>
      </c>
      <c r="O1027" s="188">
        <v>42124</v>
      </c>
      <c r="P1027" s="191">
        <f t="shared" si="696"/>
        <v>16</v>
      </c>
      <c r="Q1027" s="187" t="s">
        <v>3786</v>
      </c>
      <c r="R1027" s="190" t="s">
        <v>17</v>
      </c>
      <c r="S1027" s="187" t="s">
        <v>3787</v>
      </c>
      <c r="T1027" s="187">
        <v>1102459888</v>
      </c>
      <c r="U1027" s="195">
        <v>42125</v>
      </c>
      <c r="V1027" s="190" t="s">
        <v>186</v>
      </c>
      <c r="W1027" s="192">
        <f t="shared" si="694"/>
        <v>0</v>
      </c>
      <c r="X1027" s="192" t="str">
        <f t="shared" si="695"/>
        <v>Correcto</v>
      </c>
    </row>
    <row r="1028" spans="1:24" ht="18" customHeight="1" x14ac:dyDescent="0.25">
      <c r="A1028" s="193">
        <v>1019</v>
      </c>
      <c r="B1028" s="187" t="s">
        <v>3788</v>
      </c>
      <c r="C1028" s="188">
        <v>42108</v>
      </c>
      <c r="D1028" s="194">
        <v>2</v>
      </c>
      <c r="E1028" s="189" t="s">
        <v>93</v>
      </c>
      <c r="F1028" s="187" t="s">
        <v>825</v>
      </c>
      <c r="G1028" s="189" t="s">
        <v>202</v>
      </c>
      <c r="H1028" s="188">
        <v>42110</v>
      </c>
      <c r="I1028" s="189" t="s">
        <v>187</v>
      </c>
      <c r="J1028" s="189" t="s">
        <v>103</v>
      </c>
      <c r="K1028" s="187" t="s">
        <v>3789</v>
      </c>
      <c r="L1028" s="188">
        <v>42110</v>
      </c>
      <c r="M1028" s="187" t="s">
        <v>824</v>
      </c>
      <c r="N1028" s="190" t="s">
        <v>185</v>
      </c>
      <c r="O1028" s="188">
        <v>42110</v>
      </c>
      <c r="P1028" s="191">
        <f t="shared" si="696"/>
        <v>2</v>
      </c>
      <c r="Q1028" s="187" t="s">
        <v>3789</v>
      </c>
      <c r="R1028" s="190" t="s">
        <v>17</v>
      </c>
      <c r="S1028" s="187" t="s">
        <v>101</v>
      </c>
      <c r="T1028" s="187" t="s">
        <v>1286</v>
      </c>
      <c r="U1028" s="195">
        <v>42111</v>
      </c>
      <c r="V1028" s="190" t="s">
        <v>186</v>
      </c>
      <c r="W1028" s="192">
        <f t="shared" si="694"/>
        <v>0</v>
      </c>
      <c r="X1028" s="192" t="str">
        <f t="shared" si="695"/>
        <v>Correcto</v>
      </c>
    </row>
    <row r="1029" spans="1:24" ht="18" customHeight="1" x14ac:dyDescent="0.25">
      <c r="A1029" s="193">
        <v>1020</v>
      </c>
      <c r="B1029" s="187" t="s">
        <v>3790</v>
      </c>
      <c r="C1029" s="188">
        <v>42108</v>
      </c>
      <c r="D1029" s="194">
        <v>2</v>
      </c>
      <c r="E1029" s="189" t="s">
        <v>93</v>
      </c>
      <c r="F1029" s="187" t="s">
        <v>825</v>
      </c>
      <c r="G1029" s="189" t="s">
        <v>202</v>
      </c>
      <c r="H1029" s="188">
        <v>42114</v>
      </c>
      <c r="I1029" s="189" t="s">
        <v>187</v>
      </c>
      <c r="J1029" s="189" t="s">
        <v>103</v>
      </c>
      <c r="K1029" s="187" t="s">
        <v>3791</v>
      </c>
      <c r="L1029" s="188">
        <v>42114</v>
      </c>
      <c r="M1029" s="187" t="s">
        <v>1914</v>
      </c>
      <c r="N1029" s="190" t="s">
        <v>185</v>
      </c>
      <c r="O1029" s="188">
        <v>42116</v>
      </c>
      <c r="P1029" s="191">
        <f t="shared" si="696"/>
        <v>8</v>
      </c>
      <c r="Q1029" s="187" t="s">
        <v>3792</v>
      </c>
      <c r="R1029" s="190" t="s">
        <v>17</v>
      </c>
      <c r="S1029" s="187" t="s">
        <v>101</v>
      </c>
      <c r="T1029" s="187" t="s">
        <v>3793</v>
      </c>
      <c r="U1029" s="195">
        <v>42116</v>
      </c>
      <c r="V1029" s="190" t="s">
        <v>186</v>
      </c>
      <c r="W1029" s="192">
        <f t="shared" si="694"/>
        <v>0</v>
      </c>
      <c r="X1029" s="192" t="str">
        <f t="shared" si="695"/>
        <v>Correcto</v>
      </c>
    </row>
    <row r="1030" spans="1:24" ht="18" customHeight="1" x14ac:dyDescent="0.25">
      <c r="A1030" s="193">
        <v>1021</v>
      </c>
      <c r="B1030" s="187" t="s">
        <v>3794</v>
      </c>
      <c r="C1030" s="188">
        <v>42108</v>
      </c>
      <c r="D1030" s="194">
        <v>2</v>
      </c>
      <c r="E1030" s="189" t="s">
        <v>93</v>
      </c>
      <c r="F1030" s="187" t="s">
        <v>825</v>
      </c>
      <c r="G1030" s="189" t="s">
        <v>202</v>
      </c>
      <c r="H1030" s="188">
        <v>42114</v>
      </c>
      <c r="I1030" s="189" t="s">
        <v>187</v>
      </c>
      <c r="J1030" s="189" t="s">
        <v>103</v>
      </c>
      <c r="K1030" s="187" t="s">
        <v>3795</v>
      </c>
      <c r="L1030" s="188">
        <v>42114</v>
      </c>
      <c r="M1030" s="187" t="s">
        <v>1914</v>
      </c>
      <c r="N1030" s="190" t="s">
        <v>185</v>
      </c>
      <c r="O1030" s="188">
        <v>42114</v>
      </c>
      <c r="P1030" s="191">
        <f t="shared" si="696"/>
        <v>6</v>
      </c>
      <c r="Q1030" s="187" t="s">
        <v>3796</v>
      </c>
      <c r="R1030" s="190" t="s">
        <v>1026</v>
      </c>
      <c r="S1030" s="187" t="s">
        <v>3797</v>
      </c>
      <c r="T1030" s="187" t="s">
        <v>3798</v>
      </c>
      <c r="U1030" s="195">
        <v>42115</v>
      </c>
      <c r="V1030" s="190" t="s">
        <v>186</v>
      </c>
      <c r="W1030" s="192">
        <f t="shared" si="694"/>
        <v>0</v>
      </c>
      <c r="X1030" s="192" t="str">
        <f t="shared" si="695"/>
        <v>Correcto</v>
      </c>
    </row>
    <row r="1031" spans="1:24" ht="18" customHeight="1" x14ac:dyDescent="0.25">
      <c r="A1031" s="193">
        <v>1022</v>
      </c>
      <c r="B1031" s="187" t="s">
        <v>3799</v>
      </c>
      <c r="C1031" s="188">
        <v>42108</v>
      </c>
      <c r="D1031" s="194">
        <v>2</v>
      </c>
      <c r="E1031" s="189" t="s">
        <v>93</v>
      </c>
      <c r="F1031" s="187" t="s">
        <v>1654</v>
      </c>
      <c r="G1031" s="189" t="s">
        <v>202</v>
      </c>
      <c r="H1031" s="188">
        <v>42110</v>
      </c>
      <c r="I1031" s="189" t="s">
        <v>187</v>
      </c>
      <c r="J1031" s="189" t="s">
        <v>103</v>
      </c>
      <c r="K1031" s="187" t="s">
        <v>3800</v>
      </c>
      <c r="L1031" s="188">
        <v>42110</v>
      </c>
      <c r="M1031" s="187" t="s">
        <v>1914</v>
      </c>
      <c r="N1031" s="190" t="s">
        <v>185</v>
      </c>
      <c r="O1031" s="188">
        <v>42110</v>
      </c>
      <c r="P1031" s="191">
        <f t="shared" si="696"/>
        <v>2</v>
      </c>
      <c r="Q1031" s="187" t="s">
        <v>3800</v>
      </c>
      <c r="R1031" s="190" t="s">
        <v>17</v>
      </c>
      <c r="S1031" s="187" t="s">
        <v>3801</v>
      </c>
      <c r="T1031" s="187">
        <v>1105023806</v>
      </c>
      <c r="U1031" s="195">
        <v>42111</v>
      </c>
      <c r="V1031" s="190" t="s">
        <v>186</v>
      </c>
      <c r="W1031" s="192">
        <f t="shared" si="694"/>
        <v>0</v>
      </c>
      <c r="X1031" s="192" t="str">
        <f t="shared" si="695"/>
        <v>Correcto</v>
      </c>
    </row>
    <row r="1032" spans="1:24" ht="18" customHeight="1" x14ac:dyDescent="0.25">
      <c r="A1032" s="193">
        <v>1023</v>
      </c>
      <c r="B1032" s="187" t="s">
        <v>3802</v>
      </c>
      <c r="C1032" s="188">
        <v>42108</v>
      </c>
      <c r="D1032" s="194">
        <v>4</v>
      </c>
      <c r="E1032" s="189" t="s">
        <v>93</v>
      </c>
      <c r="F1032" s="187" t="s">
        <v>825</v>
      </c>
      <c r="G1032" s="189" t="s">
        <v>202</v>
      </c>
      <c r="H1032" s="188">
        <v>42114</v>
      </c>
      <c r="I1032" s="189" t="s">
        <v>187</v>
      </c>
      <c r="J1032" s="189" t="s">
        <v>103</v>
      </c>
      <c r="K1032" s="187" t="s">
        <v>3803</v>
      </c>
      <c r="L1032" s="188">
        <v>42114</v>
      </c>
      <c r="M1032" s="187" t="s">
        <v>1914</v>
      </c>
      <c r="N1032" s="190" t="s">
        <v>185</v>
      </c>
      <c r="O1032" s="188">
        <v>42114</v>
      </c>
      <c r="P1032" s="191">
        <f t="shared" si="696"/>
        <v>6</v>
      </c>
      <c r="Q1032" s="187" t="s">
        <v>3804</v>
      </c>
      <c r="R1032" s="190" t="s">
        <v>17</v>
      </c>
      <c r="S1032" s="187" t="s">
        <v>101</v>
      </c>
      <c r="T1032" s="187" t="s">
        <v>1286</v>
      </c>
      <c r="U1032" s="195">
        <v>42116</v>
      </c>
      <c r="V1032" s="190" t="s">
        <v>186</v>
      </c>
      <c r="W1032" s="192">
        <f t="shared" si="694"/>
        <v>0</v>
      </c>
      <c r="X1032" s="192" t="str">
        <f t="shared" si="695"/>
        <v>Correcto</v>
      </c>
    </row>
    <row r="1033" spans="1:24" ht="18" customHeight="1" x14ac:dyDescent="0.25">
      <c r="A1033" s="193">
        <v>1024</v>
      </c>
      <c r="B1033" s="187" t="s">
        <v>3805</v>
      </c>
      <c r="C1033" s="188">
        <v>42108</v>
      </c>
      <c r="D1033" s="194">
        <v>14</v>
      </c>
      <c r="E1033" s="189" t="s">
        <v>93</v>
      </c>
      <c r="F1033" s="187" t="s">
        <v>825</v>
      </c>
      <c r="G1033" s="189" t="s">
        <v>202</v>
      </c>
      <c r="H1033" s="188">
        <v>42114</v>
      </c>
      <c r="I1033" s="189" t="s">
        <v>187</v>
      </c>
      <c r="J1033" s="189" t="s">
        <v>103</v>
      </c>
      <c r="K1033" s="187" t="s">
        <v>3806</v>
      </c>
      <c r="L1033" s="188">
        <v>42114</v>
      </c>
      <c r="M1033" s="187" t="s">
        <v>1914</v>
      </c>
      <c r="N1033" s="190" t="s">
        <v>185</v>
      </c>
      <c r="O1033" s="188">
        <v>42114</v>
      </c>
      <c r="P1033" s="191">
        <f t="shared" si="696"/>
        <v>6</v>
      </c>
      <c r="Q1033" s="187" t="s">
        <v>3807</v>
      </c>
      <c r="R1033" s="190" t="s">
        <v>17</v>
      </c>
      <c r="S1033" s="187" t="s">
        <v>101</v>
      </c>
      <c r="T1033" s="187" t="s">
        <v>1286</v>
      </c>
      <c r="U1033" s="195">
        <v>42116</v>
      </c>
      <c r="V1033" s="190" t="s">
        <v>186</v>
      </c>
      <c r="W1033" s="192">
        <f t="shared" ref="W1033:W1096" si="697">COUNTBLANK(C1033:V1033)</f>
        <v>0</v>
      </c>
      <c r="X1033" s="192" t="str">
        <f t="shared" ref="X1033:X1044" si="698">IF(W1033=0,"Correcto","Incorrecto")</f>
        <v>Correcto</v>
      </c>
    </row>
    <row r="1034" spans="1:24" ht="18" customHeight="1" x14ac:dyDescent="0.25">
      <c r="A1034" s="193">
        <v>1025</v>
      </c>
      <c r="B1034" s="187" t="s">
        <v>3808</v>
      </c>
      <c r="C1034" s="188">
        <v>42108</v>
      </c>
      <c r="D1034" s="194">
        <v>2</v>
      </c>
      <c r="E1034" s="189" t="s">
        <v>93</v>
      </c>
      <c r="F1034" s="187" t="s">
        <v>1654</v>
      </c>
      <c r="G1034" s="189" t="s">
        <v>202</v>
      </c>
      <c r="H1034" s="188">
        <v>42108</v>
      </c>
      <c r="I1034" s="189" t="s">
        <v>187</v>
      </c>
      <c r="J1034" s="189" t="s">
        <v>103</v>
      </c>
      <c r="K1034" s="187" t="s">
        <v>3809</v>
      </c>
      <c r="L1034" s="188">
        <v>42108</v>
      </c>
      <c r="M1034" s="187" t="s">
        <v>1914</v>
      </c>
      <c r="N1034" s="190" t="s">
        <v>185</v>
      </c>
      <c r="O1034" s="188">
        <v>42108</v>
      </c>
      <c r="P1034" s="191">
        <f t="shared" si="696"/>
        <v>0</v>
      </c>
      <c r="Q1034" s="187" t="s">
        <v>3809</v>
      </c>
      <c r="R1034" s="190" t="s">
        <v>17</v>
      </c>
      <c r="S1034" s="187" t="s">
        <v>3810</v>
      </c>
      <c r="T1034" s="187">
        <v>1105098386</v>
      </c>
      <c r="U1034" s="195">
        <v>42111</v>
      </c>
      <c r="V1034" s="190" t="s">
        <v>186</v>
      </c>
      <c r="W1034" s="192">
        <f t="shared" si="697"/>
        <v>0</v>
      </c>
      <c r="X1034" s="192" t="str">
        <f t="shared" si="698"/>
        <v>Correcto</v>
      </c>
    </row>
    <row r="1035" spans="1:24" ht="18" customHeight="1" x14ac:dyDescent="0.25">
      <c r="A1035" s="193">
        <v>1026</v>
      </c>
      <c r="B1035" s="187" t="s">
        <v>3811</v>
      </c>
      <c r="C1035" s="188">
        <v>42108</v>
      </c>
      <c r="D1035" s="194">
        <v>2</v>
      </c>
      <c r="E1035" s="189" t="s">
        <v>93</v>
      </c>
      <c r="F1035" s="187" t="s">
        <v>1654</v>
      </c>
      <c r="G1035" s="189" t="s">
        <v>202</v>
      </c>
      <c r="H1035" s="188">
        <v>42108</v>
      </c>
      <c r="I1035" s="189" t="s">
        <v>187</v>
      </c>
      <c r="J1035" s="189" t="s">
        <v>103</v>
      </c>
      <c r="K1035" s="187" t="s">
        <v>3812</v>
      </c>
      <c r="L1035" s="188">
        <v>42108</v>
      </c>
      <c r="M1035" s="187" t="s">
        <v>1914</v>
      </c>
      <c r="N1035" s="190" t="s">
        <v>185</v>
      </c>
      <c r="O1035" s="188">
        <v>42108</v>
      </c>
      <c r="P1035" s="191">
        <f t="shared" si="696"/>
        <v>0</v>
      </c>
      <c r="Q1035" s="187" t="s">
        <v>3812</v>
      </c>
      <c r="R1035" s="190" t="s">
        <v>17</v>
      </c>
      <c r="S1035" s="187" t="s">
        <v>3813</v>
      </c>
      <c r="T1035" s="187">
        <v>1102992722</v>
      </c>
      <c r="U1035" s="195">
        <v>42110</v>
      </c>
      <c r="V1035" s="190" t="s">
        <v>186</v>
      </c>
      <c r="W1035" s="192">
        <f t="shared" si="697"/>
        <v>0</v>
      </c>
      <c r="X1035" s="192" t="str">
        <f t="shared" si="698"/>
        <v>Correcto</v>
      </c>
    </row>
    <row r="1036" spans="1:24" ht="18" customHeight="1" x14ac:dyDescent="0.25">
      <c r="A1036" s="193">
        <v>1027</v>
      </c>
      <c r="B1036" s="187" t="s">
        <v>3814</v>
      </c>
      <c r="C1036" s="188">
        <v>42108</v>
      </c>
      <c r="D1036" s="194">
        <v>2</v>
      </c>
      <c r="E1036" s="189" t="s">
        <v>93</v>
      </c>
      <c r="F1036" s="187" t="s">
        <v>1654</v>
      </c>
      <c r="G1036" s="189" t="s">
        <v>202</v>
      </c>
      <c r="H1036" s="188">
        <v>42110</v>
      </c>
      <c r="I1036" s="189" t="s">
        <v>187</v>
      </c>
      <c r="J1036" s="189" t="s">
        <v>103</v>
      </c>
      <c r="K1036" s="187" t="s">
        <v>3815</v>
      </c>
      <c r="L1036" s="188">
        <v>42110</v>
      </c>
      <c r="M1036" s="187" t="s">
        <v>1914</v>
      </c>
      <c r="N1036" s="190" t="s">
        <v>185</v>
      </c>
      <c r="O1036" s="188">
        <v>42110</v>
      </c>
      <c r="P1036" s="191">
        <f t="shared" si="696"/>
        <v>2</v>
      </c>
      <c r="Q1036" s="187" t="s">
        <v>3815</v>
      </c>
      <c r="R1036" s="190" t="s">
        <v>17</v>
      </c>
      <c r="S1036" s="187" t="s">
        <v>3816</v>
      </c>
      <c r="T1036" s="187">
        <v>1104992316</v>
      </c>
      <c r="U1036" s="195">
        <v>42110</v>
      </c>
      <c r="V1036" s="190" t="s">
        <v>186</v>
      </c>
      <c r="W1036" s="192">
        <f t="shared" si="697"/>
        <v>0</v>
      </c>
      <c r="X1036" s="192" t="str">
        <f t="shared" si="698"/>
        <v>Correcto</v>
      </c>
    </row>
    <row r="1037" spans="1:24" ht="18" customHeight="1" x14ac:dyDescent="0.25">
      <c r="A1037" s="193">
        <v>1028</v>
      </c>
      <c r="B1037" s="187" t="s">
        <v>3817</v>
      </c>
      <c r="C1037" s="188">
        <v>42108</v>
      </c>
      <c r="D1037" s="194">
        <v>14</v>
      </c>
      <c r="E1037" s="189" t="s">
        <v>93</v>
      </c>
      <c r="F1037" s="187" t="s">
        <v>1654</v>
      </c>
      <c r="G1037" s="189" t="s">
        <v>202</v>
      </c>
      <c r="H1037" s="188">
        <v>42110</v>
      </c>
      <c r="I1037" s="189" t="s">
        <v>187</v>
      </c>
      <c r="J1037" s="189" t="s">
        <v>103</v>
      </c>
      <c r="K1037" s="187" t="s">
        <v>3818</v>
      </c>
      <c r="L1037" s="188">
        <v>42110</v>
      </c>
      <c r="M1037" s="187" t="s">
        <v>1914</v>
      </c>
      <c r="N1037" s="190" t="s">
        <v>185</v>
      </c>
      <c r="O1037" s="188">
        <v>42110</v>
      </c>
      <c r="P1037" s="191">
        <f t="shared" si="696"/>
        <v>2</v>
      </c>
      <c r="Q1037" s="187" t="s">
        <v>3818</v>
      </c>
      <c r="R1037" s="190" t="s">
        <v>17</v>
      </c>
      <c r="S1037" s="187" t="s">
        <v>3819</v>
      </c>
      <c r="T1037" s="187">
        <v>110449364</v>
      </c>
      <c r="U1037" s="195">
        <v>42111</v>
      </c>
      <c r="V1037" s="190" t="s">
        <v>186</v>
      </c>
      <c r="W1037" s="192">
        <f t="shared" si="697"/>
        <v>0</v>
      </c>
      <c r="X1037" s="192" t="str">
        <f t="shared" si="698"/>
        <v>Correcto</v>
      </c>
    </row>
    <row r="1038" spans="1:24" ht="18" customHeight="1" x14ac:dyDescent="0.25">
      <c r="A1038" s="193">
        <v>1029</v>
      </c>
      <c r="B1038" s="187" t="s">
        <v>3820</v>
      </c>
      <c r="C1038" s="188">
        <v>42109</v>
      </c>
      <c r="D1038" s="194">
        <v>2</v>
      </c>
      <c r="E1038" s="189" t="s">
        <v>93</v>
      </c>
      <c r="F1038" s="187" t="s">
        <v>825</v>
      </c>
      <c r="G1038" s="189" t="s">
        <v>202</v>
      </c>
      <c r="H1038" s="188">
        <v>42114</v>
      </c>
      <c r="I1038" s="189" t="s">
        <v>187</v>
      </c>
      <c r="J1038" s="189" t="s">
        <v>103</v>
      </c>
      <c r="K1038" s="187" t="s">
        <v>3821</v>
      </c>
      <c r="L1038" s="188">
        <v>42114</v>
      </c>
      <c r="M1038" s="187" t="s">
        <v>1914</v>
      </c>
      <c r="N1038" s="190" t="s">
        <v>185</v>
      </c>
      <c r="O1038" s="188">
        <v>42115</v>
      </c>
      <c r="P1038" s="191">
        <f t="shared" si="696"/>
        <v>6</v>
      </c>
      <c r="Q1038" s="187" t="s">
        <v>3822</v>
      </c>
      <c r="R1038" s="190" t="s">
        <v>17</v>
      </c>
      <c r="S1038" s="187" t="s">
        <v>101</v>
      </c>
      <c r="T1038" s="187" t="s">
        <v>3823</v>
      </c>
      <c r="U1038" s="195">
        <v>42116</v>
      </c>
      <c r="V1038" s="190" t="s">
        <v>186</v>
      </c>
      <c r="W1038" s="192">
        <f t="shared" si="697"/>
        <v>0</v>
      </c>
      <c r="X1038" s="192" t="str">
        <f t="shared" si="698"/>
        <v>Correcto</v>
      </c>
    </row>
    <row r="1039" spans="1:24" ht="18" customHeight="1" x14ac:dyDescent="0.25">
      <c r="A1039" s="193">
        <v>1030</v>
      </c>
      <c r="B1039" s="187" t="s">
        <v>3824</v>
      </c>
      <c r="C1039" s="188">
        <v>42109</v>
      </c>
      <c r="D1039" s="194">
        <v>2</v>
      </c>
      <c r="E1039" s="189" t="s">
        <v>93</v>
      </c>
      <c r="F1039" s="187" t="s">
        <v>825</v>
      </c>
      <c r="G1039" s="189" t="s">
        <v>202</v>
      </c>
      <c r="H1039" s="188">
        <v>42115</v>
      </c>
      <c r="I1039" s="189" t="s">
        <v>187</v>
      </c>
      <c r="J1039" s="189" t="s">
        <v>103</v>
      </c>
      <c r="K1039" s="187" t="s">
        <v>3825</v>
      </c>
      <c r="L1039" s="188">
        <v>42115</v>
      </c>
      <c r="M1039" s="187" t="s">
        <v>1914</v>
      </c>
      <c r="N1039" s="190" t="s">
        <v>185</v>
      </c>
      <c r="O1039" s="188">
        <v>42116</v>
      </c>
      <c r="P1039" s="191">
        <f t="shared" si="696"/>
        <v>7</v>
      </c>
      <c r="Q1039" s="187" t="s">
        <v>3826</v>
      </c>
      <c r="R1039" s="190" t="s">
        <v>17</v>
      </c>
      <c r="S1039" s="187" t="s">
        <v>101</v>
      </c>
      <c r="T1039" s="187" t="s">
        <v>1011</v>
      </c>
      <c r="U1039" s="195">
        <v>42122</v>
      </c>
      <c r="V1039" s="190" t="s">
        <v>186</v>
      </c>
      <c r="W1039" s="192">
        <f t="shared" si="697"/>
        <v>0</v>
      </c>
      <c r="X1039" s="192" t="str">
        <f t="shared" si="698"/>
        <v>Correcto</v>
      </c>
    </row>
    <row r="1040" spans="1:24" ht="18" customHeight="1" x14ac:dyDescent="0.25">
      <c r="A1040" s="193">
        <v>1031</v>
      </c>
      <c r="B1040" s="187" t="s">
        <v>3827</v>
      </c>
      <c r="C1040" s="188">
        <v>42109</v>
      </c>
      <c r="D1040" s="194">
        <v>2</v>
      </c>
      <c r="E1040" s="189" t="s">
        <v>93</v>
      </c>
      <c r="F1040" s="187" t="s">
        <v>1654</v>
      </c>
      <c r="G1040" s="189" t="s">
        <v>202</v>
      </c>
      <c r="H1040" s="188">
        <v>42115</v>
      </c>
      <c r="I1040" s="189" t="s">
        <v>187</v>
      </c>
      <c r="J1040" s="189" t="s">
        <v>103</v>
      </c>
      <c r="K1040" s="187" t="s">
        <v>3828</v>
      </c>
      <c r="L1040" s="188">
        <v>42115</v>
      </c>
      <c r="M1040" s="187" t="s">
        <v>1914</v>
      </c>
      <c r="N1040" s="190" t="s">
        <v>185</v>
      </c>
      <c r="O1040" s="188">
        <v>42115</v>
      </c>
      <c r="P1040" s="191">
        <f t="shared" si="696"/>
        <v>6</v>
      </c>
      <c r="Q1040" s="187" t="s">
        <v>3828</v>
      </c>
      <c r="R1040" s="190" t="s">
        <v>17</v>
      </c>
      <c r="S1040" s="187" t="s">
        <v>3829</v>
      </c>
      <c r="T1040" s="187">
        <v>1104180367</v>
      </c>
      <c r="U1040" s="195">
        <v>42116</v>
      </c>
      <c r="V1040" s="190" t="s">
        <v>186</v>
      </c>
      <c r="W1040" s="192">
        <f t="shared" si="697"/>
        <v>0</v>
      </c>
      <c r="X1040" s="192" t="str">
        <f t="shared" si="698"/>
        <v>Correcto</v>
      </c>
    </row>
    <row r="1041" spans="1:24" ht="18" customHeight="1" x14ac:dyDescent="0.25">
      <c r="A1041" s="193">
        <v>1032</v>
      </c>
      <c r="B1041" s="187" t="s">
        <v>3830</v>
      </c>
      <c r="C1041" s="188">
        <v>42109</v>
      </c>
      <c r="D1041" s="194">
        <v>2</v>
      </c>
      <c r="E1041" s="189" t="s">
        <v>93</v>
      </c>
      <c r="F1041" s="187" t="s">
        <v>1654</v>
      </c>
      <c r="G1041" s="189" t="s">
        <v>202</v>
      </c>
      <c r="H1041" s="188">
        <v>42111</v>
      </c>
      <c r="I1041" s="189" t="s">
        <v>187</v>
      </c>
      <c r="J1041" s="189" t="s">
        <v>103</v>
      </c>
      <c r="K1041" s="187" t="s">
        <v>3831</v>
      </c>
      <c r="L1041" s="188">
        <v>42111</v>
      </c>
      <c r="M1041" s="187" t="s">
        <v>1914</v>
      </c>
      <c r="N1041" s="190" t="s">
        <v>185</v>
      </c>
      <c r="O1041" s="188">
        <v>42111</v>
      </c>
      <c r="P1041" s="191">
        <f t="shared" si="696"/>
        <v>2</v>
      </c>
      <c r="Q1041" s="187" t="s">
        <v>3831</v>
      </c>
      <c r="R1041" s="190" t="s">
        <v>17</v>
      </c>
      <c r="S1041" s="187" t="s">
        <v>3832</v>
      </c>
      <c r="T1041" s="187">
        <v>1103327571</v>
      </c>
      <c r="U1041" s="195">
        <v>42055</v>
      </c>
      <c r="V1041" s="190" t="s">
        <v>186</v>
      </c>
      <c r="W1041" s="192">
        <f t="shared" si="697"/>
        <v>0</v>
      </c>
      <c r="X1041" s="192" t="str">
        <f t="shared" si="698"/>
        <v>Correcto</v>
      </c>
    </row>
    <row r="1042" spans="1:24" ht="18" customHeight="1" x14ac:dyDescent="0.25">
      <c r="A1042" s="193">
        <v>1033</v>
      </c>
      <c r="B1042" s="187" t="s">
        <v>3833</v>
      </c>
      <c r="C1042" s="188">
        <v>42109</v>
      </c>
      <c r="D1042" s="194">
        <v>2</v>
      </c>
      <c r="E1042" s="189" t="s">
        <v>93</v>
      </c>
      <c r="F1042" s="187" t="s">
        <v>1654</v>
      </c>
      <c r="G1042" s="189" t="s">
        <v>202</v>
      </c>
      <c r="H1042" s="188">
        <v>42114</v>
      </c>
      <c r="I1042" s="189" t="s">
        <v>187</v>
      </c>
      <c r="J1042" s="189" t="s">
        <v>103</v>
      </c>
      <c r="K1042" s="187" t="s">
        <v>3834</v>
      </c>
      <c r="L1042" s="188">
        <v>42114</v>
      </c>
      <c r="M1042" s="187" t="s">
        <v>1914</v>
      </c>
      <c r="N1042" s="190" t="s">
        <v>185</v>
      </c>
      <c r="O1042" s="188">
        <v>42114</v>
      </c>
      <c r="P1042" s="191">
        <f t="shared" si="696"/>
        <v>5</v>
      </c>
      <c r="Q1042" s="187" t="s">
        <v>3834</v>
      </c>
      <c r="R1042" s="190" t="s">
        <v>17</v>
      </c>
      <c r="S1042" s="187" t="s">
        <v>3835</v>
      </c>
      <c r="T1042" s="187">
        <v>1105050783</v>
      </c>
      <c r="U1042" s="195">
        <v>42055</v>
      </c>
      <c r="V1042" s="190" t="s">
        <v>186</v>
      </c>
      <c r="W1042" s="192">
        <f t="shared" si="697"/>
        <v>0</v>
      </c>
      <c r="X1042" s="192" t="str">
        <f t="shared" si="698"/>
        <v>Correcto</v>
      </c>
    </row>
    <row r="1043" spans="1:24" ht="18" customHeight="1" x14ac:dyDescent="0.25">
      <c r="A1043" s="193">
        <v>1034</v>
      </c>
      <c r="B1043" s="187" t="s">
        <v>3836</v>
      </c>
      <c r="C1043" s="188">
        <v>42109</v>
      </c>
      <c r="D1043" s="194">
        <v>2</v>
      </c>
      <c r="E1043" s="189" t="s">
        <v>93</v>
      </c>
      <c r="F1043" s="187" t="s">
        <v>825</v>
      </c>
      <c r="G1043" s="189" t="s">
        <v>202</v>
      </c>
      <c r="H1043" s="188">
        <v>42114</v>
      </c>
      <c r="I1043" s="189" t="s">
        <v>187</v>
      </c>
      <c r="J1043" s="189" t="s">
        <v>103</v>
      </c>
      <c r="K1043" s="187" t="s">
        <v>3837</v>
      </c>
      <c r="L1043" s="188">
        <v>42114</v>
      </c>
      <c r="M1043" s="187" t="s">
        <v>1914</v>
      </c>
      <c r="N1043" s="190" t="s">
        <v>185</v>
      </c>
      <c r="O1043" s="188">
        <v>42115</v>
      </c>
      <c r="P1043" s="191">
        <f t="shared" si="696"/>
        <v>6</v>
      </c>
      <c r="Q1043" s="187" t="s">
        <v>3838</v>
      </c>
      <c r="R1043" s="190" t="s">
        <v>17</v>
      </c>
      <c r="S1043" s="187" t="s">
        <v>101</v>
      </c>
      <c r="T1043" s="187" t="s">
        <v>3839</v>
      </c>
      <c r="U1043" s="195">
        <v>42116</v>
      </c>
      <c r="V1043" s="190" t="s">
        <v>186</v>
      </c>
      <c r="W1043" s="192">
        <f t="shared" si="697"/>
        <v>0</v>
      </c>
      <c r="X1043" s="192" t="str">
        <f t="shared" si="698"/>
        <v>Correcto</v>
      </c>
    </row>
    <row r="1044" spans="1:24" ht="18" customHeight="1" x14ac:dyDescent="0.25">
      <c r="A1044" s="193">
        <v>1035</v>
      </c>
      <c r="B1044" s="187" t="s">
        <v>3840</v>
      </c>
      <c r="C1044" s="188">
        <v>42109</v>
      </c>
      <c r="D1044" s="194">
        <v>2</v>
      </c>
      <c r="E1044" s="189" t="s">
        <v>93</v>
      </c>
      <c r="F1044" s="187" t="s">
        <v>1654</v>
      </c>
      <c r="G1044" s="189" t="s">
        <v>202</v>
      </c>
      <c r="H1044" s="188">
        <v>42110</v>
      </c>
      <c r="I1044" s="189" t="s">
        <v>187</v>
      </c>
      <c r="J1044" s="189" t="s">
        <v>103</v>
      </c>
      <c r="K1044" s="187" t="s">
        <v>3841</v>
      </c>
      <c r="L1044" s="188">
        <v>42110</v>
      </c>
      <c r="M1044" s="187" t="s">
        <v>100</v>
      </c>
      <c r="N1044" s="190" t="s">
        <v>1079</v>
      </c>
      <c r="O1044" s="188">
        <v>42117</v>
      </c>
      <c r="P1044" s="191">
        <f t="shared" si="696"/>
        <v>8</v>
      </c>
      <c r="Q1044" s="187" t="s">
        <v>3842</v>
      </c>
      <c r="R1044" s="190" t="s">
        <v>17</v>
      </c>
      <c r="S1044" s="187" t="s">
        <v>104</v>
      </c>
      <c r="T1044" s="187">
        <v>1101834016</v>
      </c>
      <c r="U1044" s="195">
        <v>42118</v>
      </c>
      <c r="V1044" s="190" t="s">
        <v>186</v>
      </c>
      <c r="W1044" s="192">
        <f t="shared" si="697"/>
        <v>0</v>
      </c>
      <c r="X1044" s="192" t="str">
        <f t="shared" si="698"/>
        <v>Correcto</v>
      </c>
    </row>
    <row r="1045" spans="1:24" ht="18" customHeight="1" x14ac:dyDescent="0.25">
      <c r="A1045" s="193">
        <v>1036</v>
      </c>
      <c r="B1045" s="187" t="s">
        <v>3843</v>
      </c>
      <c r="C1045" s="188">
        <v>42109</v>
      </c>
      <c r="D1045" s="194">
        <v>2</v>
      </c>
      <c r="E1045" s="189" t="s">
        <v>93</v>
      </c>
      <c r="F1045" s="187" t="s">
        <v>1654</v>
      </c>
      <c r="G1045" s="189" t="s">
        <v>202</v>
      </c>
      <c r="H1045" s="188">
        <v>42110</v>
      </c>
      <c r="I1045" s="189" t="s">
        <v>187</v>
      </c>
      <c r="J1045" s="189" t="s">
        <v>103</v>
      </c>
      <c r="K1045" s="187" t="s">
        <v>3844</v>
      </c>
      <c r="L1045" s="188">
        <v>42110</v>
      </c>
      <c r="M1045" s="187" t="s">
        <v>100</v>
      </c>
      <c r="N1045" s="190" t="s">
        <v>1079</v>
      </c>
      <c r="O1045" s="188">
        <v>42117</v>
      </c>
      <c r="P1045" s="191">
        <f t="shared" si="696"/>
        <v>8</v>
      </c>
      <c r="Q1045" s="187" t="s">
        <v>3845</v>
      </c>
      <c r="R1045" s="190" t="s">
        <v>17</v>
      </c>
      <c r="S1045" s="187" t="s">
        <v>104</v>
      </c>
      <c r="T1045" s="187">
        <v>1101971941</v>
      </c>
      <c r="U1045" s="195">
        <v>42118</v>
      </c>
      <c r="V1045" s="190" t="s">
        <v>186</v>
      </c>
      <c r="W1045" s="192">
        <f t="shared" si="697"/>
        <v>0</v>
      </c>
      <c r="X1045" s="192"/>
    </row>
    <row r="1046" spans="1:24" ht="18" customHeight="1" x14ac:dyDescent="0.25">
      <c r="A1046" s="193">
        <v>1037</v>
      </c>
      <c r="B1046" s="187" t="s">
        <v>3846</v>
      </c>
      <c r="C1046" s="188">
        <v>42109</v>
      </c>
      <c r="D1046" s="194">
        <v>2</v>
      </c>
      <c r="E1046" s="189" t="s">
        <v>93</v>
      </c>
      <c r="F1046" s="187" t="s">
        <v>825</v>
      </c>
      <c r="G1046" s="189" t="s">
        <v>202</v>
      </c>
      <c r="H1046" s="188">
        <v>42114</v>
      </c>
      <c r="I1046" s="189" t="s">
        <v>187</v>
      </c>
      <c r="J1046" s="189" t="s">
        <v>103</v>
      </c>
      <c r="K1046" s="187" t="s">
        <v>3847</v>
      </c>
      <c r="L1046" s="188">
        <v>42114</v>
      </c>
      <c r="M1046" s="187" t="s">
        <v>1914</v>
      </c>
      <c r="N1046" s="190" t="s">
        <v>185</v>
      </c>
      <c r="O1046" s="188">
        <v>42115</v>
      </c>
      <c r="P1046" s="191">
        <f t="shared" si="696"/>
        <v>6</v>
      </c>
      <c r="Q1046" s="187" t="s">
        <v>3848</v>
      </c>
      <c r="R1046" s="190" t="s">
        <v>17</v>
      </c>
      <c r="S1046" s="187" t="s">
        <v>3664</v>
      </c>
      <c r="T1046" s="187" t="s">
        <v>3665</v>
      </c>
      <c r="U1046" s="195">
        <v>42115</v>
      </c>
      <c r="V1046" s="190" t="s">
        <v>186</v>
      </c>
      <c r="W1046" s="192">
        <f t="shared" si="697"/>
        <v>0</v>
      </c>
      <c r="X1046" s="192" t="str">
        <f t="shared" ref="X1046:X1109" si="699">IF(W1046=0,"Correcto","Incorrecto")</f>
        <v>Correcto</v>
      </c>
    </row>
    <row r="1047" spans="1:24" ht="18" customHeight="1" x14ac:dyDescent="0.25">
      <c r="A1047" s="193">
        <v>1038</v>
      </c>
      <c r="B1047" s="187" t="s">
        <v>3849</v>
      </c>
      <c r="C1047" s="188">
        <v>42109</v>
      </c>
      <c r="D1047" s="194">
        <v>38</v>
      </c>
      <c r="E1047" s="189" t="s">
        <v>93</v>
      </c>
      <c r="F1047" s="187" t="s">
        <v>825</v>
      </c>
      <c r="G1047" s="189" t="s">
        <v>202</v>
      </c>
      <c r="H1047" s="188">
        <v>42115</v>
      </c>
      <c r="I1047" s="189" t="s">
        <v>187</v>
      </c>
      <c r="J1047" s="189" t="s">
        <v>103</v>
      </c>
      <c r="K1047" s="187" t="s">
        <v>3850</v>
      </c>
      <c r="L1047" s="188">
        <v>42115</v>
      </c>
      <c r="M1047" s="187" t="s">
        <v>1914</v>
      </c>
      <c r="N1047" s="190" t="s">
        <v>185</v>
      </c>
      <c r="O1047" s="188">
        <v>42116</v>
      </c>
      <c r="P1047" s="191">
        <f t="shared" si="696"/>
        <v>7</v>
      </c>
      <c r="Q1047" s="187" t="s">
        <v>3851</v>
      </c>
      <c r="R1047" s="190" t="s">
        <v>605</v>
      </c>
      <c r="S1047" s="187" t="s">
        <v>101</v>
      </c>
      <c r="T1047" s="187" t="s">
        <v>3852</v>
      </c>
      <c r="U1047" s="195">
        <v>42116</v>
      </c>
      <c r="V1047" s="190" t="s">
        <v>186</v>
      </c>
      <c r="W1047" s="192">
        <f t="shared" si="697"/>
        <v>0</v>
      </c>
      <c r="X1047" s="192" t="str">
        <f t="shared" si="699"/>
        <v>Correcto</v>
      </c>
    </row>
    <row r="1048" spans="1:24" ht="18" customHeight="1" x14ac:dyDescent="0.25">
      <c r="A1048" s="193">
        <v>1039</v>
      </c>
      <c r="B1048" s="187" t="s">
        <v>3853</v>
      </c>
      <c r="C1048" s="188">
        <v>42109</v>
      </c>
      <c r="D1048" s="194">
        <v>4</v>
      </c>
      <c r="E1048" s="189" t="s">
        <v>93</v>
      </c>
      <c r="F1048" s="187" t="s">
        <v>825</v>
      </c>
      <c r="G1048" s="189" t="s">
        <v>202</v>
      </c>
      <c r="H1048" s="188">
        <v>42115</v>
      </c>
      <c r="I1048" s="189" t="s">
        <v>187</v>
      </c>
      <c r="J1048" s="189" t="s">
        <v>103</v>
      </c>
      <c r="K1048" s="187" t="s">
        <v>3854</v>
      </c>
      <c r="L1048" s="188">
        <v>42115</v>
      </c>
      <c r="M1048" s="187" t="s">
        <v>1914</v>
      </c>
      <c r="N1048" s="190" t="s">
        <v>185</v>
      </c>
      <c r="O1048" s="188">
        <v>42116</v>
      </c>
      <c r="P1048" s="191">
        <f t="shared" si="696"/>
        <v>7</v>
      </c>
      <c r="Q1048" s="187" t="s">
        <v>3855</v>
      </c>
      <c r="R1048" s="190" t="s">
        <v>605</v>
      </c>
      <c r="S1048" s="187" t="s">
        <v>101</v>
      </c>
      <c r="T1048" s="187" t="s">
        <v>3852</v>
      </c>
      <c r="U1048" s="195">
        <v>42116</v>
      </c>
      <c r="V1048" s="190" t="s">
        <v>186</v>
      </c>
      <c r="W1048" s="192">
        <f t="shared" si="697"/>
        <v>0</v>
      </c>
      <c r="X1048" s="192" t="str">
        <f t="shared" si="699"/>
        <v>Correcto</v>
      </c>
    </row>
    <row r="1049" spans="1:24" ht="18" customHeight="1" x14ac:dyDescent="0.25">
      <c r="A1049" s="193">
        <v>1040</v>
      </c>
      <c r="B1049" s="187" t="s">
        <v>3856</v>
      </c>
      <c r="C1049" s="188">
        <v>42109</v>
      </c>
      <c r="D1049" s="194">
        <v>2</v>
      </c>
      <c r="E1049" s="189" t="s">
        <v>93</v>
      </c>
      <c r="F1049" s="187" t="s">
        <v>825</v>
      </c>
      <c r="G1049" s="189" t="s">
        <v>202</v>
      </c>
      <c r="H1049" s="187"/>
      <c r="I1049" s="189" t="s">
        <v>187</v>
      </c>
      <c r="J1049" s="189" t="s">
        <v>103</v>
      </c>
      <c r="K1049" s="187"/>
      <c r="L1049" s="187"/>
      <c r="M1049" s="187" t="s">
        <v>824</v>
      </c>
      <c r="N1049" s="190" t="s">
        <v>185</v>
      </c>
      <c r="O1049" s="188">
        <v>42110</v>
      </c>
      <c r="P1049" s="191">
        <f t="shared" si="696"/>
        <v>1</v>
      </c>
      <c r="Q1049" s="187" t="s">
        <v>3857</v>
      </c>
      <c r="R1049" s="190" t="s">
        <v>1026</v>
      </c>
      <c r="S1049" s="187" t="s">
        <v>101</v>
      </c>
      <c r="T1049" s="187" t="s">
        <v>3858</v>
      </c>
      <c r="U1049" s="195">
        <v>42110</v>
      </c>
      <c r="V1049" s="190" t="s">
        <v>186</v>
      </c>
      <c r="W1049" s="192">
        <f t="shared" si="697"/>
        <v>3</v>
      </c>
      <c r="X1049" s="192" t="str">
        <f t="shared" si="699"/>
        <v>Incorrecto</v>
      </c>
    </row>
    <row r="1050" spans="1:24" ht="18" customHeight="1" x14ac:dyDescent="0.25">
      <c r="A1050" s="193">
        <v>1041</v>
      </c>
      <c r="B1050" s="187" t="s">
        <v>3859</v>
      </c>
      <c r="C1050" s="188">
        <v>42109</v>
      </c>
      <c r="D1050" s="194">
        <v>2</v>
      </c>
      <c r="E1050" s="189" t="s">
        <v>93</v>
      </c>
      <c r="F1050" s="187" t="s">
        <v>825</v>
      </c>
      <c r="G1050" s="189" t="s">
        <v>202</v>
      </c>
      <c r="H1050" s="188">
        <v>42114</v>
      </c>
      <c r="I1050" s="189" t="s">
        <v>187</v>
      </c>
      <c r="J1050" s="189" t="s">
        <v>103</v>
      </c>
      <c r="K1050" s="187" t="s">
        <v>3860</v>
      </c>
      <c r="L1050" s="188">
        <v>42114</v>
      </c>
      <c r="M1050" s="187" t="s">
        <v>1914</v>
      </c>
      <c r="N1050" s="190" t="s">
        <v>185</v>
      </c>
      <c r="O1050" s="188">
        <v>42115</v>
      </c>
      <c r="P1050" s="191">
        <f t="shared" si="696"/>
        <v>6</v>
      </c>
      <c r="Q1050" s="187" t="s">
        <v>3861</v>
      </c>
      <c r="R1050" s="190" t="s">
        <v>17</v>
      </c>
      <c r="S1050" s="187" t="s">
        <v>101</v>
      </c>
      <c r="T1050" s="187" t="s">
        <v>1391</v>
      </c>
      <c r="U1050" s="195">
        <v>42116</v>
      </c>
      <c r="V1050" s="190" t="s">
        <v>186</v>
      </c>
      <c r="W1050" s="192">
        <f t="shared" si="697"/>
        <v>0</v>
      </c>
      <c r="X1050" s="192" t="str">
        <f t="shared" si="699"/>
        <v>Correcto</v>
      </c>
    </row>
    <row r="1051" spans="1:24" ht="18" customHeight="1" x14ac:dyDescent="0.25">
      <c r="A1051" s="193">
        <v>1042</v>
      </c>
      <c r="B1051" s="187" t="s">
        <v>3862</v>
      </c>
      <c r="C1051" s="188">
        <v>42109</v>
      </c>
      <c r="D1051" s="194">
        <v>2</v>
      </c>
      <c r="E1051" s="189" t="s">
        <v>93</v>
      </c>
      <c r="F1051" s="187" t="s">
        <v>825</v>
      </c>
      <c r="G1051" s="189" t="s">
        <v>202</v>
      </c>
      <c r="H1051" s="188">
        <v>42114</v>
      </c>
      <c r="I1051" s="189" t="s">
        <v>187</v>
      </c>
      <c r="J1051" s="189" t="s">
        <v>103</v>
      </c>
      <c r="K1051" s="187" t="s">
        <v>3863</v>
      </c>
      <c r="L1051" s="188">
        <v>42114</v>
      </c>
      <c r="M1051" s="187" t="s">
        <v>1914</v>
      </c>
      <c r="N1051" s="190" t="s">
        <v>185</v>
      </c>
      <c r="O1051" s="188">
        <v>42115</v>
      </c>
      <c r="P1051" s="191">
        <f t="shared" si="696"/>
        <v>6</v>
      </c>
      <c r="Q1051" s="187" t="s">
        <v>3864</v>
      </c>
      <c r="R1051" s="190" t="s">
        <v>17</v>
      </c>
      <c r="S1051" s="187" t="s">
        <v>101</v>
      </c>
      <c r="T1051" s="187" t="s">
        <v>1017</v>
      </c>
      <c r="U1051" s="195">
        <v>42116</v>
      </c>
      <c r="V1051" s="190" t="s">
        <v>186</v>
      </c>
      <c r="W1051" s="192">
        <f t="shared" si="697"/>
        <v>0</v>
      </c>
      <c r="X1051" s="192" t="str">
        <f t="shared" si="699"/>
        <v>Correcto</v>
      </c>
    </row>
    <row r="1052" spans="1:24" ht="18" customHeight="1" x14ac:dyDescent="0.25">
      <c r="A1052" s="193">
        <v>1043</v>
      </c>
      <c r="B1052" s="187" t="s">
        <v>3865</v>
      </c>
      <c r="C1052" s="188">
        <v>42109</v>
      </c>
      <c r="D1052" s="194">
        <v>2</v>
      </c>
      <c r="E1052" s="189" t="s">
        <v>93</v>
      </c>
      <c r="F1052" s="187" t="s">
        <v>825</v>
      </c>
      <c r="G1052" s="189" t="s">
        <v>202</v>
      </c>
      <c r="H1052" s="188">
        <v>42114</v>
      </c>
      <c r="I1052" s="189" t="s">
        <v>187</v>
      </c>
      <c r="J1052" s="189" t="s">
        <v>103</v>
      </c>
      <c r="K1052" s="187" t="s">
        <v>3866</v>
      </c>
      <c r="L1052" s="188">
        <v>42114</v>
      </c>
      <c r="M1052" s="187" t="s">
        <v>1914</v>
      </c>
      <c r="N1052" s="190" t="s">
        <v>185</v>
      </c>
      <c r="O1052" s="188">
        <v>42115</v>
      </c>
      <c r="P1052" s="191">
        <f t="shared" si="696"/>
        <v>6</v>
      </c>
      <c r="Q1052" s="187" t="s">
        <v>3867</v>
      </c>
      <c r="R1052" s="190" t="s">
        <v>17</v>
      </c>
      <c r="S1052" s="187" t="s">
        <v>101</v>
      </c>
      <c r="T1052" s="187" t="s">
        <v>1391</v>
      </c>
      <c r="U1052" s="195">
        <v>42116</v>
      </c>
      <c r="V1052" s="190" t="s">
        <v>186</v>
      </c>
      <c r="W1052" s="192">
        <f t="shared" si="697"/>
        <v>0</v>
      </c>
      <c r="X1052" s="192" t="str">
        <f t="shared" si="699"/>
        <v>Correcto</v>
      </c>
    </row>
    <row r="1053" spans="1:24" ht="18" customHeight="1" x14ac:dyDescent="0.25">
      <c r="A1053" s="193">
        <v>1044</v>
      </c>
      <c r="B1053" s="187" t="s">
        <v>3868</v>
      </c>
      <c r="C1053" s="188">
        <v>42109</v>
      </c>
      <c r="D1053" s="194">
        <v>2</v>
      </c>
      <c r="E1053" s="189" t="s">
        <v>93</v>
      </c>
      <c r="F1053" s="187" t="s">
        <v>825</v>
      </c>
      <c r="G1053" s="189" t="s">
        <v>202</v>
      </c>
      <c r="H1053" s="188">
        <v>42115</v>
      </c>
      <c r="I1053" s="189" t="s">
        <v>187</v>
      </c>
      <c r="J1053" s="189" t="s">
        <v>103</v>
      </c>
      <c r="K1053" s="187" t="s">
        <v>3869</v>
      </c>
      <c r="L1053" s="188">
        <v>42115</v>
      </c>
      <c r="M1053" s="187" t="s">
        <v>1914</v>
      </c>
      <c r="N1053" s="190" t="s">
        <v>185</v>
      </c>
      <c r="O1053" s="188">
        <v>42115</v>
      </c>
      <c r="P1053" s="191">
        <f t="shared" si="696"/>
        <v>6</v>
      </c>
      <c r="Q1053" s="187" t="s">
        <v>3870</v>
      </c>
      <c r="R1053" s="190" t="s">
        <v>17</v>
      </c>
      <c r="S1053" s="187" t="s">
        <v>101</v>
      </c>
      <c r="T1053" s="187" t="s">
        <v>1011</v>
      </c>
      <c r="U1053" s="195">
        <v>42116</v>
      </c>
      <c r="V1053" s="190" t="s">
        <v>186</v>
      </c>
      <c r="W1053" s="192">
        <f t="shared" si="697"/>
        <v>0</v>
      </c>
      <c r="X1053" s="192" t="str">
        <f t="shared" si="699"/>
        <v>Correcto</v>
      </c>
    </row>
    <row r="1054" spans="1:24" ht="18" customHeight="1" x14ac:dyDescent="0.25">
      <c r="A1054" s="193">
        <v>1045</v>
      </c>
      <c r="B1054" s="187" t="s">
        <v>3871</v>
      </c>
      <c r="C1054" s="188">
        <v>42109</v>
      </c>
      <c r="D1054" s="194">
        <v>2</v>
      </c>
      <c r="E1054" s="189" t="s">
        <v>93</v>
      </c>
      <c r="F1054" s="187" t="s">
        <v>825</v>
      </c>
      <c r="G1054" s="189" t="s">
        <v>202</v>
      </c>
      <c r="H1054" s="188">
        <v>42115</v>
      </c>
      <c r="I1054" s="189" t="s">
        <v>187</v>
      </c>
      <c r="J1054" s="189" t="s">
        <v>103</v>
      </c>
      <c r="K1054" s="187" t="s">
        <v>3872</v>
      </c>
      <c r="L1054" s="188">
        <v>42115</v>
      </c>
      <c r="M1054" s="187" t="s">
        <v>1914</v>
      </c>
      <c r="N1054" s="190" t="s">
        <v>185</v>
      </c>
      <c r="O1054" s="188">
        <v>42115</v>
      </c>
      <c r="P1054" s="191">
        <f t="shared" si="696"/>
        <v>6</v>
      </c>
      <c r="Q1054" s="187" t="s">
        <v>3873</v>
      </c>
      <c r="R1054" s="190" t="s">
        <v>17</v>
      </c>
      <c r="S1054" s="187" t="s">
        <v>101</v>
      </c>
      <c r="T1054" s="187" t="s">
        <v>3628</v>
      </c>
      <c r="U1054" s="195">
        <v>42116</v>
      </c>
      <c r="V1054" s="190" t="s">
        <v>186</v>
      </c>
      <c r="W1054" s="192">
        <f t="shared" si="697"/>
        <v>0</v>
      </c>
      <c r="X1054" s="192" t="str">
        <f t="shared" si="699"/>
        <v>Correcto</v>
      </c>
    </row>
    <row r="1055" spans="1:24" ht="18" customHeight="1" x14ac:dyDescent="0.25">
      <c r="A1055" s="193">
        <v>1046</v>
      </c>
      <c r="B1055" s="187" t="s">
        <v>3874</v>
      </c>
      <c r="C1055" s="188">
        <v>42109</v>
      </c>
      <c r="D1055" s="194">
        <v>2</v>
      </c>
      <c r="E1055" s="189" t="s">
        <v>93</v>
      </c>
      <c r="F1055" s="187" t="s">
        <v>825</v>
      </c>
      <c r="G1055" s="189" t="s">
        <v>202</v>
      </c>
      <c r="H1055" s="188">
        <v>42115</v>
      </c>
      <c r="I1055" s="189" t="s">
        <v>187</v>
      </c>
      <c r="J1055" s="189" t="s">
        <v>103</v>
      </c>
      <c r="K1055" s="187" t="s">
        <v>3875</v>
      </c>
      <c r="L1055" s="188">
        <v>42115</v>
      </c>
      <c r="M1055" s="187" t="s">
        <v>1914</v>
      </c>
      <c r="N1055" s="190" t="s">
        <v>185</v>
      </c>
      <c r="O1055" s="188">
        <v>42116</v>
      </c>
      <c r="P1055" s="191">
        <f t="shared" si="696"/>
        <v>7</v>
      </c>
      <c r="Q1055" s="187" t="s">
        <v>3876</v>
      </c>
      <c r="R1055" s="190" t="s">
        <v>17</v>
      </c>
      <c r="S1055" s="187" t="s">
        <v>101</v>
      </c>
      <c r="T1055" s="187" t="s">
        <v>996</v>
      </c>
      <c r="U1055" s="195">
        <v>42116</v>
      </c>
      <c r="V1055" s="190" t="s">
        <v>186</v>
      </c>
      <c r="W1055" s="192">
        <f t="shared" si="697"/>
        <v>0</v>
      </c>
      <c r="X1055" s="192" t="str">
        <f t="shared" si="699"/>
        <v>Correcto</v>
      </c>
    </row>
    <row r="1056" spans="1:24" ht="18" customHeight="1" x14ac:dyDescent="0.25">
      <c r="A1056" s="193">
        <v>1047</v>
      </c>
      <c r="B1056" s="187" t="s">
        <v>3877</v>
      </c>
      <c r="C1056" s="188">
        <v>42109</v>
      </c>
      <c r="D1056" s="194">
        <v>2</v>
      </c>
      <c r="E1056" s="189" t="s">
        <v>93</v>
      </c>
      <c r="F1056" s="187" t="s">
        <v>825</v>
      </c>
      <c r="G1056" s="189" t="s">
        <v>202</v>
      </c>
      <c r="H1056" s="188">
        <v>42115</v>
      </c>
      <c r="I1056" s="189" t="s">
        <v>187</v>
      </c>
      <c r="J1056" s="189" t="s">
        <v>103</v>
      </c>
      <c r="K1056" s="187" t="s">
        <v>3878</v>
      </c>
      <c r="L1056" s="188">
        <v>42115</v>
      </c>
      <c r="M1056" s="187" t="s">
        <v>1914</v>
      </c>
      <c r="N1056" s="190" t="s">
        <v>185</v>
      </c>
      <c r="O1056" s="188">
        <v>42115</v>
      </c>
      <c r="P1056" s="191">
        <f t="shared" si="696"/>
        <v>6</v>
      </c>
      <c r="Q1056" s="187" t="s">
        <v>3879</v>
      </c>
      <c r="R1056" s="190" t="s">
        <v>17</v>
      </c>
      <c r="S1056" s="187" t="s">
        <v>101</v>
      </c>
      <c r="T1056" s="187" t="s">
        <v>1023</v>
      </c>
      <c r="U1056" s="195">
        <v>42116</v>
      </c>
      <c r="V1056" s="190" t="s">
        <v>186</v>
      </c>
      <c r="W1056" s="192">
        <f t="shared" si="697"/>
        <v>0</v>
      </c>
      <c r="X1056" s="192" t="str">
        <f t="shared" si="699"/>
        <v>Correcto</v>
      </c>
    </row>
    <row r="1057" spans="1:24" ht="18" customHeight="1" x14ac:dyDescent="0.25">
      <c r="A1057" s="193">
        <v>1048</v>
      </c>
      <c r="B1057" s="187" t="s">
        <v>3880</v>
      </c>
      <c r="C1057" s="188">
        <v>42109</v>
      </c>
      <c r="D1057" s="194">
        <v>2</v>
      </c>
      <c r="E1057" s="189" t="s">
        <v>93</v>
      </c>
      <c r="F1057" s="187" t="s">
        <v>825</v>
      </c>
      <c r="G1057" s="189" t="s">
        <v>202</v>
      </c>
      <c r="H1057" s="188">
        <v>42115</v>
      </c>
      <c r="I1057" s="189" t="s">
        <v>187</v>
      </c>
      <c r="J1057" s="189" t="s">
        <v>103</v>
      </c>
      <c r="K1057" s="187" t="s">
        <v>3881</v>
      </c>
      <c r="L1057" s="188">
        <v>42115</v>
      </c>
      <c r="M1057" s="187" t="s">
        <v>1914</v>
      </c>
      <c r="N1057" s="190" t="s">
        <v>185</v>
      </c>
      <c r="O1057" s="188">
        <v>42115</v>
      </c>
      <c r="P1057" s="191">
        <f t="shared" si="696"/>
        <v>6</v>
      </c>
      <c r="Q1057" s="187" t="s">
        <v>3882</v>
      </c>
      <c r="R1057" s="190" t="s">
        <v>17</v>
      </c>
      <c r="S1057" s="187" t="s">
        <v>101</v>
      </c>
      <c r="T1057" s="187" t="s">
        <v>953</v>
      </c>
      <c r="U1057" s="195">
        <v>42116</v>
      </c>
      <c r="V1057" s="190" t="s">
        <v>186</v>
      </c>
      <c r="W1057" s="192">
        <f t="shared" si="697"/>
        <v>0</v>
      </c>
      <c r="X1057" s="192" t="str">
        <f t="shared" si="699"/>
        <v>Correcto</v>
      </c>
    </row>
    <row r="1058" spans="1:24" ht="18" customHeight="1" x14ac:dyDescent="0.25">
      <c r="A1058" s="193">
        <v>1049</v>
      </c>
      <c r="B1058" s="187" t="s">
        <v>3883</v>
      </c>
      <c r="C1058" s="188">
        <v>42109</v>
      </c>
      <c r="D1058" s="194">
        <v>2</v>
      </c>
      <c r="E1058" s="189" t="s">
        <v>93</v>
      </c>
      <c r="F1058" s="187" t="s">
        <v>825</v>
      </c>
      <c r="G1058" s="189" t="s">
        <v>202</v>
      </c>
      <c r="H1058" s="188">
        <v>42115</v>
      </c>
      <c r="I1058" s="189" t="s">
        <v>187</v>
      </c>
      <c r="J1058" s="189" t="s">
        <v>103</v>
      </c>
      <c r="K1058" s="187" t="s">
        <v>3884</v>
      </c>
      <c r="L1058" s="188">
        <v>42115</v>
      </c>
      <c r="M1058" s="187" t="s">
        <v>1914</v>
      </c>
      <c r="N1058" s="190" t="s">
        <v>185</v>
      </c>
      <c r="O1058" s="188">
        <v>42115</v>
      </c>
      <c r="P1058" s="191">
        <f t="shared" si="696"/>
        <v>6</v>
      </c>
      <c r="Q1058" s="187" t="s">
        <v>3885</v>
      </c>
      <c r="R1058" s="190" t="s">
        <v>17</v>
      </c>
      <c r="S1058" s="187" t="s">
        <v>101</v>
      </c>
      <c r="T1058" s="187" t="s">
        <v>1023</v>
      </c>
      <c r="U1058" s="195">
        <v>42116</v>
      </c>
      <c r="V1058" s="190" t="s">
        <v>186</v>
      </c>
      <c r="W1058" s="192">
        <f t="shared" si="697"/>
        <v>0</v>
      </c>
      <c r="X1058" s="192" t="str">
        <f t="shared" si="699"/>
        <v>Correcto</v>
      </c>
    </row>
    <row r="1059" spans="1:24" ht="18" customHeight="1" x14ac:dyDescent="0.25">
      <c r="A1059" s="193">
        <v>1050</v>
      </c>
      <c r="B1059" s="187" t="s">
        <v>3886</v>
      </c>
      <c r="C1059" s="188">
        <v>42109</v>
      </c>
      <c r="D1059" s="194">
        <v>2</v>
      </c>
      <c r="E1059" s="189" t="s">
        <v>93</v>
      </c>
      <c r="F1059" s="187" t="s">
        <v>825</v>
      </c>
      <c r="G1059" s="189" t="s">
        <v>202</v>
      </c>
      <c r="H1059" s="188">
        <v>42115</v>
      </c>
      <c r="I1059" s="189" t="s">
        <v>187</v>
      </c>
      <c r="J1059" s="189" t="s">
        <v>103</v>
      </c>
      <c r="K1059" s="187" t="s">
        <v>3887</v>
      </c>
      <c r="L1059" s="188">
        <v>42115</v>
      </c>
      <c r="M1059" s="187" t="s">
        <v>1914</v>
      </c>
      <c r="N1059" s="190" t="s">
        <v>185</v>
      </c>
      <c r="O1059" s="188">
        <v>42115</v>
      </c>
      <c r="P1059" s="191">
        <f t="shared" si="696"/>
        <v>6</v>
      </c>
      <c r="Q1059" s="187" t="s">
        <v>3888</v>
      </c>
      <c r="R1059" s="190" t="s">
        <v>17</v>
      </c>
      <c r="S1059" s="187" t="s">
        <v>101</v>
      </c>
      <c r="T1059" s="187" t="s">
        <v>1391</v>
      </c>
      <c r="U1059" s="195">
        <v>42116</v>
      </c>
      <c r="V1059" s="190" t="s">
        <v>186</v>
      </c>
      <c r="W1059" s="192">
        <f t="shared" si="697"/>
        <v>0</v>
      </c>
      <c r="X1059" s="192" t="str">
        <f t="shared" si="699"/>
        <v>Correcto</v>
      </c>
    </row>
    <row r="1060" spans="1:24" ht="18" customHeight="1" x14ac:dyDescent="0.25">
      <c r="A1060" s="193">
        <v>1051</v>
      </c>
      <c r="B1060" s="187" t="s">
        <v>3889</v>
      </c>
      <c r="C1060" s="188">
        <v>42110</v>
      </c>
      <c r="D1060" s="194">
        <v>8</v>
      </c>
      <c r="E1060" s="189" t="s">
        <v>93</v>
      </c>
      <c r="F1060" s="187" t="s">
        <v>1654</v>
      </c>
      <c r="G1060" s="189" t="s">
        <v>202</v>
      </c>
      <c r="H1060" s="188">
        <v>42115</v>
      </c>
      <c r="I1060" s="189" t="s">
        <v>187</v>
      </c>
      <c r="J1060" s="189" t="s">
        <v>103</v>
      </c>
      <c r="K1060" s="187" t="s">
        <v>3890</v>
      </c>
      <c r="L1060" s="188">
        <v>42115</v>
      </c>
      <c r="M1060" s="187" t="s">
        <v>1914</v>
      </c>
      <c r="N1060" s="190" t="s">
        <v>185</v>
      </c>
      <c r="O1060" s="188">
        <v>42115</v>
      </c>
      <c r="P1060" s="191">
        <f t="shared" si="696"/>
        <v>5</v>
      </c>
      <c r="Q1060" s="187" t="s">
        <v>3890</v>
      </c>
      <c r="R1060" s="190" t="s">
        <v>17</v>
      </c>
      <c r="S1060" s="187" t="s">
        <v>3891</v>
      </c>
      <c r="T1060" s="187">
        <v>1103318125</v>
      </c>
      <c r="U1060" s="195">
        <v>42116</v>
      </c>
      <c r="V1060" s="190" t="s">
        <v>186</v>
      </c>
      <c r="W1060" s="192">
        <f t="shared" si="697"/>
        <v>0</v>
      </c>
      <c r="X1060" s="192" t="str">
        <f t="shared" si="699"/>
        <v>Correcto</v>
      </c>
    </row>
    <row r="1061" spans="1:24" ht="18" customHeight="1" x14ac:dyDescent="0.25">
      <c r="A1061" s="193">
        <v>1052</v>
      </c>
      <c r="B1061" s="187" t="s">
        <v>3892</v>
      </c>
      <c r="C1061" s="188">
        <v>42110</v>
      </c>
      <c r="D1061" s="194">
        <v>2</v>
      </c>
      <c r="E1061" s="189" t="s">
        <v>93</v>
      </c>
      <c r="F1061" s="187" t="s">
        <v>1654</v>
      </c>
      <c r="G1061" s="189" t="s">
        <v>202</v>
      </c>
      <c r="H1061" s="188">
        <v>42114</v>
      </c>
      <c r="I1061" s="189" t="s">
        <v>187</v>
      </c>
      <c r="J1061" s="189" t="s">
        <v>103</v>
      </c>
      <c r="K1061" s="187" t="s">
        <v>3893</v>
      </c>
      <c r="L1061" s="188">
        <v>42114</v>
      </c>
      <c r="M1061" s="187" t="s">
        <v>1914</v>
      </c>
      <c r="N1061" s="190" t="s">
        <v>185</v>
      </c>
      <c r="O1061" s="188">
        <v>42114</v>
      </c>
      <c r="P1061" s="191">
        <f t="shared" si="696"/>
        <v>4</v>
      </c>
      <c r="Q1061" s="187" t="s">
        <v>3893</v>
      </c>
      <c r="R1061" s="190" t="s">
        <v>17</v>
      </c>
      <c r="S1061" s="187" t="s">
        <v>3894</v>
      </c>
      <c r="T1061" s="187">
        <v>1900263200</v>
      </c>
      <c r="U1061" s="195">
        <v>42114</v>
      </c>
      <c r="V1061" s="190" t="s">
        <v>186</v>
      </c>
      <c r="W1061" s="192">
        <f t="shared" si="697"/>
        <v>0</v>
      </c>
      <c r="X1061" s="192" t="str">
        <f t="shared" si="699"/>
        <v>Correcto</v>
      </c>
    </row>
    <row r="1062" spans="1:24" ht="18" customHeight="1" x14ac:dyDescent="0.25">
      <c r="A1062" s="193">
        <v>1053</v>
      </c>
      <c r="B1062" s="187" t="s">
        <v>3895</v>
      </c>
      <c r="C1062" s="188">
        <v>42110</v>
      </c>
      <c r="D1062" s="194">
        <v>2</v>
      </c>
      <c r="E1062" s="189" t="s">
        <v>93</v>
      </c>
      <c r="F1062" s="187" t="s">
        <v>1654</v>
      </c>
      <c r="G1062" s="189" t="s">
        <v>202</v>
      </c>
      <c r="H1062" s="188">
        <v>42114</v>
      </c>
      <c r="I1062" s="189" t="s">
        <v>187</v>
      </c>
      <c r="J1062" s="189" t="s">
        <v>103</v>
      </c>
      <c r="K1062" s="187" t="s">
        <v>3896</v>
      </c>
      <c r="L1062" s="188">
        <v>42114</v>
      </c>
      <c r="M1062" s="187" t="s">
        <v>1914</v>
      </c>
      <c r="N1062" s="190" t="s">
        <v>185</v>
      </c>
      <c r="O1062" s="188">
        <v>42114</v>
      </c>
      <c r="P1062" s="191">
        <f t="shared" si="696"/>
        <v>4</v>
      </c>
      <c r="Q1062" s="187" t="s">
        <v>3896</v>
      </c>
      <c r="R1062" s="190" t="s">
        <v>17</v>
      </c>
      <c r="S1062" s="187" t="s">
        <v>3897</v>
      </c>
      <c r="T1062" s="187">
        <v>1102314372</v>
      </c>
      <c r="U1062" s="195">
        <v>42116</v>
      </c>
      <c r="V1062" s="190" t="s">
        <v>186</v>
      </c>
      <c r="W1062" s="192">
        <f t="shared" si="697"/>
        <v>0</v>
      </c>
      <c r="X1062" s="192" t="str">
        <f t="shared" si="699"/>
        <v>Correcto</v>
      </c>
    </row>
    <row r="1063" spans="1:24" ht="18" customHeight="1" x14ac:dyDescent="0.25">
      <c r="A1063" s="193">
        <v>1054</v>
      </c>
      <c r="B1063" s="187" t="s">
        <v>3898</v>
      </c>
      <c r="C1063" s="188">
        <v>42110</v>
      </c>
      <c r="D1063" s="194">
        <v>2</v>
      </c>
      <c r="E1063" s="189" t="s">
        <v>93</v>
      </c>
      <c r="F1063" s="187" t="s">
        <v>1654</v>
      </c>
      <c r="G1063" s="189" t="s">
        <v>202</v>
      </c>
      <c r="H1063" s="188">
        <v>42114</v>
      </c>
      <c r="I1063" s="189" t="s">
        <v>187</v>
      </c>
      <c r="J1063" s="189" t="s">
        <v>103</v>
      </c>
      <c r="K1063" s="187" t="s">
        <v>3899</v>
      </c>
      <c r="L1063" s="188">
        <v>42114</v>
      </c>
      <c r="M1063" s="187" t="s">
        <v>1914</v>
      </c>
      <c r="N1063" s="190" t="s">
        <v>185</v>
      </c>
      <c r="O1063" s="188">
        <v>42114</v>
      </c>
      <c r="P1063" s="191">
        <f t="shared" si="696"/>
        <v>4</v>
      </c>
      <c r="Q1063" s="187" t="s">
        <v>3899</v>
      </c>
      <c r="R1063" s="190" t="s">
        <v>17</v>
      </c>
      <c r="S1063" s="187" t="s">
        <v>3900</v>
      </c>
      <c r="T1063" s="187">
        <v>1103350904</v>
      </c>
      <c r="U1063" s="195">
        <v>42116</v>
      </c>
      <c r="V1063" s="190" t="s">
        <v>186</v>
      </c>
      <c r="W1063" s="192">
        <f t="shared" si="697"/>
        <v>0</v>
      </c>
      <c r="X1063" s="192" t="str">
        <f t="shared" si="699"/>
        <v>Correcto</v>
      </c>
    </row>
    <row r="1064" spans="1:24" ht="18" customHeight="1" x14ac:dyDescent="0.25">
      <c r="A1064" s="193">
        <v>1055</v>
      </c>
      <c r="B1064" s="187" t="s">
        <v>3901</v>
      </c>
      <c r="C1064" s="188">
        <v>42110</v>
      </c>
      <c r="D1064" s="194">
        <v>2</v>
      </c>
      <c r="E1064" s="189" t="s">
        <v>93</v>
      </c>
      <c r="F1064" s="187" t="s">
        <v>1654</v>
      </c>
      <c r="G1064" s="189" t="s">
        <v>202</v>
      </c>
      <c r="H1064" s="188">
        <v>42114</v>
      </c>
      <c r="I1064" s="189" t="s">
        <v>187</v>
      </c>
      <c r="J1064" s="189" t="s">
        <v>103</v>
      </c>
      <c r="K1064" s="187" t="s">
        <v>3902</v>
      </c>
      <c r="L1064" s="188">
        <v>42114</v>
      </c>
      <c r="M1064" s="187" t="s">
        <v>1914</v>
      </c>
      <c r="N1064" s="190" t="s">
        <v>185</v>
      </c>
      <c r="O1064" s="188">
        <v>42114</v>
      </c>
      <c r="P1064" s="191">
        <f t="shared" si="696"/>
        <v>4</v>
      </c>
      <c r="Q1064" s="187" t="s">
        <v>3902</v>
      </c>
      <c r="R1064" s="190" t="s">
        <v>17</v>
      </c>
      <c r="S1064" s="187" t="s">
        <v>3903</v>
      </c>
      <c r="T1064" s="187">
        <v>1104650468</v>
      </c>
      <c r="U1064" s="195">
        <v>42114</v>
      </c>
      <c r="V1064" s="190" t="s">
        <v>186</v>
      </c>
      <c r="W1064" s="192">
        <f t="shared" si="697"/>
        <v>0</v>
      </c>
      <c r="X1064" s="192" t="str">
        <f t="shared" si="699"/>
        <v>Correcto</v>
      </c>
    </row>
    <row r="1065" spans="1:24" ht="18" customHeight="1" x14ac:dyDescent="0.25">
      <c r="A1065" s="193">
        <v>1056</v>
      </c>
      <c r="B1065" s="187" t="s">
        <v>3904</v>
      </c>
      <c r="C1065" s="188">
        <v>42110</v>
      </c>
      <c r="D1065" s="194">
        <v>2</v>
      </c>
      <c r="E1065" s="189" t="s">
        <v>93</v>
      </c>
      <c r="F1065" s="187" t="s">
        <v>1654</v>
      </c>
      <c r="G1065" s="189" t="s">
        <v>202</v>
      </c>
      <c r="H1065" s="188">
        <v>42114</v>
      </c>
      <c r="I1065" s="189" t="s">
        <v>187</v>
      </c>
      <c r="J1065" s="189" t="s">
        <v>103</v>
      </c>
      <c r="K1065" s="187" t="s">
        <v>3905</v>
      </c>
      <c r="L1065" s="188">
        <v>42114</v>
      </c>
      <c r="M1065" s="187" t="s">
        <v>1914</v>
      </c>
      <c r="N1065" s="190" t="s">
        <v>185</v>
      </c>
      <c r="O1065" s="188">
        <v>42114</v>
      </c>
      <c r="P1065" s="191">
        <f t="shared" si="696"/>
        <v>4</v>
      </c>
      <c r="Q1065" s="187" t="s">
        <v>3905</v>
      </c>
      <c r="R1065" s="190" t="s">
        <v>17</v>
      </c>
      <c r="S1065" s="187" t="s">
        <v>3906</v>
      </c>
      <c r="T1065" s="187">
        <v>1101843465</v>
      </c>
      <c r="U1065" s="195">
        <v>42114</v>
      </c>
      <c r="V1065" s="190" t="s">
        <v>186</v>
      </c>
      <c r="W1065" s="192">
        <f t="shared" si="697"/>
        <v>0</v>
      </c>
      <c r="X1065" s="192" t="str">
        <f t="shared" si="699"/>
        <v>Correcto</v>
      </c>
    </row>
    <row r="1066" spans="1:24" ht="18" customHeight="1" x14ac:dyDescent="0.25">
      <c r="A1066" s="193">
        <v>1057</v>
      </c>
      <c r="B1066" s="187" t="s">
        <v>3907</v>
      </c>
      <c r="C1066" s="188">
        <v>42110</v>
      </c>
      <c r="D1066" s="194">
        <v>2</v>
      </c>
      <c r="E1066" s="189" t="s">
        <v>93</v>
      </c>
      <c r="F1066" s="187" t="s">
        <v>825</v>
      </c>
      <c r="G1066" s="189" t="s">
        <v>202</v>
      </c>
      <c r="H1066" s="188">
        <v>42114</v>
      </c>
      <c r="I1066" s="189" t="s">
        <v>187</v>
      </c>
      <c r="J1066" s="189" t="s">
        <v>103</v>
      </c>
      <c r="K1066" s="187" t="s">
        <v>3908</v>
      </c>
      <c r="L1066" s="188">
        <v>42114</v>
      </c>
      <c r="M1066" s="187" t="s">
        <v>1914</v>
      </c>
      <c r="N1066" s="190" t="s">
        <v>185</v>
      </c>
      <c r="O1066" s="188">
        <v>42116</v>
      </c>
      <c r="P1066" s="191">
        <f t="shared" si="696"/>
        <v>6</v>
      </c>
      <c r="Q1066" s="187" t="s">
        <v>3909</v>
      </c>
      <c r="R1066" s="190" t="s">
        <v>17</v>
      </c>
      <c r="S1066" s="187" t="s">
        <v>101</v>
      </c>
      <c r="T1066" s="187" t="s">
        <v>3238</v>
      </c>
      <c r="U1066" s="195">
        <v>42116</v>
      </c>
      <c r="V1066" s="190" t="s">
        <v>186</v>
      </c>
      <c r="W1066" s="192">
        <f t="shared" si="697"/>
        <v>0</v>
      </c>
      <c r="X1066" s="192" t="str">
        <f t="shared" si="699"/>
        <v>Correcto</v>
      </c>
    </row>
    <row r="1067" spans="1:24" ht="18" customHeight="1" x14ac:dyDescent="0.25">
      <c r="A1067" s="193">
        <v>1058</v>
      </c>
      <c r="B1067" s="187" t="s">
        <v>3910</v>
      </c>
      <c r="C1067" s="188">
        <v>42110</v>
      </c>
      <c r="D1067" s="194">
        <v>2</v>
      </c>
      <c r="E1067" s="189" t="s">
        <v>93</v>
      </c>
      <c r="F1067" s="187" t="s">
        <v>1654</v>
      </c>
      <c r="G1067" s="189" t="s">
        <v>202</v>
      </c>
      <c r="H1067" s="188">
        <v>42114</v>
      </c>
      <c r="I1067" s="189" t="s">
        <v>187</v>
      </c>
      <c r="J1067" s="189" t="s">
        <v>103</v>
      </c>
      <c r="K1067" s="187" t="s">
        <v>3911</v>
      </c>
      <c r="L1067" s="188">
        <v>42114</v>
      </c>
      <c r="M1067" s="187" t="s">
        <v>1914</v>
      </c>
      <c r="N1067" s="190" t="s">
        <v>185</v>
      </c>
      <c r="O1067" s="188">
        <v>42114</v>
      </c>
      <c r="P1067" s="191">
        <f t="shared" si="696"/>
        <v>4</v>
      </c>
      <c r="Q1067" s="187" t="s">
        <v>3911</v>
      </c>
      <c r="R1067" s="190" t="s">
        <v>17</v>
      </c>
      <c r="S1067" s="187" t="s">
        <v>3912</v>
      </c>
      <c r="T1067" s="187">
        <v>1714548169</v>
      </c>
      <c r="U1067" s="195">
        <v>42114</v>
      </c>
      <c r="V1067" s="190" t="s">
        <v>186</v>
      </c>
      <c r="W1067" s="192">
        <f t="shared" si="697"/>
        <v>0</v>
      </c>
      <c r="X1067" s="192" t="str">
        <f t="shared" si="699"/>
        <v>Correcto</v>
      </c>
    </row>
    <row r="1068" spans="1:24" ht="18" customHeight="1" x14ac:dyDescent="0.25">
      <c r="A1068" s="193">
        <v>1059</v>
      </c>
      <c r="B1068" s="187" t="s">
        <v>3913</v>
      </c>
      <c r="C1068" s="188">
        <v>42110</v>
      </c>
      <c r="D1068" s="194">
        <v>2</v>
      </c>
      <c r="E1068" s="189" t="s">
        <v>93</v>
      </c>
      <c r="F1068" s="187" t="s">
        <v>825</v>
      </c>
      <c r="G1068" s="189" t="s">
        <v>202</v>
      </c>
      <c r="H1068" s="188">
        <v>42114</v>
      </c>
      <c r="I1068" s="189" t="s">
        <v>187</v>
      </c>
      <c r="J1068" s="189" t="s">
        <v>103</v>
      </c>
      <c r="K1068" s="187" t="s">
        <v>3914</v>
      </c>
      <c r="L1068" s="188">
        <v>42114</v>
      </c>
      <c r="M1068" s="187" t="s">
        <v>1914</v>
      </c>
      <c r="N1068" s="190" t="s">
        <v>185</v>
      </c>
      <c r="O1068" s="188">
        <v>42114</v>
      </c>
      <c r="P1068" s="191">
        <f t="shared" si="696"/>
        <v>4</v>
      </c>
      <c r="Q1068" s="187" t="s">
        <v>3915</v>
      </c>
      <c r="R1068" s="190" t="s">
        <v>17</v>
      </c>
      <c r="S1068" s="187" t="s">
        <v>101</v>
      </c>
      <c r="T1068" s="187" t="s">
        <v>1163</v>
      </c>
      <c r="U1068" s="195">
        <v>42116</v>
      </c>
      <c r="V1068" s="190" t="s">
        <v>186</v>
      </c>
      <c r="W1068" s="192">
        <f t="shared" si="697"/>
        <v>0</v>
      </c>
      <c r="X1068" s="192" t="str">
        <f t="shared" si="699"/>
        <v>Correcto</v>
      </c>
    </row>
    <row r="1069" spans="1:24" ht="18" customHeight="1" x14ac:dyDescent="0.25">
      <c r="A1069" s="193">
        <v>1060</v>
      </c>
      <c r="B1069" s="187" t="s">
        <v>3916</v>
      </c>
      <c r="C1069" s="188">
        <v>42110</v>
      </c>
      <c r="D1069" s="194">
        <v>2</v>
      </c>
      <c r="E1069" s="189" t="s">
        <v>93</v>
      </c>
      <c r="F1069" s="187" t="s">
        <v>825</v>
      </c>
      <c r="G1069" s="189" t="s">
        <v>202</v>
      </c>
      <c r="H1069" s="188">
        <v>42114</v>
      </c>
      <c r="I1069" s="189" t="s">
        <v>187</v>
      </c>
      <c r="J1069" s="189" t="s">
        <v>103</v>
      </c>
      <c r="K1069" s="187" t="s">
        <v>3917</v>
      </c>
      <c r="L1069" s="188">
        <v>42114</v>
      </c>
      <c r="M1069" s="187" t="s">
        <v>1914</v>
      </c>
      <c r="N1069" s="190" t="s">
        <v>185</v>
      </c>
      <c r="O1069" s="188">
        <v>42114</v>
      </c>
      <c r="P1069" s="191">
        <f t="shared" si="696"/>
        <v>4</v>
      </c>
      <c r="Q1069" s="187" t="s">
        <v>3918</v>
      </c>
      <c r="R1069" s="190" t="s">
        <v>17</v>
      </c>
      <c r="S1069" s="187" t="s">
        <v>3919</v>
      </c>
      <c r="T1069" s="187">
        <v>1100022795</v>
      </c>
      <c r="U1069" s="195">
        <v>42114</v>
      </c>
      <c r="V1069" s="190" t="s">
        <v>186</v>
      </c>
      <c r="W1069" s="192">
        <f t="shared" si="697"/>
        <v>0</v>
      </c>
      <c r="X1069" s="192" t="str">
        <f t="shared" si="699"/>
        <v>Correcto</v>
      </c>
    </row>
    <row r="1070" spans="1:24" ht="18" customHeight="1" x14ac:dyDescent="0.25">
      <c r="A1070" s="193">
        <v>1061</v>
      </c>
      <c r="B1070" s="187" t="s">
        <v>3920</v>
      </c>
      <c r="C1070" s="188">
        <v>42111</v>
      </c>
      <c r="D1070" s="194">
        <v>2</v>
      </c>
      <c r="E1070" s="189" t="s">
        <v>93</v>
      </c>
      <c r="F1070" s="187" t="s">
        <v>1654</v>
      </c>
      <c r="G1070" s="189" t="s">
        <v>202</v>
      </c>
      <c r="H1070" s="188">
        <v>42128</v>
      </c>
      <c r="I1070" s="189" t="s">
        <v>187</v>
      </c>
      <c r="J1070" s="189" t="s">
        <v>103</v>
      </c>
      <c r="K1070" s="187" t="s">
        <v>3921</v>
      </c>
      <c r="L1070" s="188">
        <v>42128</v>
      </c>
      <c r="M1070" s="187" t="s">
        <v>1914</v>
      </c>
      <c r="N1070" s="190" t="s">
        <v>185</v>
      </c>
      <c r="O1070" s="188">
        <v>42128</v>
      </c>
      <c r="P1070" s="191">
        <f t="shared" si="696"/>
        <v>17</v>
      </c>
      <c r="Q1070" s="187" t="s">
        <v>3921</v>
      </c>
      <c r="R1070" s="190" t="s">
        <v>17</v>
      </c>
      <c r="S1070" s="187" t="s">
        <v>3922</v>
      </c>
      <c r="T1070" s="187">
        <v>1105869323</v>
      </c>
      <c r="U1070" s="195">
        <v>42128</v>
      </c>
      <c r="V1070" s="190" t="s">
        <v>186</v>
      </c>
      <c r="W1070" s="192">
        <f t="shared" si="697"/>
        <v>0</v>
      </c>
      <c r="X1070" s="192" t="str">
        <f t="shared" si="699"/>
        <v>Correcto</v>
      </c>
    </row>
    <row r="1071" spans="1:24" ht="18" customHeight="1" x14ac:dyDescent="0.25">
      <c r="A1071" s="193">
        <v>1062</v>
      </c>
      <c r="B1071" s="187" t="s">
        <v>3923</v>
      </c>
      <c r="C1071" s="188">
        <v>42111</v>
      </c>
      <c r="D1071" s="194">
        <v>7</v>
      </c>
      <c r="E1071" s="189" t="s">
        <v>93</v>
      </c>
      <c r="F1071" s="187" t="s">
        <v>1654</v>
      </c>
      <c r="G1071" s="189" t="s">
        <v>202</v>
      </c>
      <c r="H1071" s="188">
        <v>42117</v>
      </c>
      <c r="I1071" s="189" t="s">
        <v>187</v>
      </c>
      <c r="J1071" s="189" t="s">
        <v>103</v>
      </c>
      <c r="K1071" s="187" t="s">
        <v>3924</v>
      </c>
      <c r="L1071" s="188">
        <v>42117</v>
      </c>
      <c r="M1071" s="187" t="s">
        <v>1914</v>
      </c>
      <c r="N1071" s="190" t="s">
        <v>185</v>
      </c>
      <c r="O1071" s="188">
        <v>42117</v>
      </c>
      <c r="P1071" s="191">
        <f t="shared" si="696"/>
        <v>6</v>
      </c>
      <c r="Q1071" s="187" t="s">
        <v>3924</v>
      </c>
      <c r="R1071" s="190" t="s">
        <v>17</v>
      </c>
      <c r="S1071" s="187" t="s">
        <v>3925</v>
      </c>
      <c r="T1071" s="187">
        <v>1900193077</v>
      </c>
      <c r="U1071" s="195">
        <v>42118</v>
      </c>
      <c r="V1071" s="190" t="s">
        <v>186</v>
      </c>
      <c r="W1071" s="192">
        <f t="shared" si="697"/>
        <v>0</v>
      </c>
      <c r="X1071" s="192" t="str">
        <f t="shared" si="699"/>
        <v>Correcto</v>
      </c>
    </row>
    <row r="1072" spans="1:24" ht="18" customHeight="1" x14ac:dyDescent="0.25">
      <c r="A1072" s="193">
        <v>1063</v>
      </c>
      <c r="B1072" s="187" t="s">
        <v>3926</v>
      </c>
      <c r="C1072" s="188">
        <v>42114</v>
      </c>
      <c r="D1072" s="194">
        <v>2</v>
      </c>
      <c r="E1072" s="189" t="s">
        <v>93</v>
      </c>
      <c r="F1072" s="187" t="s">
        <v>1654</v>
      </c>
      <c r="G1072" s="189" t="s">
        <v>202</v>
      </c>
      <c r="H1072" s="188">
        <v>42115</v>
      </c>
      <c r="I1072" s="189" t="s">
        <v>187</v>
      </c>
      <c r="J1072" s="189" t="s">
        <v>103</v>
      </c>
      <c r="K1072" s="187" t="s">
        <v>3927</v>
      </c>
      <c r="L1072" s="188">
        <v>42115</v>
      </c>
      <c r="M1072" s="187" t="s">
        <v>1914</v>
      </c>
      <c r="N1072" s="190" t="s">
        <v>185</v>
      </c>
      <c r="O1072" s="188">
        <v>42115</v>
      </c>
      <c r="P1072" s="191">
        <f t="shared" si="696"/>
        <v>1</v>
      </c>
      <c r="Q1072" s="187" t="s">
        <v>3927</v>
      </c>
      <c r="R1072" s="190" t="s">
        <v>17</v>
      </c>
      <c r="S1072" s="187" t="s">
        <v>3928</v>
      </c>
      <c r="T1072" s="187">
        <v>702799008</v>
      </c>
      <c r="U1072" s="195">
        <v>42116</v>
      </c>
      <c r="V1072" s="190" t="s">
        <v>186</v>
      </c>
      <c r="W1072" s="192">
        <f t="shared" si="697"/>
        <v>0</v>
      </c>
      <c r="X1072" s="192" t="str">
        <f t="shared" si="699"/>
        <v>Correcto</v>
      </c>
    </row>
    <row r="1073" spans="1:24" ht="18" customHeight="1" x14ac:dyDescent="0.25">
      <c r="A1073" s="193">
        <v>1064</v>
      </c>
      <c r="B1073" s="187" t="s">
        <v>3929</v>
      </c>
      <c r="C1073" s="188">
        <v>42114</v>
      </c>
      <c r="D1073" s="194">
        <v>2</v>
      </c>
      <c r="E1073" s="189" t="s">
        <v>93</v>
      </c>
      <c r="F1073" s="187" t="s">
        <v>1654</v>
      </c>
      <c r="G1073" s="189" t="s">
        <v>202</v>
      </c>
      <c r="H1073" s="188">
        <v>42115</v>
      </c>
      <c r="I1073" s="189" t="s">
        <v>187</v>
      </c>
      <c r="J1073" s="189" t="s">
        <v>103</v>
      </c>
      <c r="K1073" s="187" t="s">
        <v>3930</v>
      </c>
      <c r="L1073" s="188">
        <v>42115</v>
      </c>
      <c r="M1073" s="187" t="s">
        <v>1914</v>
      </c>
      <c r="N1073" s="190" t="s">
        <v>185</v>
      </c>
      <c r="O1073" s="188">
        <v>42115</v>
      </c>
      <c r="P1073" s="191">
        <f t="shared" si="696"/>
        <v>1</v>
      </c>
      <c r="Q1073" s="187" t="s">
        <v>3930</v>
      </c>
      <c r="R1073" s="190" t="s">
        <v>17</v>
      </c>
      <c r="S1073" s="187" t="s">
        <v>3931</v>
      </c>
      <c r="T1073" s="187">
        <v>1102600424</v>
      </c>
      <c r="U1073" s="195">
        <v>42116</v>
      </c>
      <c r="V1073" s="190" t="s">
        <v>186</v>
      </c>
      <c r="W1073" s="192">
        <f t="shared" si="697"/>
        <v>0</v>
      </c>
      <c r="X1073" s="192" t="str">
        <f t="shared" si="699"/>
        <v>Correcto</v>
      </c>
    </row>
    <row r="1074" spans="1:24" ht="18" customHeight="1" x14ac:dyDescent="0.25">
      <c r="A1074" s="193">
        <v>1065</v>
      </c>
      <c r="B1074" s="187" t="s">
        <v>3932</v>
      </c>
      <c r="C1074" s="188">
        <v>42114</v>
      </c>
      <c r="D1074" s="194">
        <v>2</v>
      </c>
      <c r="E1074" s="189" t="s">
        <v>93</v>
      </c>
      <c r="F1074" s="187" t="s">
        <v>825</v>
      </c>
      <c r="G1074" s="189" t="s">
        <v>202</v>
      </c>
      <c r="H1074" s="188">
        <v>42129</v>
      </c>
      <c r="I1074" s="189" t="s">
        <v>187</v>
      </c>
      <c r="J1074" s="189" t="s">
        <v>103</v>
      </c>
      <c r="K1074" s="187" t="s">
        <v>3933</v>
      </c>
      <c r="L1074" s="188">
        <v>42129</v>
      </c>
      <c r="M1074" s="187" t="s">
        <v>1914</v>
      </c>
      <c r="N1074" s="190" t="s">
        <v>185</v>
      </c>
      <c r="O1074" s="188">
        <v>42129</v>
      </c>
      <c r="P1074" s="191">
        <f t="shared" si="696"/>
        <v>15</v>
      </c>
      <c r="Q1074" s="187" t="s">
        <v>3934</v>
      </c>
      <c r="R1074" s="190" t="s">
        <v>17</v>
      </c>
      <c r="S1074" s="187" t="s">
        <v>101</v>
      </c>
      <c r="T1074" s="187" t="s">
        <v>1442</v>
      </c>
      <c r="U1074" s="195">
        <v>42130</v>
      </c>
      <c r="V1074" s="190" t="s">
        <v>186</v>
      </c>
      <c r="W1074" s="192">
        <f t="shared" si="697"/>
        <v>0</v>
      </c>
      <c r="X1074" s="192" t="str">
        <f t="shared" si="699"/>
        <v>Correcto</v>
      </c>
    </row>
    <row r="1075" spans="1:24" ht="18" customHeight="1" x14ac:dyDescent="0.25">
      <c r="A1075" s="193">
        <v>1066</v>
      </c>
      <c r="B1075" s="187" t="s">
        <v>3935</v>
      </c>
      <c r="C1075" s="188">
        <v>42114</v>
      </c>
      <c r="D1075" s="194">
        <v>2</v>
      </c>
      <c r="E1075" s="189" t="s">
        <v>93</v>
      </c>
      <c r="F1075" s="187" t="s">
        <v>825</v>
      </c>
      <c r="G1075" s="189" t="s">
        <v>202</v>
      </c>
      <c r="H1075" s="188">
        <v>42129</v>
      </c>
      <c r="I1075" s="189" t="s">
        <v>187</v>
      </c>
      <c r="J1075" s="189" t="s">
        <v>103</v>
      </c>
      <c r="K1075" s="187" t="s">
        <v>3936</v>
      </c>
      <c r="L1075" s="188">
        <v>42129</v>
      </c>
      <c r="M1075" s="187" t="s">
        <v>1914</v>
      </c>
      <c r="N1075" s="190" t="s">
        <v>185</v>
      </c>
      <c r="O1075" s="188">
        <v>42129</v>
      </c>
      <c r="P1075" s="191">
        <f t="shared" si="696"/>
        <v>15</v>
      </c>
      <c r="Q1075" s="187" t="s">
        <v>3937</v>
      </c>
      <c r="R1075" s="190" t="s">
        <v>605</v>
      </c>
      <c r="S1075" s="187" t="s">
        <v>3938</v>
      </c>
      <c r="T1075" s="187" t="s">
        <v>3939</v>
      </c>
      <c r="U1075" s="195">
        <v>42129</v>
      </c>
      <c r="V1075" s="190" t="s">
        <v>186</v>
      </c>
      <c r="W1075" s="192">
        <f t="shared" si="697"/>
        <v>0</v>
      </c>
      <c r="X1075" s="192" t="str">
        <f t="shared" si="699"/>
        <v>Correcto</v>
      </c>
    </row>
    <row r="1076" spans="1:24" ht="18" customHeight="1" x14ac:dyDescent="0.25">
      <c r="A1076" s="193">
        <v>1067</v>
      </c>
      <c r="B1076" s="187" t="s">
        <v>3940</v>
      </c>
      <c r="C1076" s="188">
        <v>42114</v>
      </c>
      <c r="D1076" s="194">
        <v>16</v>
      </c>
      <c r="E1076" s="189" t="s">
        <v>93</v>
      </c>
      <c r="F1076" s="187" t="s">
        <v>1654</v>
      </c>
      <c r="G1076" s="189" t="s">
        <v>202</v>
      </c>
      <c r="H1076" s="188">
        <v>42117</v>
      </c>
      <c r="I1076" s="189" t="s">
        <v>187</v>
      </c>
      <c r="J1076" s="189" t="s">
        <v>103</v>
      </c>
      <c r="K1076" s="187" t="s">
        <v>3941</v>
      </c>
      <c r="L1076" s="188">
        <v>42117</v>
      </c>
      <c r="M1076" s="187" t="s">
        <v>1914</v>
      </c>
      <c r="N1076" s="190" t="s">
        <v>185</v>
      </c>
      <c r="O1076" s="188">
        <v>42117</v>
      </c>
      <c r="P1076" s="191">
        <f t="shared" si="696"/>
        <v>3</v>
      </c>
      <c r="Q1076" s="187" t="s">
        <v>3941</v>
      </c>
      <c r="R1076" s="190" t="s">
        <v>17</v>
      </c>
      <c r="S1076" s="187" t="s">
        <v>3942</v>
      </c>
      <c r="T1076" s="187">
        <v>1104956139</v>
      </c>
      <c r="U1076" s="195">
        <v>42117</v>
      </c>
      <c r="V1076" s="190" t="s">
        <v>186</v>
      </c>
      <c r="W1076" s="192">
        <f t="shared" si="697"/>
        <v>0</v>
      </c>
      <c r="X1076" s="192" t="str">
        <f t="shared" si="699"/>
        <v>Correcto</v>
      </c>
    </row>
    <row r="1077" spans="1:24" ht="18" customHeight="1" x14ac:dyDescent="0.25">
      <c r="A1077" s="193">
        <v>1068</v>
      </c>
      <c r="B1077" s="187" t="s">
        <v>3943</v>
      </c>
      <c r="C1077" s="188">
        <v>42114</v>
      </c>
      <c r="D1077" s="194">
        <v>2</v>
      </c>
      <c r="E1077" s="189" t="s">
        <v>93</v>
      </c>
      <c r="F1077" s="187" t="s">
        <v>825</v>
      </c>
      <c r="G1077" s="189" t="s">
        <v>202</v>
      </c>
      <c r="H1077" s="188">
        <v>42129</v>
      </c>
      <c r="I1077" s="189" t="s">
        <v>187</v>
      </c>
      <c r="J1077" s="189" t="s">
        <v>103</v>
      </c>
      <c r="K1077" s="187" t="s">
        <v>3944</v>
      </c>
      <c r="L1077" s="188">
        <v>42129</v>
      </c>
      <c r="M1077" s="187" t="s">
        <v>1914</v>
      </c>
      <c r="N1077" s="190" t="s">
        <v>185</v>
      </c>
      <c r="O1077" s="188">
        <v>42129</v>
      </c>
      <c r="P1077" s="191">
        <f t="shared" si="696"/>
        <v>15</v>
      </c>
      <c r="Q1077" s="187" t="s">
        <v>3945</v>
      </c>
      <c r="R1077" s="190" t="s">
        <v>17</v>
      </c>
      <c r="S1077" s="187" t="s">
        <v>101</v>
      </c>
      <c r="T1077" s="187" t="s">
        <v>953</v>
      </c>
      <c r="U1077" s="195">
        <v>42130</v>
      </c>
      <c r="V1077" s="190" t="s">
        <v>186</v>
      </c>
      <c r="W1077" s="192">
        <f t="shared" si="697"/>
        <v>0</v>
      </c>
      <c r="X1077" s="192" t="str">
        <f t="shared" si="699"/>
        <v>Correcto</v>
      </c>
    </row>
    <row r="1078" spans="1:24" ht="18" customHeight="1" x14ac:dyDescent="0.25">
      <c r="A1078" s="193">
        <v>1069</v>
      </c>
      <c r="B1078" s="187" t="s">
        <v>3946</v>
      </c>
      <c r="C1078" s="188">
        <v>42114</v>
      </c>
      <c r="D1078" s="194">
        <v>5</v>
      </c>
      <c r="E1078" s="189" t="s">
        <v>93</v>
      </c>
      <c r="F1078" s="187" t="s">
        <v>825</v>
      </c>
      <c r="G1078" s="189" t="s">
        <v>202</v>
      </c>
      <c r="H1078" s="188">
        <v>42117</v>
      </c>
      <c r="I1078" s="189" t="s">
        <v>187</v>
      </c>
      <c r="J1078" s="189" t="s">
        <v>103</v>
      </c>
      <c r="K1078" s="187" t="s">
        <v>3947</v>
      </c>
      <c r="L1078" s="188">
        <v>42117</v>
      </c>
      <c r="M1078" s="187" t="s">
        <v>1914</v>
      </c>
      <c r="N1078" s="190" t="s">
        <v>185</v>
      </c>
      <c r="O1078" s="188">
        <v>42117</v>
      </c>
      <c r="P1078" s="191">
        <f t="shared" si="696"/>
        <v>3</v>
      </c>
      <c r="Q1078" s="187" t="s">
        <v>3948</v>
      </c>
      <c r="R1078" s="190" t="s">
        <v>2438</v>
      </c>
      <c r="S1078" s="187" t="s">
        <v>101</v>
      </c>
      <c r="T1078" s="187" t="s">
        <v>3949</v>
      </c>
      <c r="U1078" s="195">
        <v>41753</v>
      </c>
      <c r="V1078" s="190" t="s">
        <v>186</v>
      </c>
      <c r="W1078" s="192">
        <f t="shared" si="697"/>
        <v>0</v>
      </c>
      <c r="X1078" s="192" t="str">
        <f t="shared" si="699"/>
        <v>Correcto</v>
      </c>
    </row>
    <row r="1079" spans="1:24" ht="18" customHeight="1" x14ac:dyDescent="0.25">
      <c r="A1079" s="193">
        <v>1070</v>
      </c>
      <c r="B1079" s="187" t="s">
        <v>3950</v>
      </c>
      <c r="C1079" s="188">
        <v>42114</v>
      </c>
      <c r="D1079" s="194">
        <v>5</v>
      </c>
      <c r="E1079" s="189" t="s">
        <v>93</v>
      </c>
      <c r="F1079" s="187" t="s">
        <v>825</v>
      </c>
      <c r="G1079" s="189" t="s">
        <v>202</v>
      </c>
      <c r="H1079" s="188">
        <v>42117</v>
      </c>
      <c r="I1079" s="189" t="s">
        <v>187</v>
      </c>
      <c r="J1079" s="189" t="s">
        <v>103</v>
      </c>
      <c r="K1079" s="187" t="s">
        <v>3951</v>
      </c>
      <c r="L1079" s="188">
        <v>42117</v>
      </c>
      <c r="M1079" s="187" t="s">
        <v>1914</v>
      </c>
      <c r="N1079" s="190" t="s">
        <v>185</v>
      </c>
      <c r="O1079" s="188">
        <v>42118</v>
      </c>
      <c r="P1079" s="191">
        <f t="shared" si="696"/>
        <v>4</v>
      </c>
      <c r="Q1079" s="187" t="s">
        <v>3952</v>
      </c>
      <c r="R1079" s="190" t="s">
        <v>2438</v>
      </c>
      <c r="S1079" s="187" t="s">
        <v>101</v>
      </c>
      <c r="T1079" s="187" t="s">
        <v>3949</v>
      </c>
      <c r="U1079" s="195">
        <v>42118</v>
      </c>
      <c r="V1079" s="190" t="s">
        <v>186</v>
      </c>
      <c r="W1079" s="192">
        <f t="shared" si="697"/>
        <v>0</v>
      </c>
      <c r="X1079" s="192" t="str">
        <f t="shared" si="699"/>
        <v>Correcto</v>
      </c>
    </row>
    <row r="1080" spans="1:24" ht="18" customHeight="1" x14ac:dyDescent="0.25">
      <c r="A1080" s="193">
        <v>1071</v>
      </c>
      <c r="B1080" s="187" t="s">
        <v>3953</v>
      </c>
      <c r="C1080" s="188">
        <v>42114</v>
      </c>
      <c r="D1080" s="194">
        <v>3</v>
      </c>
      <c r="E1080" s="189" t="s">
        <v>93</v>
      </c>
      <c r="F1080" s="187" t="s">
        <v>1654</v>
      </c>
      <c r="G1080" s="189" t="s">
        <v>202</v>
      </c>
      <c r="H1080" s="188">
        <v>42115</v>
      </c>
      <c r="I1080" s="189" t="s">
        <v>187</v>
      </c>
      <c r="J1080" s="189" t="s">
        <v>103</v>
      </c>
      <c r="K1080" s="187" t="s">
        <v>3954</v>
      </c>
      <c r="L1080" s="188">
        <v>42115</v>
      </c>
      <c r="M1080" s="187" t="s">
        <v>1914</v>
      </c>
      <c r="N1080" s="190" t="s">
        <v>185</v>
      </c>
      <c r="O1080" s="188">
        <v>42115</v>
      </c>
      <c r="P1080" s="191">
        <f t="shared" si="696"/>
        <v>1</v>
      </c>
      <c r="Q1080" s="187" t="s">
        <v>3954</v>
      </c>
      <c r="R1080" s="190" t="s">
        <v>17</v>
      </c>
      <c r="S1080" s="187" t="s">
        <v>3955</v>
      </c>
      <c r="T1080" s="187">
        <v>1102941273</v>
      </c>
      <c r="U1080" s="195">
        <v>42116</v>
      </c>
      <c r="V1080" s="190" t="s">
        <v>186</v>
      </c>
      <c r="W1080" s="192">
        <f t="shared" si="697"/>
        <v>0</v>
      </c>
      <c r="X1080" s="192" t="str">
        <f t="shared" si="699"/>
        <v>Correcto</v>
      </c>
    </row>
    <row r="1081" spans="1:24" ht="18" customHeight="1" x14ac:dyDescent="0.25">
      <c r="A1081" s="193">
        <v>1072</v>
      </c>
      <c r="B1081" s="187" t="s">
        <v>3956</v>
      </c>
      <c r="C1081" s="188">
        <v>42114</v>
      </c>
      <c r="D1081" s="194">
        <v>2</v>
      </c>
      <c r="E1081" s="189" t="s">
        <v>93</v>
      </c>
      <c r="F1081" s="187" t="s">
        <v>1654</v>
      </c>
      <c r="G1081" s="189" t="s">
        <v>202</v>
      </c>
      <c r="H1081" s="188">
        <v>42115</v>
      </c>
      <c r="I1081" s="189" t="s">
        <v>187</v>
      </c>
      <c r="J1081" s="189" t="s">
        <v>103</v>
      </c>
      <c r="K1081" s="187" t="s">
        <v>3957</v>
      </c>
      <c r="L1081" s="188">
        <v>42115</v>
      </c>
      <c r="M1081" s="187" t="s">
        <v>1914</v>
      </c>
      <c r="N1081" s="190" t="s">
        <v>185</v>
      </c>
      <c r="O1081" s="188">
        <v>42115</v>
      </c>
      <c r="P1081" s="191">
        <f t="shared" si="696"/>
        <v>1</v>
      </c>
      <c r="Q1081" s="187" t="s">
        <v>3957</v>
      </c>
      <c r="R1081" s="190" t="s">
        <v>17</v>
      </c>
      <c r="S1081" s="187" t="s">
        <v>2663</v>
      </c>
      <c r="T1081" s="187">
        <v>1104989478</v>
      </c>
      <c r="U1081" s="195">
        <v>42116</v>
      </c>
      <c r="V1081" s="190" t="s">
        <v>186</v>
      </c>
      <c r="W1081" s="192">
        <f t="shared" si="697"/>
        <v>0</v>
      </c>
      <c r="X1081" s="192" t="str">
        <f t="shared" si="699"/>
        <v>Correcto</v>
      </c>
    </row>
    <row r="1082" spans="1:24" ht="18" customHeight="1" x14ac:dyDescent="0.25">
      <c r="A1082" s="193">
        <v>1073</v>
      </c>
      <c r="B1082" s="187" t="s">
        <v>3958</v>
      </c>
      <c r="C1082" s="188">
        <v>42114</v>
      </c>
      <c r="D1082" s="194">
        <v>2</v>
      </c>
      <c r="E1082" s="189" t="s">
        <v>93</v>
      </c>
      <c r="F1082" s="187" t="s">
        <v>825</v>
      </c>
      <c r="G1082" s="189" t="s">
        <v>202</v>
      </c>
      <c r="H1082" s="187"/>
      <c r="I1082" s="189" t="s">
        <v>187</v>
      </c>
      <c r="J1082" s="189" t="s">
        <v>103</v>
      </c>
      <c r="K1082" s="187"/>
      <c r="L1082" s="187"/>
      <c r="M1082" s="187" t="s">
        <v>1914</v>
      </c>
      <c r="N1082" s="190" t="s">
        <v>185</v>
      </c>
      <c r="O1082" s="188">
        <v>42117</v>
      </c>
      <c r="P1082" s="191">
        <f t="shared" ref="P1082:P1145" si="700">O1082-C1082</f>
        <v>3</v>
      </c>
      <c r="Q1082" s="187" t="s">
        <v>3959</v>
      </c>
      <c r="R1082" s="190" t="s">
        <v>17</v>
      </c>
      <c r="S1082" s="187" t="s">
        <v>101</v>
      </c>
      <c r="T1082" s="187" t="s">
        <v>1286</v>
      </c>
      <c r="U1082" s="195">
        <v>42122</v>
      </c>
      <c r="V1082" s="190" t="s">
        <v>186</v>
      </c>
      <c r="W1082" s="192">
        <f t="shared" si="697"/>
        <v>3</v>
      </c>
      <c r="X1082" s="192" t="str">
        <f t="shared" si="699"/>
        <v>Incorrecto</v>
      </c>
    </row>
    <row r="1083" spans="1:24" ht="18" customHeight="1" x14ac:dyDescent="0.25">
      <c r="A1083" s="193">
        <v>1074</v>
      </c>
      <c r="B1083" s="187" t="s">
        <v>3960</v>
      </c>
      <c r="C1083" s="188">
        <v>42114</v>
      </c>
      <c r="D1083" s="194">
        <v>2</v>
      </c>
      <c r="E1083" s="189" t="s">
        <v>93</v>
      </c>
      <c r="F1083" s="187" t="s">
        <v>825</v>
      </c>
      <c r="G1083" s="189" t="s">
        <v>202</v>
      </c>
      <c r="H1083" s="188">
        <v>42115</v>
      </c>
      <c r="I1083" s="189" t="s">
        <v>187</v>
      </c>
      <c r="J1083" s="189" t="s">
        <v>103</v>
      </c>
      <c r="K1083" s="187" t="s">
        <v>3961</v>
      </c>
      <c r="L1083" s="188">
        <v>42115</v>
      </c>
      <c r="M1083" s="187" t="s">
        <v>1914</v>
      </c>
      <c r="N1083" s="190" t="s">
        <v>185</v>
      </c>
      <c r="O1083" s="188">
        <v>42116</v>
      </c>
      <c r="P1083" s="191">
        <f t="shared" si="700"/>
        <v>2</v>
      </c>
      <c r="Q1083" s="187" t="s">
        <v>3962</v>
      </c>
      <c r="R1083" s="190" t="s">
        <v>2438</v>
      </c>
      <c r="S1083" s="187" t="s">
        <v>101</v>
      </c>
      <c r="T1083" s="187" t="s">
        <v>3963</v>
      </c>
      <c r="U1083" s="195">
        <v>42116</v>
      </c>
      <c r="V1083" s="190" t="s">
        <v>186</v>
      </c>
      <c r="W1083" s="192">
        <f t="shared" si="697"/>
        <v>0</v>
      </c>
      <c r="X1083" s="192" t="str">
        <f t="shared" si="699"/>
        <v>Correcto</v>
      </c>
    </row>
    <row r="1084" spans="1:24" ht="18" customHeight="1" x14ac:dyDescent="0.25">
      <c r="A1084" s="193">
        <v>1075</v>
      </c>
      <c r="B1084" s="187" t="s">
        <v>3964</v>
      </c>
      <c r="C1084" s="188">
        <v>42114</v>
      </c>
      <c r="D1084" s="194">
        <v>2</v>
      </c>
      <c r="E1084" s="189" t="s">
        <v>93</v>
      </c>
      <c r="F1084" s="187" t="s">
        <v>825</v>
      </c>
      <c r="G1084" s="189" t="s">
        <v>202</v>
      </c>
      <c r="H1084" s="188">
        <v>42115</v>
      </c>
      <c r="I1084" s="189" t="s">
        <v>187</v>
      </c>
      <c r="J1084" s="189" t="s">
        <v>103</v>
      </c>
      <c r="K1084" s="187" t="s">
        <v>3965</v>
      </c>
      <c r="L1084" s="188">
        <v>42115</v>
      </c>
      <c r="M1084" s="187" t="s">
        <v>1914</v>
      </c>
      <c r="N1084" s="190" t="s">
        <v>185</v>
      </c>
      <c r="O1084" s="188">
        <v>42116</v>
      </c>
      <c r="P1084" s="191">
        <f t="shared" si="700"/>
        <v>2</v>
      </c>
      <c r="Q1084" s="187" t="s">
        <v>3966</v>
      </c>
      <c r="R1084" s="190" t="s">
        <v>2438</v>
      </c>
      <c r="S1084" s="187" t="s">
        <v>101</v>
      </c>
      <c r="T1084" s="187" t="s">
        <v>3963</v>
      </c>
      <c r="U1084" s="195">
        <v>42116</v>
      </c>
      <c r="V1084" s="190" t="s">
        <v>186</v>
      </c>
      <c r="W1084" s="192">
        <f t="shared" si="697"/>
        <v>0</v>
      </c>
      <c r="X1084" s="192" t="str">
        <f t="shared" si="699"/>
        <v>Correcto</v>
      </c>
    </row>
    <row r="1085" spans="1:24" ht="18" customHeight="1" x14ac:dyDescent="0.25">
      <c r="A1085" s="193">
        <v>1076</v>
      </c>
      <c r="B1085" s="187" t="s">
        <v>3967</v>
      </c>
      <c r="C1085" s="188">
        <v>42114</v>
      </c>
      <c r="D1085" s="194">
        <v>2</v>
      </c>
      <c r="E1085" s="189" t="s">
        <v>93</v>
      </c>
      <c r="F1085" s="187" t="s">
        <v>825</v>
      </c>
      <c r="G1085" s="189" t="s">
        <v>202</v>
      </c>
      <c r="H1085" s="188">
        <v>42115</v>
      </c>
      <c r="I1085" s="189" t="s">
        <v>187</v>
      </c>
      <c r="J1085" s="189" t="s">
        <v>103</v>
      </c>
      <c r="K1085" s="187" t="s">
        <v>3968</v>
      </c>
      <c r="L1085" s="188">
        <v>42115</v>
      </c>
      <c r="M1085" s="187" t="s">
        <v>1914</v>
      </c>
      <c r="N1085" s="190" t="s">
        <v>185</v>
      </c>
      <c r="O1085" s="188">
        <v>42116</v>
      </c>
      <c r="P1085" s="191">
        <f t="shared" si="700"/>
        <v>2</v>
      </c>
      <c r="Q1085" s="187" t="s">
        <v>3969</v>
      </c>
      <c r="R1085" s="190" t="s">
        <v>2438</v>
      </c>
      <c r="S1085" s="187" t="s">
        <v>101</v>
      </c>
      <c r="T1085" s="187" t="s">
        <v>3963</v>
      </c>
      <c r="U1085" s="195">
        <v>42116</v>
      </c>
      <c r="V1085" s="190" t="s">
        <v>186</v>
      </c>
      <c r="W1085" s="192">
        <f t="shared" si="697"/>
        <v>0</v>
      </c>
      <c r="X1085" s="192" t="str">
        <f t="shared" si="699"/>
        <v>Correcto</v>
      </c>
    </row>
    <row r="1086" spans="1:24" ht="18" customHeight="1" x14ac:dyDescent="0.25">
      <c r="A1086" s="193">
        <v>1077</v>
      </c>
      <c r="B1086" s="187" t="s">
        <v>3970</v>
      </c>
      <c r="C1086" s="188">
        <v>42114</v>
      </c>
      <c r="D1086" s="194">
        <v>2</v>
      </c>
      <c r="E1086" s="189" t="s">
        <v>93</v>
      </c>
      <c r="F1086" s="187" t="s">
        <v>825</v>
      </c>
      <c r="G1086" s="189" t="s">
        <v>202</v>
      </c>
      <c r="H1086" s="188">
        <v>42115</v>
      </c>
      <c r="I1086" s="189" t="s">
        <v>187</v>
      </c>
      <c r="J1086" s="189" t="s">
        <v>103</v>
      </c>
      <c r="K1086" s="187" t="s">
        <v>3971</v>
      </c>
      <c r="L1086" s="188">
        <v>42115</v>
      </c>
      <c r="M1086" s="187" t="s">
        <v>1914</v>
      </c>
      <c r="N1086" s="190" t="s">
        <v>185</v>
      </c>
      <c r="O1086" s="188">
        <v>42116</v>
      </c>
      <c r="P1086" s="191">
        <f t="shared" si="700"/>
        <v>2</v>
      </c>
      <c r="Q1086" s="187" t="s">
        <v>3972</v>
      </c>
      <c r="R1086" s="190" t="s">
        <v>2438</v>
      </c>
      <c r="S1086" s="187" t="s">
        <v>101</v>
      </c>
      <c r="T1086" s="187" t="s">
        <v>3963</v>
      </c>
      <c r="U1086" s="195">
        <v>42116</v>
      </c>
      <c r="V1086" s="190" t="s">
        <v>186</v>
      </c>
      <c r="W1086" s="192">
        <f t="shared" si="697"/>
        <v>0</v>
      </c>
      <c r="X1086" s="192" t="str">
        <f t="shared" si="699"/>
        <v>Correcto</v>
      </c>
    </row>
    <row r="1087" spans="1:24" ht="18" customHeight="1" x14ac:dyDescent="0.25">
      <c r="A1087" s="193">
        <v>1078</v>
      </c>
      <c r="B1087" s="187" t="s">
        <v>3973</v>
      </c>
      <c r="C1087" s="188">
        <v>42114</v>
      </c>
      <c r="D1087" s="194">
        <v>2</v>
      </c>
      <c r="E1087" s="189" t="s">
        <v>93</v>
      </c>
      <c r="F1087" s="187" t="s">
        <v>825</v>
      </c>
      <c r="G1087" s="189" t="s">
        <v>202</v>
      </c>
      <c r="H1087" s="188">
        <v>42115</v>
      </c>
      <c r="I1087" s="189" t="s">
        <v>187</v>
      </c>
      <c r="J1087" s="189" t="s">
        <v>103</v>
      </c>
      <c r="K1087" s="187" t="s">
        <v>3974</v>
      </c>
      <c r="L1087" s="188">
        <v>42115</v>
      </c>
      <c r="M1087" s="187" t="s">
        <v>1914</v>
      </c>
      <c r="N1087" s="190" t="s">
        <v>185</v>
      </c>
      <c r="O1087" s="188">
        <v>42116</v>
      </c>
      <c r="P1087" s="191">
        <f t="shared" si="700"/>
        <v>2</v>
      </c>
      <c r="Q1087" s="187" t="s">
        <v>3975</v>
      </c>
      <c r="R1087" s="190" t="s">
        <v>2438</v>
      </c>
      <c r="S1087" s="187" t="s">
        <v>101</v>
      </c>
      <c r="T1087" s="187" t="s">
        <v>3963</v>
      </c>
      <c r="U1087" s="195">
        <v>42116</v>
      </c>
      <c r="V1087" s="190" t="s">
        <v>186</v>
      </c>
      <c r="W1087" s="192">
        <f t="shared" si="697"/>
        <v>0</v>
      </c>
      <c r="X1087" s="192" t="str">
        <f t="shared" si="699"/>
        <v>Correcto</v>
      </c>
    </row>
    <row r="1088" spans="1:24" ht="18" customHeight="1" x14ac:dyDescent="0.25">
      <c r="A1088" s="193">
        <v>1079</v>
      </c>
      <c r="B1088" s="187" t="s">
        <v>3976</v>
      </c>
      <c r="C1088" s="188">
        <v>42114</v>
      </c>
      <c r="D1088" s="194">
        <v>2</v>
      </c>
      <c r="E1088" s="189" t="s">
        <v>93</v>
      </c>
      <c r="F1088" s="187" t="s">
        <v>1654</v>
      </c>
      <c r="G1088" s="189" t="s">
        <v>202</v>
      </c>
      <c r="H1088" s="188">
        <v>42115</v>
      </c>
      <c r="I1088" s="189" t="s">
        <v>187</v>
      </c>
      <c r="J1088" s="189" t="s">
        <v>103</v>
      </c>
      <c r="K1088" s="187" t="s">
        <v>3977</v>
      </c>
      <c r="L1088" s="188">
        <v>42115</v>
      </c>
      <c r="M1088" s="187" t="s">
        <v>1914</v>
      </c>
      <c r="N1088" s="190" t="s">
        <v>185</v>
      </c>
      <c r="O1088" s="188">
        <v>42115</v>
      </c>
      <c r="P1088" s="191">
        <f t="shared" si="700"/>
        <v>1</v>
      </c>
      <c r="Q1088" s="187" t="s">
        <v>3977</v>
      </c>
      <c r="R1088" s="190" t="s">
        <v>17</v>
      </c>
      <c r="S1088" s="187" t="s">
        <v>3978</v>
      </c>
      <c r="T1088" s="187">
        <v>1106091257</v>
      </c>
      <c r="U1088" s="195">
        <v>42116</v>
      </c>
      <c r="V1088" s="190" t="s">
        <v>186</v>
      </c>
      <c r="W1088" s="192">
        <f t="shared" si="697"/>
        <v>0</v>
      </c>
      <c r="X1088" s="192" t="str">
        <f t="shared" si="699"/>
        <v>Correcto</v>
      </c>
    </row>
    <row r="1089" spans="1:24" ht="18" customHeight="1" x14ac:dyDescent="0.25">
      <c r="A1089" s="193">
        <v>1080</v>
      </c>
      <c r="B1089" s="187" t="s">
        <v>3979</v>
      </c>
      <c r="C1089" s="188">
        <v>42114</v>
      </c>
      <c r="D1089" s="194">
        <v>2</v>
      </c>
      <c r="E1089" s="189" t="s">
        <v>93</v>
      </c>
      <c r="F1089" s="187" t="s">
        <v>1654</v>
      </c>
      <c r="G1089" s="189" t="s">
        <v>202</v>
      </c>
      <c r="H1089" s="188">
        <v>42115</v>
      </c>
      <c r="I1089" s="189" t="s">
        <v>187</v>
      </c>
      <c r="J1089" s="189" t="s">
        <v>103</v>
      </c>
      <c r="K1089" s="187" t="s">
        <v>3980</v>
      </c>
      <c r="L1089" s="188">
        <v>42115</v>
      </c>
      <c r="M1089" s="187" t="s">
        <v>1914</v>
      </c>
      <c r="N1089" s="190" t="s">
        <v>185</v>
      </c>
      <c r="O1089" s="188">
        <v>42115</v>
      </c>
      <c r="P1089" s="191">
        <f t="shared" si="700"/>
        <v>1</v>
      </c>
      <c r="Q1089" s="187" t="s">
        <v>3980</v>
      </c>
      <c r="R1089" s="190" t="s">
        <v>17</v>
      </c>
      <c r="S1089" s="187" t="s">
        <v>3981</v>
      </c>
      <c r="T1089" s="187">
        <v>1103768402</v>
      </c>
      <c r="U1089" s="195">
        <v>42116</v>
      </c>
      <c r="V1089" s="190" t="s">
        <v>186</v>
      </c>
      <c r="W1089" s="192">
        <f t="shared" si="697"/>
        <v>0</v>
      </c>
      <c r="X1089" s="192" t="str">
        <f t="shared" si="699"/>
        <v>Correcto</v>
      </c>
    </row>
    <row r="1090" spans="1:24" ht="18" customHeight="1" x14ac:dyDescent="0.25">
      <c r="A1090" s="193">
        <v>1081</v>
      </c>
      <c r="B1090" s="187" t="s">
        <v>3982</v>
      </c>
      <c r="C1090" s="188">
        <v>42114</v>
      </c>
      <c r="D1090" s="194">
        <v>18</v>
      </c>
      <c r="E1090" s="189" t="s">
        <v>93</v>
      </c>
      <c r="F1090" s="187" t="s">
        <v>825</v>
      </c>
      <c r="G1090" s="189" t="s">
        <v>202</v>
      </c>
      <c r="H1090" s="188">
        <v>42115</v>
      </c>
      <c r="I1090" s="189" t="s">
        <v>187</v>
      </c>
      <c r="J1090" s="189" t="s">
        <v>103</v>
      </c>
      <c r="K1090" s="187" t="s">
        <v>3983</v>
      </c>
      <c r="L1090" s="188">
        <v>42115</v>
      </c>
      <c r="M1090" s="187" t="s">
        <v>1914</v>
      </c>
      <c r="N1090" s="190" t="s">
        <v>185</v>
      </c>
      <c r="O1090" s="188">
        <v>42116</v>
      </c>
      <c r="P1090" s="191">
        <f t="shared" si="700"/>
        <v>2</v>
      </c>
      <c r="Q1090" s="187" t="s">
        <v>3984</v>
      </c>
      <c r="R1090" s="190" t="s">
        <v>17</v>
      </c>
      <c r="S1090" s="187" t="s">
        <v>101</v>
      </c>
      <c r="T1090" s="187" t="s">
        <v>1286</v>
      </c>
      <c r="U1090" s="195">
        <v>42122</v>
      </c>
      <c r="V1090" s="190" t="s">
        <v>186</v>
      </c>
      <c r="W1090" s="192">
        <f t="shared" si="697"/>
        <v>0</v>
      </c>
      <c r="X1090" s="192" t="str">
        <f t="shared" si="699"/>
        <v>Correcto</v>
      </c>
    </row>
    <row r="1091" spans="1:24" ht="18" customHeight="1" x14ac:dyDescent="0.25">
      <c r="A1091" s="193">
        <v>1082</v>
      </c>
      <c r="B1091" s="187" t="s">
        <v>3985</v>
      </c>
      <c r="C1091" s="188">
        <v>42114</v>
      </c>
      <c r="D1091" s="194">
        <v>8</v>
      </c>
      <c r="E1091" s="189" t="s">
        <v>93</v>
      </c>
      <c r="F1091" s="187" t="s">
        <v>825</v>
      </c>
      <c r="G1091" s="189" t="s">
        <v>202</v>
      </c>
      <c r="H1091" s="188">
        <v>42121</v>
      </c>
      <c r="I1091" s="189" t="s">
        <v>187</v>
      </c>
      <c r="J1091" s="189" t="s">
        <v>103</v>
      </c>
      <c r="K1091" s="187" t="s">
        <v>3986</v>
      </c>
      <c r="L1091" s="188">
        <v>42121</v>
      </c>
      <c r="M1091" s="187" t="s">
        <v>1914</v>
      </c>
      <c r="N1091" s="190" t="s">
        <v>185</v>
      </c>
      <c r="O1091" s="188">
        <v>42121</v>
      </c>
      <c r="P1091" s="191">
        <f t="shared" si="700"/>
        <v>7</v>
      </c>
      <c r="Q1091" s="187" t="s">
        <v>3987</v>
      </c>
      <c r="R1091" s="190" t="s">
        <v>17</v>
      </c>
      <c r="S1091" s="187" t="s">
        <v>101</v>
      </c>
      <c r="T1091" s="187" t="s">
        <v>1024</v>
      </c>
      <c r="U1091" s="195">
        <v>42122</v>
      </c>
      <c r="V1091" s="190" t="s">
        <v>186</v>
      </c>
      <c r="W1091" s="192">
        <f t="shared" si="697"/>
        <v>0</v>
      </c>
      <c r="X1091" s="192" t="str">
        <f t="shared" si="699"/>
        <v>Correcto</v>
      </c>
    </row>
    <row r="1092" spans="1:24" ht="18" customHeight="1" x14ac:dyDescent="0.25">
      <c r="A1092" s="193">
        <v>1083</v>
      </c>
      <c r="B1092" s="187" t="s">
        <v>3988</v>
      </c>
      <c r="C1092" s="188">
        <v>42114</v>
      </c>
      <c r="D1092" s="194">
        <v>2</v>
      </c>
      <c r="E1092" s="189" t="s">
        <v>93</v>
      </c>
      <c r="F1092" s="187" t="s">
        <v>825</v>
      </c>
      <c r="G1092" s="189" t="s">
        <v>202</v>
      </c>
      <c r="H1092" s="188">
        <v>42117</v>
      </c>
      <c r="I1092" s="189" t="s">
        <v>187</v>
      </c>
      <c r="J1092" s="189" t="s">
        <v>103</v>
      </c>
      <c r="K1092" s="187" t="s">
        <v>3989</v>
      </c>
      <c r="L1092" s="188">
        <v>42117</v>
      </c>
      <c r="M1092" s="187" t="s">
        <v>1914</v>
      </c>
      <c r="N1092" s="190" t="s">
        <v>185</v>
      </c>
      <c r="O1092" s="188">
        <v>42117</v>
      </c>
      <c r="P1092" s="191">
        <f t="shared" si="700"/>
        <v>3</v>
      </c>
      <c r="Q1092" s="187" t="s">
        <v>3990</v>
      </c>
      <c r="R1092" s="190" t="s">
        <v>17</v>
      </c>
      <c r="S1092" s="187" t="s">
        <v>101</v>
      </c>
      <c r="T1092" s="187" t="s">
        <v>1024</v>
      </c>
      <c r="U1092" s="195">
        <v>42122</v>
      </c>
      <c r="V1092" s="190" t="s">
        <v>186</v>
      </c>
      <c r="W1092" s="192">
        <f t="shared" si="697"/>
        <v>0</v>
      </c>
      <c r="X1092" s="192" t="str">
        <f t="shared" si="699"/>
        <v>Correcto</v>
      </c>
    </row>
    <row r="1093" spans="1:24" ht="18" customHeight="1" x14ac:dyDescent="0.25">
      <c r="A1093" s="193">
        <v>1084</v>
      </c>
      <c r="B1093" s="187" t="s">
        <v>3991</v>
      </c>
      <c r="C1093" s="188">
        <v>42114</v>
      </c>
      <c r="D1093" s="194">
        <v>2</v>
      </c>
      <c r="E1093" s="189" t="s">
        <v>93</v>
      </c>
      <c r="F1093" s="187" t="s">
        <v>825</v>
      </c>
      <c r="G1093" s="189" t="s">
        <v>202</v>
      </c>
      <c r="H1093" s="188">
        <v>42130</v>
      </c>
      <c r="I1093" s="189" t="s">
        <v>187</v>
      </c>
      <c r="J1093" s="189" t="s">
        <v>103</v>
      </c>
      <c r="K1093" s="187" t="s">
        <v>3992</v>
      </c>
      <c r="L1093" s="188">
        <v>42130</v>
      </c>
      <c r="M1093" s="187" t="s">
        <v>1914</v>
      </c>
      <c r="N1093" s="190" t="s">
        <v>185</v>
      </c>
      <c r="O1093" s="188">
        <v>42131</v>
      </c>
      <c r="P1093" s="191">
        <f t="shared" si="700"/>
        <v>17</v>
      </c>
      <c r="Q1093" s="187" t="s">
        <v>3993</v>
      </c>
      <c r="R1093" s="190" t="s">
        <v>1026</v>
      </c>
      <c r="S1093" s="187" t="s">
        <v>3994</v>
      </c>
      <c r="T1093" s="187" t="s">
        <v>3995</v>
      </c>
      <c r="U1093" s="195">
        <v>42132</v>
      </c>
      <c r="V1093" s="190" t="s">
        <v>186</v>
      </c>
      <c r="W1093" s="192">
        <f t="shared" si="697"/>
        <v>0</v>
      </c>
      <c r="X1093" s="192" t="str">
        <f t="shared" si="699"/>
        <v>Correcto</v>
      </c>
    </row>
    <row r="1094" spans="1:24" ht="18" customHeight="1" x14ac:dyDescent="0.25">
      <c r="A1094" s="193">
        <v>1085</v>
      </c>
      <c r="B1094" s="187" t="s">
        <v>3996</v>
      </c>
      <c r="C1094" s="188">
        <v>42114</v>
      </c>
      <c r="D1094" s="194">
        <v>2</v>
      </c>
      <c r="E1094" s="189" t="s">
        <v>93</v>
      </c>
      <c r="F1094" s="187" t="s">
        <v>825</v>
      </c>
      <c r="G1094" s="189" t="s">
        <v>202</v>
      </c>
      <c r="H1094" s="188">
        <v>42129</v>
      </c>
      <c r="I1094" s="189" t="s">
        <v>187</v>
      </c>
      <c r="J1094" s="189" t="s">
        <v>103</v>
      </c>
      <c r="K1094" s="187" t="s">
        <v>3997</v>
      </c>
      <c r="L1094" s="188">
        <v>42129</v>
      </c>
      <c r="M1094" s="187" t="s">
        <v>1914</v>
      </c>
      <c r="N1094" s="190" t="s">
        <v>185</v>
      </c>
      <c r="O1094" s="188">
        <v>42129</v>
      </c>
      <c r="P1094" s="191">
        <f t="shared" si="700"/>
        <v>15</v>
      </c>
      <c r="Q1094" s="187" t="s">
        <v>3998</v>
      </c>
      <c r="R1094" s="190" t="s">
        <v>17</v>
      </c>
      <c r="S1094" s="187" t="s">
        <v>101</v>
      </c>
      <c r="T1094" s="187" t="s">
        <v>1011</v>
      </c>
      <c r="U1094" s="195">
        <v>42130</v>
      </c>
      <c r="V1094" s="190" t="s">
        <v>186</v>
      </c>
      <c r="W1094" s="192">
        <f t="shared" si="697"/>
        <v>0</v>
      </c>
      <c r="X1094" s="192" t="str">
        <f t="shared" si="699"/>
        <v>Correcto</v>
      </c>
    </row>
    <row r="1095" spans="1:24" ht="18" customHeight="1" x14ac:dyDescent="0.25">
      <c r="A1095" s="193">
        <v>1086</v>
      </c>
      <c r="B1095" s="187" t="s">
        <v>3999</v>
      </c>
      <c r="C1095" s="188">
        <v>42114</v>
      </c>
      <c r="D1095" s="194">
        <v>2</v>
      </c>
      <c r="E1095" s="189" t="s">
        <v>93</v>
      </c>
      <c r="F1095" s="187" t="s">
        <v>1654</v>
      </c>
      <c r="G1095" s="189" t="s">
        <v>202</v>
      </c>
      <c r="H1095" s="188">
        <v>42116</v>
      </c>
      <c r="I1095" s="189" t="s">
        <v>187</v>
      </c>
      <c r="J1095" s="189" t="s">
        <v>103</v>
      </c>
      <c r="K1095" s="187" t="s">
        <v>4000</v>
      </c>
      <c r="L1095" s="188">
        <v>42116</v>
      </c>
      <c r="M1095" s="187" t="s">
        <v>1914</v>
      </c>
      <c r="N1095" s="190" t="s">
        <v>185</v>
      </c>
      <c r="O1095" s="188">
        <v>42116</v>
      </c>
      <c r="P1095" s="191">
        <f t="shared" si="700"/>
        <v>2</v>
      </c>
      <c r="Q1095" s="187" t="s">
        <v>4000</v>
      </c>
      <c r="R1095" s="190" t="s">
        <v>17</v>
      </c>
      <c r="S1095" s="187" t="s">
        <v>4001</v>
      </c>
      <c r="T1095" s="187">
        <v>1104083199</v>
      </c>
      <c r="U1095" s="195">
        <v>42116</v>
      </c>
      <c r="V1095" s="190" t="s">
        <v>186</v>
      </c>
      <c r="W1095" s="192">
        <f t="shared" si="697"/>
        <v>0</v>
      </c>
      <c r="X1095" s="192" t="str">
        <f t="shared" si="699"/>
        <v>Correcto</v>
      </c>
    </row>
    <row r="1096" spans="1:24" ht="18" customHeight="1" x14ac:dyDescent="0.25">
      <c r="A1096" s="193">
        <v>1087</v>
      </c>
      <c r="B1096" s="187" t="s">
        <v>4002</v>
      </c>
      <c r="C1096" s="188">
        <v>42115</v>
      </c>
      <c r="D1096" s="194">
        <v>2</v>
      </c>
      <c r="E1096" s="189" t="s">
        <v>93</v>
      </c>
      <c r="F1096" s="187" t="s">
        <v>1654</v>
      </c>
      <c r="G1096" s="189" t="s">
        <v>202</v>
      </c>
      <c r="H1096" s="188">
        <v>42128</v>
      </c>
      <c r="I1096" s="189" t="s">
        <v>187</v>
      </c>
      <c r="J1096" s="189" t="s">
        <v>103</v>
      </c>
      <c r="K1096" s="187" t="s">
        <v>4003</v>
      </c>
      <c r="L1096" s="188">
        <v>42128</v>
      </c>
      <c r="M1096" s="187" t="s">
        <v>1914</v>
      </c>
      <c r="N1096" s="190" t="s">
        <v>185</v>
      </c>
      <c r="O1096" s="188">
        <v>42128</v>
      </c>
      <c r="P1096" s="191">
        <f t="shared" si="700"/>
        <v>13</v>
      </c>
      <c r="Q1096" s="187" t="s">
        <v>4003</v>
      </c>
      <c r="R1096" s="190" t="s">
        <v>17</v>
      </c>
      <c r="S1096" s="187" t="s">
        <v>4004</v>
      </c>
      <c r="T1096" s="187">
        <v>1103317119</v>
      </c>
      <c r="U1096" s="195">
        <v>42130</v>
      </c>
      <c r="V1096" s="190" t="s">
        <v>186</v>
      </c>
      <c r="W1096" s="192">
        <f t="shared" si="697"/>
        <v>0</v>
      </c>
      <c r="X1096" s="192" t="str">
        <f t="shared" si="699"/>
        <v>Correcto</v>
      </c>
    </row>
    <row r="1097" spans="1:24" ht="18" customHeight="1" x14ac:dyDescent="0.25">
      <c r="A1097" s="193">
        <v>1088</v>
      </c>
      <c r="B1097" s="187" t="s">
        <v>4005</v>
      </c>
      <c r="C1097" s="188">
        <v>42115</v>
      </c>
      <c r="D1097" s="194">
        <v>6</v>
      </c>
      <c r="E1097" s="189" t="s">
        <v>93</v>
      </c>
      <c r="F1097" s="187" t="s">
        <v>1654</v>
      </c>
      <c r="G1097" s="189" t="s">
        <v>202</v>
      </c>
      <c r="H1097" s="188">
        <v>42117</v>
      </c>
      <c r="I1097" s="189" t="s">
        <v>187</v>
      </c>
      <c r="J1097" s="189" t="s">
        <v>103</v>
      </c>
      <c r="K1097" s="187" t="s">
        <v>4006</v>
      </c>
      <c r="L1097" s="188">
        <v>42117</v>
      </c>
      <c r="M1097" s="187" t="s">
        <v>1914</v>
      </c>
      <c r="N1097" s="190" t="s">
        <v>185</v>
      </c>
      <c r="O1097" s="188">
        <v>42117</v>
      </c>
      <c r="P1097" s="191">
        <f t="shared" si="700"/>
        <v>2</v>
      </c>
      <c r="Q1097" s="187" t="s">
        <v>4006</v>
      </c>
      <c r="R1097" s="190" t="s">
        <v>17</v>
      </c>
      <c r="S1097" s="187" t="s">
        <v>4007</v>
      </c>
      <c r="T1097" s="187">
        <v>110359325</v>
      </c>
      <c r="U1097" s="195">
        <v>42118</v>
      </c>
      <c r="V1097" s="190" t="s">
        <v>186</v>
      </c>
      <c r="W1097" s="192">
        <f t="shared" ref="W1097:W1160" si="701">COUNTBLANK(C1097:V1097)</f>
        <v>0</v>
      </c>
      <c r="X1097" s="192" t="str">
        <f t="shared" si="699"/>
        <v>Correcto</v>
      </c>
    </row>
    <row r="1098" spans="1:24" ht="18" customHeight="1" x14ac:dyDescent="0.25">
      <c r="A1098" s="193">
        <v>1089</v>
      </c>
      <c r="B1098" s="187" t="s">
        <v>4008</v>
      </c>
      <c r="C1098" s="188">
        <v>42115</v>
      </c>
      <c r="D1098" s="194">
        <v>2</v>
      </c>
      <c r="E1098" s="189" t="s">
        <v>93</v>
      </c>
      <c r="F1098" s="187" t="s">
        <v>825</v>
      </c>
      <c r="G1098" s="189" t="s">
        <v>202</v>
      </c>
      <c r="H1098" s="188">
        <v>42129</v>
      </c>
      <c r="I1098" s="189" t="s">
        <v>187</v>
      </c>
      <c r="J1098" s="189" t="s">
        <v>103</v>
      </c>
      <c r="K1098" s="187" t="s">
        <v>4009</v>
      </c>
      <c r="L1098" s="188">
        <v>42129</v>
      </c>
      <c r="M1098" s="187" t="s">
        <v>1914</v>
      </c>
      <c r="N1098" s="190" t="s">
        <v>185</v>
      </c>
      <c r="O1098" s="188">
        <v>42129</v>
      </c>
      <c r="P1098" s="191">
        <f t="shared" si="700"/>
        <v>14</v>
      </c>
      <c r="Q1098" s="187" t="s">
        <v>4010</v>
      </c>
      <c r="R1098" s="190" t="s">
        <v>17</v>
      </c>
      <c r="S1098" s="187" t="s">
        <v>101</v>
      </c>
      <c r="T1098" s="187" t="s">
        <v>1163</v>
      </c>
      <c r="U1098" s="195">
        <v>42130</v>
      </c>
      <c r="V1098" s="190" t="s">
        <v>186</v>
      </c>
      <c r="W1098" s="192">
        <f t="shared" si="701"/>
        <v>0</v>
      </c>
      <c r="X1098" s="192" t="str">
        <f t="shared" si="699"/>
        <v>Correcto</v>
      </c>
    </row>
    <row r="1099" spans="1:24" ht="18" customHeight="1" x14ac:dyDescent="0.25">
      <c r="A1099" s="193">
        <v>1090</v>
      </c>
      <c r="B1099" s="187" t="s">
        <v>4011</v>
      </c>
      <c r="C1099" s="188">
        <v>42115</v>
      </c>
      <c r="D1099" s="194">
        <v>2</v>
      </c>
      <c r="E1099" s="189" t="s">
        <v>93</v>
      </c>
      <c r="F1099" s="187" t="s">
        <v>825</v>
      </c>
      <c r="G1099" s="189" t="s">
        <v>202</v>
      </c>
      <c r="H1099" s="188">
        <v>42129</v>
      </c>
      <c r="I1099" s="189" t="s">
        <v>187</v>
      </c>
      <c r="J1099" s="189" t="s">
        <v>103</v>
      </c>
      <c r="K1099" s="187" t="s">
        <v>4012</v>
      </c>
      <c r="L1099" s="188">
        <v>42129</v>
      </c>
      <c r="M1099" s="187" t="s">
        <v>1914</v>
      </c>
      <c r="N1099" s="190" t="s">
        <v>185</v>
      </c>
      <c r="O1099" s="188">
        <v>42129</v>
      </c>
      <c r="P1099" s="191">
        <f t="shared" si="700"/>
        <v>14</v>
      </c>
      <c r="Q1099" s="187" t="s">
        <v>4013</v>
      </c>
      <c r="R1099" s="190" t="s">
        <v>17</v>
      </c>
      <c r="S1099" s="187" t="s">
        <v>101</v>
      </c>
      <c r="T1099" s="187" t="s">
        <v>1163</v>
      </c>
      <c r="U1099" s="195">
        <v>42130</v>
      </c>
      <c r="V1099" s="190" t="s">
        <v>186</v>
      </c>
      <c r="W1099" s="192">
        <f t="shared" si="701"/>
        <v>0</v>
      </c>
      <c r="X1099" s="192" t="str">
        <f t="shared" si="699"/>
        <v>Correcto</v>
      </c>
    </row>
    <row r="1100" spans="1:24" ht="18" customHeight="1" x14ac:dyDescent="0.25">
      <c r="A1100" s="193">
        <v>1091</v>
      </c>
      <c r="B1100" s="187" t="s">
        <v>4014</v>
      </c>
      <c r="C1100" s="188">
        <v>42115</v>
      </c>
      <c r="D1100" s="194">
        <v>2</v>
      </c>
      <c r="E1100" s="189" t="s">
        <v>93</v>
      </c>
      <c r="F1100" s="187" t="s">
        <v>1654</v>
      </c>
      <c r="G1100" s="189" t="s">
        <v>202</v>
      </c>
      <c r="H1100" s="188">
        <v>42128</v>
      </c>
      <c r="I1100" s="189" t="s">
        <v>187</v>
      </c>
      <c r="J1100" s="189" t="s">
        <v>103</v>
      </c>
      <c r="K1100" s="187" t="s">
        <v>4015</v>
      </c>
      <c r="L1100" s="188">
        <v>42128</v>
      </c>
      <c r="M1100" s="187" t="s">
        <v>1914</v>
      </c>
      <c r="N1100" s="190" t="s">
        <v>185</v>
      </c>
      <c r="O1100" s="188">
        <v>42128</v>
      </c>
      <c r="P1100" s="191">
        <f t="shared" si="700"/>
        <v>13</v>
      </c>
      <c r="Q1100" s="187" t="s">
        <v>4015</v>
      </c>
      <c r="R1100" s="190" t="s">
        <v>17</v>
      </c>
      <c r="S1100" s="187" t="s">
        <v>4016</v>
      </c>
      <c r="T1100" s="187">
        <v>750188534</v>
      </c>
      <c r="U1100" s="195">
        <v>42128</v>
      </c>
      <c r="V1100" s="190" t="s">
        <v>186</v>
      </c>
      <c r="W1100" s="192">
        <f t="shared" si="701"/>
        <v>0</v>
      </c>
      <c r="X1100" s="192" t="str">
        <f t="shared" si="699"/>
        <v>Correcto</v>
      </c>
    </row>
    <row r="1101" spans="1:24" ht="18" customHeight="1" x14ac:dyDescent="0.25">
      <c r="A1101" s="193">
        <v>1092</v>
      </c>
      <c r="B1101" s="187" t="s">
        <v>4017</v>
      </c>
      <c r="C1101" s="188">
        <v>42115</v>
      </c>
      <c r="D1101" s="194">
        <v>2</v>
      </c>
      <c r="E1101" s="189" t="s">
        <v>93</v>
      </c>
      <c r="F1101" s="187" t="s">
        <v>825</v>
      </c>
      <c r="G1101" s="189" t="s">
        <v>202</v>
      </c>
      <c r="H1101" s="188">
        <v>42129</v>
      </c>
      <c r="I1101" s="189" t="s">
        <v>187</v>
      </c>
      <c r="J1101" s="189" t="s">
        <v>103</v>
      </c>
      <c r="K1101" s="187" t="s">
        <v>4018</v>
      </c>
      <c r="L1101" s="188">
        <v>42129</v>
      </c>
      <c r="M1101" s="187" t="s">
        <v>1914</v>
      </c>
      <c r="N1101" s="190" t="s">
        <v>185</v>
      </c>
      <c r="O1101" s="188">
        <v>42129</v>
      </c>
      <c r="P1101" s="191">
        <f t="shared" si="700"/>
        <v>14</v>
      </c>
      <c r="Q1101" s="187" t="s">
        <v>4019</v>
      </c>
      <c r="R1101" s="190" t="s">
        <v>17</v>
      </c>
      <c r="S1101" s="187" t="s">
        <v>101</v>
      </c>
      <c r="T1101" s="187" t="s">
        <v>1017</v>
      </c>
      <c r="U1101" s="195">
        <v>42130</v>
      </c>
      <c r="V1101" s="190" t="s">
        <v>186</v>
      </c>
      <c r="W1101" s="192">
        <f t="shared" si="701"/>
        <v>0</v>
      </c>
      <c r="X1101" s="192" t="str">
        <f t="shared" si="699"/>
        <v>Correcto</v>
      </c>
    </row>
    <row r="1102" spans="1:24" ht="18" customHeight="1" x14ac:dyDescent="0.25">
      <c r="A1102" s="193">
        <v>1093</v>
      </c>
      <c r="B1102" s="187" t="s">
        <v>4020</v>
      </c>
      <c r="C1102" s="188">
        <v>42115</v>
      </c>
      <c r="D1102" s="194">
        <v>2</v>
      </c>
      <c r="E1102" s="189" t="s">
        <v>93</v>
      </c>
      <c r="F1102" s="187" t="s">
        <v>825</v>
      </c>
      <c r="G1102" s="189" t="s">
        <v>202</v>
      </c>
      <c r="H1102" s="188">
        <v>42129</v>
      </c>
      <c r="I1102" s="189" t="s">
        <v>187</v>
      </c>
      <c r="J1102" s="189" t="s">
        <v>103</v>
      </c>
      <c r="K1102" s="187" t="s">
        <v>4021</v>
      </c>
      <c r="L1102" s="188">
        <v>42129</v>
      </c>
      <c r="M1102" s="187" t="s">
        <v>1914</v>
      </c>
      <c r="N1102" s="190" t="s">
        <v>185</v>
      </c>
      <c r="O1102" s="188">
        <v>42129</v>
      </c>
      <c r="P1102" s="191">
        <f t="shared" si="700"/>
        <v>14</v>
      </c>
      <c r="Q1102" s="187" t="s">
        <v>4022</v>
      </c>
      <c r="R1102" s="190" t="s">
        <v>17</v>
      </c>
      <c r="S1102" s="187" t="s">
        <v>101</v>
      </c>
      <c r="T1102" s="187" t="s">
        <v>1017</v>
      </c>
      <c r="U1102" s="195">
        <v>42130</v>
      </c>
      <c r="V1102" s="190" t="s">
        <v>186</v>
      </c>
      <c r="W1102" s="192">
        <f t="shared" si="701"/>
        <v>0</v>
      </c>
      <c r="X1102" s="192" t="str">
        <f t="shared" si="699"/>
        <v>Correcto</v>
      </c>
    </row>
    <row r="1103" spans="1:24" ht="18" customHeight="1" x14ac:dyDescent="0.25">
      <c r="A1103" s="193">
        <v>1094</v>
      </c>
      <c r="B1103" s="187" t="s">
        <v>4023</v>
      </c>
      <c r="C1103" s="188">
        <v>42115</v>
      </c>
      <c r="D1103" s="194">
        <v>2</v>
      </c>
      <c r="E1103" s="189" t="s">
        <v>93</v>
      </c>
      <c r="F1103" s="187" t="s">
        <v>1654</v>
      </c>
      <c r="G1103" s="189" t="s">
        <v>202</v>
      </c>
      <c r="H1103" s="188">
        <v>42128</v>
      </c>
      <c r="I1103" s="189" t="s">
        <v>187</v>
      </c>
      <c r="J1103" s="189" t="s">
        <v>103</v>
      </c>
      <c r="K1103" s="187" t="s">
        <v>4024</v>
      </c>
      <c r="L1103" s="188">
        <v>42128</v>
      </c>
      <c r="M1103" s="187" t="s">
        <v>1914</v>
      </c>
      <c r="N1103" s="190" t="s">
        <v>185</v>
      </c>
      <c r="O1103" s="188">
        <v>42128</v>
      </c>
      <c r="P1103" s="191">
        <f t="shared" si="700"/>
        <v>13</v>
      </c>
      <c r="Q1103" s="187" t="s">
        <v>4024</v>
      </c>
      <c r="R1103" s="190" t="s">
        <v>17</v>
      </c>
      <c r="S1103" s="187" t="s">
        <v>4025</v>
      </c>
      <c r="T1103" s="187">
        <v>1104575046</v>
      </c>
      <c r="U1103" s="195">
        <v>42130</v>
      </c>
      <c r="V1103" s="190" t="s">
        <v>186</v>
      </c>
      <c r="W1103" s="192">
        <f t="shared" si="701"/>
        <v>0</v>
      </c>
      <c r="X1103" s="192" t="str">
        <f t="shared" si="699"/>
        <v>Correcto</v>
      </c>
    </row>
    <row r="1104" spans="1:24" ht="18" customHeight="1" x14ac:dyDescent="0.25">
      <c r="A1104" s="193">
        <v>1095</v>
      </c>
      <c r="B1104" s="187" t="s">
        <v>4026</v>
      </c>
      <c r="C1104" s="188">
        <v>42115</v>
      </c>
      <c r="D1104" s="194">
        <v>2</v>
      </c>
      <c r="E1104" s="189" t="s">
        <v>93</v>
      </c>
      <c r="F1104" s="187" t="s">
        <v>825</v>
      </c>
      <c r="G1104" s="189" t="s">
        <v>202</v>
      </c>
      <c r="H1104" s="188">
        <v>42129</v>
      </c>
      <c r="I1104" s="189" t="s">
        <v>187</v>
      </c>
      <c r="J1104" s="189" t="s">
        <v>103</v>
      </c>
      <c r="K1104" s="187" t="s">
        <v>4027</v>
      </c>
      <c r="L1104" s="188">
        <v>42129</v>
      </c>
      <c r="M1104" s="187" t="s">
        <v>1914</v>
      </c>
      <c r="N1104" s="190" t="s">
        <v>185</v>
      </c>
      <c r="O1104" s="188">
        <v>42129</v>
      </c>
      <c r="P1104" s="191">
        <f t="shared" si="700"/>
        <v>14</v>
      </c>
      <c r="Q1104" s="187" t="s">
        <v>4028</v>
      </c>
      <c r="R1104" s="190" t="s">
        <v>17</v>
      </c>
      <c r="S1104" s="187" t="s">
        <v>101</v>
      </c>
      <c r="T1104" s="187" t="s">
        <v>4029</v>
      </c>
      <c r="U1104" s="195">
        <v>42130</v>
      </c>
      <c r="V1104" s="190" t="s">
        <v>186</v>
      </c>
      <c r="W1104" s="192">
        <f t="shared" si="701"/>
        <v>0</v>
      </c>
      <c r="X1104" s="192" t="str">
        <f t="shared" si="699"/>
        <v>Correcto</v>
      </c>
    </row>
    <row r="1105" spans="1:24" ht="18" customHeight="1" x14ac:dyDescent="0.25">
      <c r="A1105" s="193">
        <v>1096</v>
      </c>
      <c r="B1105" s="187" t="s">
        <v>4030</v>
      </c>
      <c r="C1105" s="188">
        <v>42115</v>
      </c>
      <c r="D1105" s="194">
        <v>4</v>
      </c>
      <c r="E1105" s="189" t="s">
        <v>93</v>
      </c>
      <c r="F1105" s="187" t="s">
        <v>1654</v>
      </c>
      <c r="G1105" s="189" t="s">
        <v>202</v>
      </c>
      <c r="H1105" s="188">
        <v>42117</v>
      </c>
      <c r="I1105" s="189" t="s">
        <v>187</v>
      </c>
      <c r="J1105" s="189" t="s">
        <v>103</v>
      </c>
      <c r="K1105" s="187" t="s">
        <v>4031</v>
      </c>
      <c r="L1105" s="188">
        <v>42117</v>
      </c>
      <c r="M1105" s="187" t="s">
        <v>1914</v>
      </c>
      <c r="N1105" s="190" t="s">
        <v>185</v>
      </c>
      <c r="O1105" s="188">
        <v>42117</v>
      </c>
      <c r="P1105" s="191">
        <f t="shared" si="700"/>
        <v>2</v>
      </c>
      <c r="Q1105" s="187" t="s">
        <v>4031</v>
      </c>
      <c r="R1105" s="190" t="s">
        <v>17</v>
      </c>
      <c r="S1105" s="187" t="s">
        <v>4032</v>
      </c>
      <c r="T1105" s="187">
        <v>1101496840</v>
      </c>
      <c r="U1105" s="195">
        <v>42117</v>
      </c>
      <c r="V1105" s="190" t="s">
        <v>186</v>
      </c>
      <c r="W1105" s="192">
        <f t="shared" si="701"/>
        <v>0</v>
      </c>
      <c r="X1105" s="192" t="str">
        <f t="shared" si="699"/>
        <v>Correcto</v>
      </c>
    </row>
    <row r="1106" spans="1:24" ht="18" customHeight="1" x14ac:dyDescent="0.25">
      <c r="A1106" s="193">
        <v>1097</v>
      </c>
      <c r="B1106" s="187" t="s">
        <v>4033</v>
      </c>
      <c r="C1106" s="188">
        <v>42115</v>
      </c>
      <c r="D1106" s="194">
        <v>2</v>
      </c>
      <c r="E1106" s="189" t="s">
        <v>93</v>
      </c>
      <c r="F1106" s="187" t="s">
        <v>1654</v>
      </c>
      <c r="G1106" s="189" t="s">
        <v>202</v>
      </c>
      <c r="H1106" s="188">
        <v>42128</v>
      </c>
      <c r="I1106" s="189" t="s">
        <v>187</v>
      </c>
      <c r="J1106" s="189" t="s">
        <v>103</v>
      </c>
      <c r="K1106" s="187" t="s">
        <v>4034</v>
      </c>
      <c r="L1106" s="188">
        <v>42128</v>
      </c>
      <c r="M1106" s="187" t="s">
        <v>1914</v>
      </c>
      <c r="N1106" s="190" t="s">
        <v>185</v>
      </c>
      <c r="O1106" s="188">
        <v>42128</v>
      </c>
      <c r="P1106" s="191">
        <f t="shared" si="700"/>
        <v>13</v>
      </c>
      <c r="Q1106" s="187" t="s">
        <v>4034</v>
      </c>
      <c r="R1106" s="190" t="s">
        <v>17</v>
      </c>
      <c r="S1106" s="187" t="s">
        <v>4035</v>
      </c>
      <c r="T1106" s="187">
        <v>1150045571</v>
      </c>
      <c r="U1106" s="195">
        <v>42128</v>
      </c>
      <c r="V1106" s="190" t="s">
        <v>186</v>
      </c>
      <c r="W1106" s="192">
        <f t="shared" si="701"/>
        <v>0</v>
      </c>
      <c r="X1106" s="192" t="str">
        <f t="shared" si="699"/>
        <v>Correcto</v>
      </c>
    </row>
    <row r="1107" spans="1:24" ht="18" customHeight="1" x14ac:dyDescent="0.25">
      <c r="A1107" s="193">
        <v>1098</v>
      </c>
      <c r="B1107" s="187" t="s">
        <v>4036</v>
      </c>
      <c r="C1107" s="188">
        <v>42115</v>
      </c>
      <c r="D1107" s="194">
        <v>2</v>
      </c>
      <c r="E1107" s="189" t="s">
        <v>93</v>
      </c>
      <c r="F1107" s="187" t="s">
        <v>825</v>
      </c>
      <c r="G1107" s="189" t="s">
        <v>202</v>
      </c>
      <c r="H1107" s="188">
        <v>42129</v>
      </c>
      <c r="I1107" s="189" t="s">
        <v>187</v>
      </c>
      <c r="J1107" s="189" t="s">
        <v>103</v>
      </c>
      <c r="K1107" s="187" t="s">
        <v>4037</v>
      </c>
      <c r="L1107" s="188">
        <v>42129</v>
      </c>
      <c r="M1107" s="187" t="s">
        <v>1914</v>
      </c>
      <c r="N1107" s="190" t="s">
        <v>185</v>
      </c>
      <c r="O1107" s="188">
        <v>42129</v>
      </c>
      <c r="P1107" s="191">
        <f t="shared" si="700"/>
        <v>14</v>
      </c>
      <c r="Q1107" s="187" t="s">
        <v>4038</v>
      </c>
      <c r="R1107" s="190" t="s">
        <v>17</v>
      </c>
      <c r="S1107" s="187" t="s">
        <v>101</v>
      </c>
      <c r="T1107" s="187" t="s">
        <v>2314</v>
      </c>
      <c r="U1107" s="195">
        <v>42130</v>
      </c>
      <c r="V1107" s="190" t="s">
        <v>186</v>
      </c>
      <c r="W1107" s="192">
        <f t="shared" si="701"/>
        <v>0</v>
      </c>
      <c r="X1107" s="192" t="str">
        <f t="shared" si="699"/>
        <v>Correcto</v>
      </c>
    </row>
    <row r="1108" spans="1:24" ht="18" customHeight="1" x14ac:dyDescent="0.25">
      <c r="A1108" s="193">
        <v>1099</v>
      </c>
      <c r="B1108" s="187" t="s">
        <v>4039</v>
      </c>
      <c r="C1108" s="188">
        <v>42115</v>
      </c>
      <c r="D1108" s="194">
        <v>2</v>
      </c>
      <c r="E1108" s="189" t="s">
        <v>93</v>
      </c>
      <c r="F1108" s="187" t="s">
        <v>825</v>
      </c>
      <c r="G1108" s="189" t="s">
        <v>202</v>
      </c>
      <c r="H1108" s="188">
        <v>42129</v>
      </c>
      <c r="I1108" s="189" t="s">
        <v>187</v>
      </c>
      <c r="J1108" s="189" t="s">
        <v>103</v>
      </c>
      <c r="K1108" s="187" t="s">
        <v>4040</v>
      </c>
      <c r="L1108" s="188">
        <v>42129</v>
      </c>
      <c r="M1108" s="187" t="s">
        <v>1914</v>
      </c>
      <c r="N1108" s="190" t="s">
        <v>185</v>
      </c>
      <c r="O1108" s="188">
        <v>42129</v>
      </c>
      <c r="P1108" s="191">
        <f t="shared" si="700"/>
        <v>14</v>
      </c>
      <c r="Q1108" s="187" t="s">
        <v>4041</v>
      </c>
      <c r="R1108" s="190" t="s">
        <v>17</v>
      </c>
      <c r="S1108" s="187" t="s">
        <v>101</v>
      </c>
      <c r="T1108" s="187" t="s">
        <v>1007</v>
      </c>
      <c r="U1108" s="195">
        <v>42130</v>
      </c>
      <c r="V1108" s="190" t="s">
        <v>186</v>
      </c>
      <c r="W1108" s="192">
        <f t="shared" si="701"/>
        <v>0</v>
      </c>
      <c r="X1108" s="192" t="str">
        <f t="shared" si="699"/>
        <v>Correcto</v>
      </c>
    </row>
    <row r="1109" spans="1:24" ht="18" customHeight="1" x14ac:dyDescent="0.25">
      <c r="A1109" s="193">
        <v>1100</v>
      </c>
      <c r="B1109" s="187" t="s">
        <v>4042</v>
      </c>
      <c r="C1109" s="188">
        <v>42115</v>
      </c>
      <c r="D1109" s="194">
        <v>2</v>
      </c>
      <c r="E1109" s="189" t="s">
        <v>93</v>
      </c>
      <c r="F1109" s="187" t="s">
        <v>825</v>
      </c>
      <c r="G1109" s="189" t="s">
        <v>202</v>
      </c>
      <c r="H1109" s="188">
        <v>42130</v>
      </c>
      <c r="I1109" s="189" t="s">
        <v>187</v>
      </c>
      <c r="J1109" s="189" t="s">
        <v>103</v>
      </c>
      <c r="K1109" s="187" t="s">
        <v>4043</v>
      </c>
      <c r="L1109" s="188">
        <v>42130</v>
      </c>
      <c r="M1109" s="187" t="s">
        <v>1914</v>
      </c>
      <c r="N1109" s="190" t="s">
        <v>185</v>
      </c>
      <c r="O1109" s="188">
        <v>42131</v>
      </c>
      <c r="P1109" s="191">
        <f t="shared" si="700"/>
        <v>16</v>
      </c>
      <c r="Q1109" s="187" t="s">
        <v>4044</v>
      </c>
      <c r="R1109" s="190" t="s">
        <v>17</v>
      </c>
      <c r="S1109" s="187" t="s">
        <v>101</v>
      </c>
      <c r="T1109" s="187" t="s">
        <v>1017</v>
      </c>
      <c r="U1109" s="195">
        <v>42135</v>
      </c>
      <c r="V1109" s="190" t="s">
        <v>186</v>
      </c>
      <c r="W1109" s="192">
        <f t="shared" si="701"/>
        <v>0</v>
      </c>
      <c r="X1109" s="192" t="str">
        <f t="shared" si="699"/>
        <v>Correcto</v>
      </c>
    </row>
    <row r="1110" spans="1:24" ht="18" customHeight="1" x14ac:dyDescent="0.25">
      <c r="A1110" s="193">
        <v>1101</v>
      </c>
      <c r="B1110" s="187" t="s">
        <v>4045</v>
      </c>
      <c r="C1110" s="188">
        <v>42115</v>
      </c>
      <c r="D1110" s="194">
        <v>2</v>
      </c>
      <c r="E1110" s="189" t="s">
        <v>93</v>
      </c>
      <c r="F1110" s="187" t="s">
        <v>825</v>
      </c>
      <c r="G1110" s="189" t="s">
        <v>202</v>
      </c>
      <c r="H1110" s="188">
        <v>42129</v>
      </c>
      <c r="I1110" s="189" t="s">
        <v>187</v>
      </c>
      <c r="J1110" s="189" t="s">
        <v>103</v>
      </c>
      <c r="K1110" s="187" t="s">
        <v>4046</v>
      </c>
      <c r="L1110" s="188">
        <v>42129</v>
      </c>
      <c r="M1110" s="187" t="s">
        <v>1914</v>
      </c>
      <c r="N1110" s="190" t="s">
        <v>185</v>
      </c>
      <c r="O1110" s="188">
        <v>42129</v>
      </c>
      <c r="P1110" s="191">
        <f t="shared" si="700"/>
        <v>14</v>
      </c>
      <c r="Q1110" s="187" t="s">
        <v>6136</v>
      </c>
      <c r="R1110" s="190" t="s">
        <v>17</v>
      </c>
      <c r="S1110" s="187" t="s">
        <v>193</v>
      </c>
      <c r="T1110" s="187" t="s">
        <v>1007</v>
      </c>
      <c r="U1110" s="195">
        <v>42130</v>
      </c>
      <c r="V1110" s="190" t="s">
        <v>186</v>
      </c>
      <c r="W1110" s="192">
        <f t="shared" si="701"/>
        <v>0</v>
      </c>
      <c r="X1110" s="192" t="str">
        <f t="shared" ref="X1110:X1173" si="702">IF(W1110=0,"Correcto","Incorrecto")</f>
        <v>Correcto</v>
      </c>
    </row>
    <row r="1111" spans="1:24" ht="18" customHeight="1" x14ac:dyDescent="0.25">
      <c r="A1111" s="193">
        <v>1102</v>
      </c>
      <c r="B1111" s="187" t="s">
        <v>4047</v>
      </c>
      <c r="C1111" s="188">
        <v>42116</v>
      </c>
      <c r="D1111" s="194">
        <v>2</v>
      </c>
      <c r="E1111" s="189" t="s">
        <v>93</v>
      </c>
      <c r="F1111" s="187" t="s">
        <v>825</v>
      </c>
      <c r="G1111" s="189" t="s">
        <v>202</v>
      </c>
      <c r="H1111" s="188">
        <v>42129</v>
      </c>
      <c r="I1111" s="189" t="s">
        <v>187</v>
      </c>
      <c r="J1111" s="189" t="s">
        <v>103</v>
      </c>
      <c r="K1111" s="187" t="s">
        <v>4048</v>
      </c>
      <c r="L1111" s="188">
        <v>42129</v>
      </c>
      <c r="M1111" s="187" t="s">
        <v>1914</v>
      </c>
      <c r="N1111" s="190" t="s">
        <v>185</v>
      </c>
      <c r="O1111" s="188">
        <v>42129</v>
      </c>
      <c r="P1111" s="191">
        <f t="shared" si="700"/>
        <v>13</v>
      </c>
      <c r="Q1111" s="187" t="s">
        <v>4049</v>
      </c>
      <c r="R1111" s="190" t="s">
        <v>17</v>
      </c>
      <c r="S1111" s="187" t="s">
        <v>101</v>
      </c>
      <c r="T1111" s="187" t="s">
        <v>2314</v>
      </c>
      <c r="U1111" s="195">
        <v>42130</v>
      </c>
      <c r="V1111" s="190" t="s">
        <v>186</v>
      </c>
      <c r="W1111" s="192">
        <f t="shared" si="701"/>
        <v>0</v>
      </c>
      <c r="X1111" s="192" t="str">
        <f t="shared" si="702"/>
        <v>Correcto</v>
      </c>
    </row>
    <row r="1112" spans="1:24" ht="18" customHeight="1" x14ac:dyDescent="0.25">
      <c r="A1112" s="193">
        <v>1103</v>
      </c>
      <c r="B1112" s="187" t="s">
        <v>4050</v>
      </c>
      <c r="C1112" s="188">
        <v>42116</v>
      </c>
      <c r="D1112" s="194">
        <v>2</v>
      </c>
      <c r="E1112" s="189" t="s">
        <v>93</v>
      </c>
      <c r="F1112" s="187" t="s">
        <v>1654</v>
      </c>
      <c r="G1112" s="189" t="s">
        <v>202</v>
      </c>
      <c r="H1112" s="188">
        <v>42128</v>
      </c>
      <c r="I1112" s="189" t="s">
        <v>187</v>
      </c>
      <c r="J1112" s="189" t="s">
        <v>103</v>
      </c>
      <c r="K1112" s="187" t="s">
        <v>4051</v>
      </c>
      <c r="L1112" s="188">
        <v>42128</v>
      </c>
      <c r="M1112" s="187" t="s">
        <v>1914</v>
      </c>
      <c r="N1112" s="190" t="s">
        <v>185</v>
      </c>
      <c r="O1112" s="188">
        <v>42128</v>
      </c>
      <c r="P1112" s="191">
        <f t="shared" si="700"/>
        <v>12</v>
      </c>
      <c r="Q1112" s="187" t="s">
        <v>4051</v>
      </c>
      <c r="R1112" s="190" t="s">
        <v>17</v>
      </c>
      <c r="S1112" s="187" t="s">
        <v>4052</v>
      </c>
      <c r="T1112" s="187">
        <v>1104017965</v>
      </c>
      <c r="U1112" s="195">
        <v>42130</v>
      </c>
      <c r="V1112" s="190" t="s">
        <v>186</v>
      </c>
      <c r="W1112" s="192">
        <f t="shared" si="701"/>
        <v>0</v>
      </c>
      <c r="X1112" s="192" t="str">
        <f t="shared" si="702"/>
        <v>Correcto</v>
      </c>
    </row>
    <row r="1113" spans="1:24" ht="18" customHeight="1" x14ac:dyDescent="0.25">
      <c r="A1113" s="193">
        <v>1104</v>
      </c>
      <c r="B1113" s="187" t="s">
        <v>4053</v>
      </c>
      <c r="C1113" s="188">
        <v>42116</v>
      </c>
      <c r="D1113" s="194">
        <v>2</v>
      </c>
      <c r="E1113" s="189" t="s">
        <v>93</v>
      </c>
      <c r="F1113" s="187" t="s">
        <v>825</v>
      </c>
      <c r="G1113" s="189" t="s">
        <v>202</v>
      </c>
      <c r="H1113" s="188">
        <v>42122</v>
      </c>
      <c r="I1113" s="189" t="s">
        <v>187</v>
      </c>
      <c r="J1113" s="189" t="s">
        <v>103</v>
      </c>
      <c r="K1113" s="187" t="s">
        <v>4054</v>
      </c>
      <c r="L1113" s="188">
        <v>42122</v>
      </c>
      <c r="M1113" s="187" t="s">
        <v>1914</v>
      </c>
      <c r="N1113" s="190" t="s">
        <v>185</v>
      </c>
      <c r="O1113" s="188">
        <v>42122</v>
      </c>
      <c r="P1113" s="191">
        <f t="shared" si="700"/>
        <v>6</v>
      </c>
      <c r="Q1113" s="187" t="s">
        <v>4055</v>
      </c>
      <c r="R1113" s="190" t="s">
        <v>605</v>
      </c>
      <c r="S1113" s="187" t="s">
        <v>101</v>
      </c>
      <c r="T1113" s="187" t="s">
        <v>4056</v>
      </c>
      <c r="U1113" s="195">
        <v>42123</v>
      </c>
      <c r="V1113" s="190" t="s">
        <v>186</v>
      </c>
      <c r="W1113" s="192">
        <f t="shared" si="701"/>
        <v>0</v>
      </c>
      <c r="X1113" s="192" t="str">
        <f t="shared" si="702"/>
        <v>Correcto</v>
      </c>
    </row>
    <row r="1114" spans="1:24" ht="18" customHeight="1" x14ac:dyDescent="0.25">
      <c r="A1114" s="193">
        <v>1105</v>
      </c>
      <c r="B1114" s="187" t="s">
        <v>4057</v>
      </c>
      <c r="C1114" s="188">
        <v>42116</v>
      </c>
      <c r="D1114" s="194">
        <v>2</v>
      </c>
      <c r="E1114" s="189" t="s">
        <v>93</v>
      </c>
      <c r="F1114" s="187" t="s">
        <v>1654</v>
      </c>
      <c r="G1114" s="189" t="s">
        <v>202</v>
      </c>
      <c r="H1114" s="188">
        <v>42128</v>
      </c>
      <c r="I1114" s="189" t="s">
        <v>187</v>
      </c>
      <c r="J1114" s="189" t="s">
        <v>103</v>
      </c>
      <c r="K1114" s="187" t="s">
        <v>4058</v>
      </c>
      <c r="L1114" s="188">
        <v>42128</v>
      </c>
      <c r="M1114" s="187" t="s">
        <v>1914</v>
      </c>
      <c r="N1114" s="190" t="s">
        <v>185</v>
      </c>
      <c r="O1114" s="188">
        <v>42128</v>
      </c>
      <c r="P1114" s="191">
        <f t="shared" si="700"/>
        <v>12</v>
      </c>
      <c r="Q1114" s="187" t="s">
        <v>4058</v>
      </c>
      <c r="R1114" s="190" t="s">
        <v>17</v>
      </c>
      <c r="S1114" s="187" t="s">
        <v>4059</v>
      </c>
      <c r="T1114" s="187">
        <v>1103391437</v>
      </c>
      <c r="U1114" s="195">
        <v>42128</v>
      </c>
      <c r="V1114" s="190" t="s">
        <v>186</v>
      </c>
      <c r="W1114" s="192">
        <f t="shared" si="701"/>
        <v>0</v>
      </c>
      <c r="X1114" s="192" t="str">
        <f t="shared" si="702"/>
        <v>Correcto</v>
      </c>
    </row>
    <row r="1115" spans="1:24" ht="18" customHeight="1" x14ac:dyDescent="0.25">
      <c r="A1115" s="193">
        <v>1106</v>
      </c>
      <c r="B1115" s="187" t="s">
        <v>4060</v>
      </c>
      <c r="C1115" s="188">
        <v>42116</v>
      </c>
      <c r="D1115" s="194">
        <v>3</v>
      </c>
      <c r="E1115" s="189" t="s">
        <v>93</v>
      </c>
      <c r="F1115" s="187" t="s">
        <v>1654</v>
      </c>
      <c r="G1115" s="189" t="s">
        <v>202</v>
      </c>
      <c r="H1115" s="188">
        <v>42122</v>
      </c>
      <c r="I1115" s="189" t="s">
        <v>187</v>
      </c>
      <c r="J1115" s="189" t="s">
        <v>103</v>
      </c>
      <c r="K1115" s="187" t="s">
        <v>4061</v>
      </c>
      <c r="L1115" s="188">
        <v>42122</v>
      </c>
      <c r="M1115" s="187" t="s">
        <v>1914</v>
      </c>
      <c r="N1115" s="190" t="s">
        <v>185</v>
      </c>
      <c r="O1115" s="188">
        <v>42122</v>
      </c>
      <c r="P1115" s="191">
        <f t="shared" si="700"/>
        <v>6</v>
      </c>
      <c r="Q1115" s="187" t="s">
        <v>4062</v>
      </c>
      <c r="R1115" s="190" t="s">
        <v>17</v>
      </c>
      <c r="S1115" s="187" t="s">
        <v>4063</v>
      </c>
      <c r="T1115" s="187">
        <v>1104647951</v>
      </c>
      <c r="U1115" s="195">
        <v>42122</v>
      </c>
      <c r="V1115" s="190" t="s">
        <v>186</v>
      </c>
      <c r="W1115" s="192">
        <f t="shared" si="701"/>
        <v>0</v>
      </c>
      <c r="X1115" s="192" t="str">
        <f t="shared" si="702"/>
        <v>Correcto</v>
      </c>
    </row>
    <row r="1116" spans="1:24" ht="18" customHeight="1" x14ac:dyDescent="0.25">
      <c r="A1116" s="193">
        <v>1107</v>
      </c>
      <c r="B1116" s="187" t="s">
        <v>4064</v>
      </c>
      <c r="C1116" s="188">
        <v>42116</v>
      </c>
      <c r="D1116" s="194">
        <v>45</v>
      </c>
      <c r="E1116" s="189" t="s">
        <v>93</v>
      </c>
      <c r="F1116" s="187" t="s">
        <v>1654</v>
      </c>
      <c r="G1116" s="189" t="s">
        <v>202</v>
      </c>
      <c r="H1116" s="188">
        <v>42122</v>
      </c>
      <c r="I1116" s="189" t="s">
        <v>187</v>
      </c>
      <c r="J1116" s="189" t="s">
        <v>103</v>
      </c>
      <c r="K1116" s="187" t="s">
        <v>4062</v>
      </c>
      <c r="L1116" s="188">
        <v>42122</v>
      </c>
      <c r="M1116" s="187" t="s">
        <v>1914</v>
      </c>
      <c r="N1116" s="190" t="s">
        <v>185</v>
      </c>
      <c r="O1116" s="188">
        <v>42121</v>
      </c>
      <c r="P1116" s="191">
        <f t="shared" si="700"/>
        <v>5</v>
      </c>
      <c r="Q1116" s="187" t="s">
        <v>4065</v>
      </c>
      <c r="R1116" s="190" t="s">
        <v>17</v>
      </c>
      <c r="S1116" s="187" t="s">
        <v>4066</v>
      </c>
      <c r="T1116" s="187">
        <v>1103237572</v>
      </c>
      <c r="U1116" s="195">
        <v>42852</v>
      </c>
      <c r="V1116" s="190" t="s">
        <v>186</v>
      </c>
      <c r="W1116" s="192">
        <f t="shared" si="701"/>
        <v>0</v>
      </c>
      <c r="X1116" s="192" t="str">
        <f t="shared" si="702"/>
        <v>Correcto</v>
      </c>
    </row>
    <row r="1117" spans="1:24" ht="18" customHeight="1" x14ac:dyDescent="0.25">
      <c r="A1117" s="193">
        <v>1108</v>
      </c>
      <c r="B1117" s="187" t="s">
        <v>4067</v>
      </c>
      <c r="C1117" s="188">
        <v>42116</v>
      </c>
      <c r="D1117" s="194">
        <v>2</v>
      </c>
      <c r="E1117" s="189" t="s">
        <v>93</v>
      </c>
      <c r="F1117" s="187" t="s">
        <v>825</v>
      </c>
      <c r="G1117" s="189" t="s">
        <v>202</v>
      </c>
      <c r="H1117" s="188">
        <v>42129</v>
      </c>
      <c r="I1117" s="189" t="s">
        <v>187</v>
      </c>
      <c r="J1117" s="189" t="s">
        <v>103</v>
      </c>
      <c r="K1117" s="187" t="s">
        <v>4068</v>
      </c>
      <c r="L1117" s="188">
        <v>42129</v>
      </c>
      <c r="M1117" s="187" t="s">
        <v>1914</v>
      </c>
      <c r="N1117" s="190" t="s">
        <v>185</v>
      </c>
      <c r="O1117" s="188">
        <v>42132</v>
      </c>
      <c r="P1117" s="191">
        <f t="shared" si="700"/>
        <v>16</v>
      </c>
      <c r="Q1117" s="187" t="s">
        <v>4069</v>
      </c>
      <c r="R1117" s="190" t="s">
        <v>17</v>
      </c>
      <c r="S1117" s="187" t="s">
        <v>3638</v>
      </c>
      <c r="T1117" s="187" t="s">
        <v>4070</v>
      </c>
      <c r="U1117" s="195">
        <v>42132</v>
      </c>
      <c r="V1117" s="190" t="s">
        <v>186</v>
      </c>
      <c r="W1117" s="192">
        <f t="shared" si="701"/>
        <v>0</v>
      </c>
      <c r="X1117" s="192" t="str">
        <f t="shared" si="702"/>
        <v>Correcto</v>
      </c>
    </row>
    <row r="1118" spans="1:24" ht="18" customHeight="1" x14ac:dyDescent="0.25">
      <c r="A1118" s="193">
        <v>1109</v>
      </c>
      <c r="B1118" s="187" t="s">
        <v>4071</v>
      </c>
      <c r="C1118" s="188">
        <v>42116</v>
      </c>
      <c r="D1118" s="194">
        <v>17</v>
      </c>
      <c r="E1118" s="189" t="s">
        <v>93</v>
      </c>
      <c r="F1118" s="187" t="s">
        <v>825</v>
      </c>
      <c r="G1118" s="189" t="s">
        <v>202</v>
      </c>
      <c r="H1118" s="188">
        <v>42129</v>
      </c>
      <c r="I1118" s="189" t="s">
        <v>187</v>
      </c>
      <c r="J1118" s="189" t="s">
        <v>103</v>
      </c>
      <c r="K1118" s="187" t="s">
        <v>4068</v>
      </c>
      <c r="L1118" s="188">
        <v>42129</v>
      </c>
      <c r="M1118" s="187" t="s">
        <v>1914</v>
      </c>
      <c r="N1118" s="190" t="s">
        <v>185</v>
      </c>
      <c r="O1118" s="188">
        <v>42122</v>
      </c>
      <c r="P1118" s="191">
        <f t="shared" si="700"/>
        <v>6</v>
      </c>
      <c r="Q1118" s="187" t="s">
        <v>4072</v>
      </c>
      <c r="R1118" s="190" t="s">
        <v>17</v>
      </c>
      <c r="S1118" s="187" t="s">
        <v>101</v>
      </c>
      <c r="T1118" s="187" t="s">
        <v>1286</v>
      </c>
      <c r="U1118" s="195">
        <v>42124</v>
      </c>
      <c r="V1118" s="190" t="s">
        <v>186</v>
      </c>
      <c r="W1118" s="192">
        <f t="shared" si="701"/>
        <v>0</v>
      </c>
      <c r="X1118" s="192" t="str">
        <f t="shared" si="702"/>
        <v>Correcto</v>
      </c>
    </row>
    <row r="1119" spans="1:24" ht="18" customHeight="1" x14ac:dyDescent="0.25">
      <c r="A1119" s="193">
        <v>1110</v>
      </c>
      <c r="B1119" s="187" t="s">
        <v>4073</v>
      </c>
      <c r="C1119" s="188">
        <v>42116</v>
      </c>
      <c r="D1119" s="194">
        <v>2</v>
      </c>
      <c r="E1119" s="189" t="s">
        <v>93</v>
      </c>
      <c r="F1119" s="187" t="s">
        <v>825</v>
      </c>
      <c r="G1119" s="189" t="s">
        <v>202</v>
      </c>
      <c r="H1119" s="188">
        <v>42136</v>
      </c>
      <c r="I1119" s="189" t="s">
        <v>187</v>
      </c>
      <c r="J1119" s="189" t="s">
        <v>103</v>
      </c>
      <c r="K1119" s="187" t="s">
        <v>4074</v>
      </c>
      <c r="L1119" s="188">
        <v>42136</v>
      </c>
      <c r="M1119" s="187" t="s">
        <v>1914</v>
      </c>
      <c r="N1119" s="190" t="s">
        <v>185</v>
      </c>
      <c r="O1119" s="188">
        <v>42136</v>
      </c>
      <c r="P1119" s="191">
        <f t="shared" si="700"/>
        <v>20</v>
      </c>
      <c r="Q1119" s="187" t="s">
        <v>4074</v>
      </c>
      <c r="R1119" s="190" t="s">
        <v>17</v>
      </c>
      <c r="S1119" s="187" t="s">
        <v>101</v>
      </c>
      <c r="T1119" s="187" t="s">
        <v>1286</v>
      </c>
      <c r="U1119" s="195">
        <v>42138</v>
      </c>
      <c r="V1119" s="190" t="s">
        <v>186</v>
      </c>
      <c r="W1119" s="192">
        <f t="shared" si="701"/>
        <v>0</v>
      </c>
      <c r="X1119" s="192" t="str">
        <f t="shared" si="702"/>
        <v>Correcto</v>
      </c>
    </row>
    <row r="1120" spans="1:24" ht="18" customHeight="1" x14ac:dyDescent="0.25">
      <c r="A1120" s="193">
        <v>1111</v>
      </c>
      <c r="B1120" s="187" t="s">
        <v>4075</v>
      </c>
      <c r="C1120" s="188">
        <v>42116</v>
      </c>
      <c r="D1120" s="194">
        <v>2</v>
      </c>
      <c r="E1120" s="189" t="s">
        <v>93</v>
      </c>
      <c r="F1120" s="187" t="s">
        <v>1654</v>
      </c>
      <c r="G1120" s="189" t="s">
        <v>202</v>
      </c>
      <c r="H1120" s="188">
        <v>42128</v>
      </c>
      <c r="I1120" s="189" t="s">
        <v>187</v>
      </c>
      <c r="J1120" s="189" t="s">
        <v>103</v>
      </c>
      <c r="K1120" s="187" t="s">
        <v>4076</v>
      </c>
      <c r="L1120" s="188">
        <v>42128</v>
      </c>
      <c r="M1120" s="187" t="s">
        <v>1914</v>
      </c>
      <c r="N1120" s="190" t="s">
        <v>185</v>
      </c>
      <c r="O1120" s="188">
        <v>42128</v>
      </c>
      <c r="P1120" s="191">
        <f t="shared" si="700"/>
        <v>12</v>
      </c>
      <c r="Q1120" s="187" t="s">
        <v>4076</v>
      </c>
      <c r="R1120" s="190" t="s">
        <v>17</v>
      </c>
      <c r="S1120" s="187" t="s">
        <v>4077</v>
      </c>
      <c r="T1120" s="187">
        <v>1103832034</v>
      </c>
      <c r="U1120" s="195">
        <v>42128</v>
      </c>
      <c r="V1120" s="190" t="s">
        <v>186</v>
      </c>
      <c r="W1120" s="192">
        <f t="shared" si="701"/>
        <v>0</v>
      </c>
      <c r="X1120" s="192" t="str">
        <f t="shared" si="702"/>
        <v>Correcto</v>
      </c>
    </row>
    <row r="1121" spans="1:24" ht="18" customHeight="1" x14ac:dyDescent="0.25">
      <c r="A1121" s="193">
        <v>1112</v>
      </c>
      <c r="B1121" s="187" t="s">
        <v>4078</v>
      </c>
      <c r="C1121" s="188">
        <v>42116</v>
      </c>
      <c r="D1121" s="194">
        <v>2</v>
      </c>
      <c r="E1121" s="189" t="s">
        <v>93</v>
      </c>
      <c r="F1121" s="187" t="s">
        <v>825</v>
      </c>
      <c r="G1121" s="189" t="s">
        <v>202</v>
      </c>
      <c r="H1121" s="188">
        <v>42128</v>
      </c>
      <c r="I1121" s="189" t="s">
        <v>187</v>
      </c>
      <c r="J1121" s="189" t="s">
        <v>103</v>
      </c>
      <c r="K1121" s="187" t="s">
        <v>4076</v>
      </c>
      <c r="L1121" s="188">
        <v>42128</v>
      </c>
      <c r="M1121" s="187" t="s">
        <v>824</v>
      </c>
      <c r="N1121" s="190" t="s">
        <v>185</v>
      </c>
      <c r="O1121" s="188">
        <v>42117</v>
      </c>
      <c r="P1121" s="191">
        <f t="shared" si="700"/>
        <v>1</v>
      </c>
      <c r="Q1121" s="187" t="s">
        <v>4079</v>
      </c>
      <c r="R1121" s="190" t="s">
        <v>17</v>
      </c>
      <c r="S1121" s="187" t="s">
        <v>101</v>
      </c>
      <c r="T1121" s="187" t="s">
        <v>1226</v>
      </c>
      <c r="U1121" s="195">
        <v>42122</v>
      </c>
      <c r="V1121" s="190" t="s">
        <v>186</v>
      </c>
      <c r="W1121" s="192">
        <f t="shared" si="701"/>
        <v>0</v>
      </c>
      <c r="X1121" s="192" t="str">
        <f t="shared" si="702"/>
        <v>Correcto</v>
      </c>
    </row>
    <row r="1122" spans="1:24" ht="18" customHeight="1" x14ac:dyDescent="0.25">
      <c r="A1122" s="193">
        <v>1113</v>
      </c>
      <c r="B1122" s="187" t="s">
        <v>4080</v>
      </c>
      <c r="C1122" s="188">
        <v>42116</v>
      </c>
      <c r="D1122" s="194">
        <v>2</v>
      </c>
      <c r="E1122" s="189" t="s">
        <v>93</v>
      </c>
      <c r="F1122" s="187" t="s">
        <v>825</v>
      </c>
      <c r="G1122" s="189" t="s">
        <v>202</v>
      </c>
      <c r="H1122" s="187"/>
      <c r="I1122" s="189" t="s">
        <v>187</v>
      </c>
      <c r="J1122" s="189" t="s">
        <v>103</v>
      </c>
      <c r="K1122" s="187" t="s">
        <v>4081</v>
      </c>
      <c r="L1122" s="187"/>
      <c r="M1122" s="187" t="s">
        <v>1914</v>
      </c>
      <c r="N1122" s="190" t="s">
        <v>185</v>
      </c>
      <c r="O1122" s="188">
        <v>42129</v>
      </c>
      <c r="P1122" s="191">
        <f t="shared" si="700"/>
        <v>13</v>
      </c>
      <c r="Q1122" s="187" t="s">
        <v>4082</v>
      </c>
      <c r="R1122" s="190" t="s">
        <v>501</v>
      </c>
      <c r="S1122" s="187" t="s">
        <v>101</v>
      </c>
      <c r="T1122" s="187" t="s">
        <v>4083</v>
      </c>
      <c r="U1122" s="195">
        <v>42129</v>
      </c>
      <c r="V1122" s="190" t="s">
        <v>186</v>
      </c>
      <c r="W1122" s="192">
        <f t="shared" si="701"/>
        <v>2</v>
      </c>
      <c r="X1122" s="192" t="str">
        <f t="shared" si="702"/>
        <v>Incorrecto</v>
      </c>
    </row>
    <row r="1123" spans="1:24" ht="18" customHeight="1" x14ac:dyDescent="0.25">
      <c r="A1123" s="193">
        <v>1114</v>
      </c>
      <c r="B1123" s="187" t="s">
        <v>4084</v>
      </c>
      <c r="C1123" s="188">
        <v>42116</v>
      </c>
      <c r="D1123" s="194">
        <v>2</v>
      </c>
      <c r="E1123" s="189" t="s">
        <v>93</v>
      </c>
      <c r="F1123" s="187" t="s">
        <v>825</v>
      </c>
      <c r="G1123" s="189" t="s">
        <v>202</v>
      </c>
      <c r="H1123" s="188">
        <v>42129</v>
      </c>
      <c r="I1123" s="189" t="s">
        <v>187</v>
      </c>
      <c r="J1123" s="189" t="s">
        <v>103</v>
      </c>
      <c r="K1123" s="187" t="s">
        <v>4081</v>
      </c>
      <c r="L1123" s="188">
        <v>42129</v>
      </c>
      <c r="M1123" s="187" t="s">
        <v>1914</v>
      </c>
      <c r="N1123" s="190" t="s">
        <v>185</v>
      </c>
      <c r="O1123" s="188">
        <v>42129</v>
      </c>
      <c r="P1123" s="191">
        <f t="shared" si="700"/>
        <v>13</v>
      </c>
      <c r="Q1123" s="187" t="s">
        <v>4085</v>
      </c>
      <c r="R1123" s="190" t="s">
        <v>17</v>
      </c>
      <c r="S1123" s="187" t="s">
        <v>101</v>
      </c>
      <c r="T1123" s="187" t="s">
        <v>1226</v>
      </c>
      <c r="U1123" s="195">
        <v>42130</v>
      </c>
      <c r="V1123" s="190" t="s">
        <v>186</v>
      </c>
      <c r="W1123" s="192">
        <f t="shared" si="701"/>
        <v>0</v>
      </c>
      <c r="X1123" s="192" t="str">
        <f t="shared" si="702"/>
        <v>Correcto</v>
      </c>
    </row>
    <row r="1124" spans="1:24" ht="18" customHeight="1" x14ac:dyDescent="0.25">
      <c r="A1124" s="193">
        <v>1115</v>
      </c>
      <c r="B1124" s="187" t="s">
        <v>4086</v>
      </c>
      <c r="C1124" s="188">
        <v>42116</v>
      </c>
      <c r="D1124" s="194">
        <v>2</v>
      </c>
      <c r="E1124" s="189" t="s">
        <v>93</v>
      </c>
      <c r="F1124" s="187" t="s">
        <v>1654</v>
      </c>
      <c r="G1124" s="189" t="s">
        <v>202</v>
      </c>
      <c r="H1124" s="188">
        <v>42129</v>
      </c>
      <c r="I1124" s="189" t="s">
        <v>187</v>
      </c>
      <c r="J1124" s="189" t="s">
        <v>103</v>
      </c>
      <c r="K1124" s="187" t="s">
        <v>4087</v>
      </c>
      <c r="L1124" s="188">
        <v>42129</v>
      </c>
      <c r="M1124" s="187" t="s">
        <v>1914</v>
      </c>
      <c r="N1124" s="190" t="s">
        <v>185</v>
      </c>
      <c r="O1124" s="188">
        <v>42128</v>
      </c>
      <c r="P1124" s="191">
        <f t="shared" si="700"/>
        <v>12</v>
      </c>
      <c r="Q1124" s="187" t="s">
        <v>4088</v>
      </c>
      <c r="R1124" s="190" t="s">
        <v>17</v>
      </c>
      <c r="S1124" s="187" t="s">
        <v>4089</v>
      </c>
      <c r="T1124" s="187">
        <v>1103541932</v>
      </c>
      <c r="U1124" s="195">
        <v>42128</v>
      </c>
      <c r="V1124" s="190" t="s">
        <v>186</v>
      </c>
      <c r="W1124" s="192">
        <f t="shared" si="701"/>
        <v>0</v>
      </c>
      <c r="X1124" s="192" t="str">
        <f t="shared" si="702"/>
        <v>Correcto</v>
      </c>
    </row>
    <row r="1125" spans="1:24" ht="18" customHeight="1" x14ac:dyDescent="0.25">
      <c r="A1125" s="193">
        <v>1116</v>
      </c>
      <c r="B1125" s="187" t="s">
        <v>4090</v>
      </c>
      <c r="C1125" s="188">
        <v>42116</v>
      </c>
      <c r="D1125" s="194">
        <v>2</v>
      </c>
      <c r="E1125" s="189" t="s">
        <v>93</v>
      </c>
      <c r="F1125" s="187" t="s">
        <v>1654</v>
      </c>
      <c r="G1125" s="189" t="s">
        <v>202</v>
      </c>
      <c r="H1125" s="188">
        <v>42128</v>
      </c>
      <c r="I1125" s="189" t="s">
        <v>187</v>
      </c>
      <c r="J1125" s="189" t="s">
        <v>103</v>
      </c>
      <c r="K1125" s="187" t="s">
        <v>4088</v>
      </c>
      <c r="L1125" s="188">
        <v>42128</v>
      </c>
      <c r="M1125" s="187" t="s">
        <v>1914</v>
      </c>
      <c r="N1125" s="190" t="s">
        <v>185</v>
      </c>
      <c r="O1125" s="188">
        <v>42128</v>
      </c>
      <c r="P1125" s="191">
        <f t="shared" si="700"/>
        <v>12</v>
      </c>
      <c r="Q1125" s="187" t="s">
        <v>4091</v>
      </c>
      <c r="R1125" s="190" t="s">
        <v>17</v>
      </c>
      <c r="S1125" s="187" t="s">
        <v>4092</v>
      </c>
      <c r="T1125" s="187">
        <v>1104227358</v>
      </c>
      <c r="U1125" s="195">
        <v>42128</v>
      </c>
      <c r="V1125" s="190" t="s">
        <v>186</v>
      </c>
      <c r="W1125" s="192">
        <f t="shared" si="701"/>
        <v>0</v>
      </c>
      <c r="X1125" s="192" t="str">
        <f t="shared" si="702"/>
        <v>Correcto</v>
      </c>
    </row>
    <row r="1126" spans="1:24" ht="18" customHeight="1" x14ac:dyDescent="0.25">
      <c r="A1126" s="193">
        <v>1117</v>
      </c>
      <c r="B1126" s="187" t="s">
        <v>4093</v>
      </c>
      <c r="C1126" s="188">
        <v>42117</v>
      </c>
      <c r="D1126" s="194">
        <v>2</v>
      </c>
      <c r="E1126" s="189" t="s">
        <v>93</v>
      </c>
      <c r="F1126" s="187" t="s">
        <v>1654</v>
      </c>
      <c r="G1126" s="189" t="s">
        <v>202</v>
      </c>
      <c r="H1126" s="188">
        <v>42128</v>
      </c>
      <c r="I1126" s="189" t="s">
        <v>187</v>
      </c>
      <c r="J1126" s="189" t="s">
        <v>103</v>
      </c>
      <c r="K1126" s="187" t="s">
        <v>4091</v>
      </c>
      <c r="L1126" s="188">
        <v>42128</v>
      </c>
      <c r="M1126" s="187" t="s">
        <v>1914</v>
      </c>
      <c r="N1126" s="190" t="s">
        <v>185</v>
      </c>
      <c r="O1126" s="188">
        <v>42128</v>
      </c>
      <c r="P1126" s="191">
        <f t="shared" si="700"/>
        <v>11</v>
      </c>
      <c r="Q1126" s="187" t="s">
        <v>4094</v>
      </c>
      <c r="R1126" s="190" t="s">
        <v>17</v>
      </c>
      <c r="S1126" s="187" t="s">
        <v>4095</v>
      </c>
      <c r="T1126" s="187">
        <v>1104347156</v>
      </c>
      <c r="U1126" s="195">
        <v>42128</v>
      </c>
      <c r="V1126" s="190" t="s">
        <v>186</v>
      </c>
      <c r="W1126" s="192">
        <f t="shared" si="701"/>
        <v>0</v>
      </c>
      <c r="X1126" s="192" t="str">
        <f t="shared" si="702"/>
        <v>Correcto</v>
      </c>
    </row>
    <row r="1127" spans="1:24" ht="18" customHeight="1" x14ac:dyDescent="0.25">
      <c r="A1127" s="193">
        <v>1118</v>
      </c>
      <c r="B1127" s="187" t="s">
        <v>4096</v>
      </c>
      <c r="C1127" s="188">
        <v>42117</v>
      </c>
      <c r="D1127" s="194">
        <v>2</v>
      </c>
      <c r="E1127" s="189" t="s">
        <v>93</v>
      </c>
      <c r="F1127" s="187" t="s">
        <v>825</v>
      </c>
      <c r="G1127" s="189" t="s">
        <v>202</v>
      </c>
      <c r="H1127" s="188">
        <v>42128</v>
      </c>
      <c r="I1127" s="189" t="s">
        <v>187</v>
      </c>
      <c r="J1127" s="189" t="s">
        <v>103</v>
      </c>
      <c r="K1127" s="187" t="s">
        <v>4094</v>
      </c>
      <c r="L1127" s="188">
        <v>42128</v>
      </c>
      <c r="M1127" s="187" t="s">
        <v>1914</v>
      </c>
      <c r="N1127" s="190" t="s">
        <v>185</v>
      </c>
      <c r="O1127" s="188">
        <v>42121</v>
      </c>
      <c r="P1127" s="191">
        <f t="shared" si="700"/>
        <v>4</v>
      </c>
      <c r="Q1127" s="187" t="s">
        <v>4097</v>
      </c>
      <c r="R1127" s="190" t="s">
        <v>17</v>
      </c>
      <c r="S1127" s="187" t="s">
        <v>101</v>
      </c>
      <c r="T1127" s="187" t="s">
        <v>4098</v>
      </c>
      <c r="U1127" s="195">
        <v>42123</v>
      </c>
      <c r="V1127" s="190" t="s">
        <v>186</v>
      </c>
      <c r="W1127" s="192">
        <f t="shared" si="701"/>
        <v>0</v>
      </c>
      <c r="X1127" s="192" t="str">
        <f t="shared" si="702"/>
        <v>Correcto</v>
      </c>
    </row>
    <row r="1128" spans="1:24" ht="18" customHeight="1" x14ac:dyDescent="0.25">
      <c r="A1128" s="193">
        <v>1119</v>
      </c>
      <c r="B1128" s="187" t="s">
        <v>4099</v>
      </c>
      <c r="C1128" s="188">
        <v>42117</v>
      </c>
      <c r="D1128" s="194">
        <v>2</v>
      </c>
      <c r="E1128" s="189" t="s">
        <v>93</v>
      </c>
      <c r="F1128" s="187" t="s">
        <v>825</v>
      </c>
      <c r="G1128" s="189" t="s">
        <v>202</v>
      </c>
      <c r="H1128" s="188">
        <v>42121</v>
      </c>
      <c r="I1128" s="189" t="s">
        <v>187</v>
      </c>
      <c r="J1128" s="189" t="s">
        <v>103</v>
      </c>
      <c r="K1128" s="187" t="s">
        <v>4100</v>
      </c>
      <c r="L1128" s="188">
        <v>42121</v>
      </c>
      <c r="M1128" s="187" t="s">
        <v>1914</v>
      </c>
      <c r="N1128" s="190" t="s">
        <v>185</v>
      </c>
      <c r="O1128" s="188">
        <v>42121</v>
      </c>
      <c r="P1128" s="191">
        <f t="shared" si="700"/>
        <v>4</v>
      </c>
      <c r="Q1128" s="187" t="s">
        <v>4101</v>
      </c>
      <c r="R1128" s="190" t="s">
        <v>17</v>
      </c>
      <c r="S1128" s="187" t="s">
        <v>101</v>
      </c>
      <c r="T1128" s="187" t="s">
        <v>4098</v>
      </c>
      <c r="U1128" s="195">
        <v>42123</v>
      </c>
      <c r="V1128" s="190" t="s">
        <v>186</v>
      </c>
      <c r="W1128" s="192">
        <f t="shared" si="701"/>
        <v>0</v>
      </c>
      <c r="X1128" s="192" t="str">
        <f t="shared" si="702"/>
        <v>Correcto</v>
      </c>
    </row>
    <row r="1129" spans="1:24" ht="18" customHeight="1" x14ac:dyDescent="0.25">
      <c r="A1129" s="193">
        <v>1120</v>
      </c>
      <c r="B1129" s="187" t="s">
        <v>4102</v>
      </c>
      <c r="C1129" s="188">
        <v>42117</v>
      </c>
      <c r="D1129" s="194">
        <v>2</v>
      </c>
      <c r="E1129" s="189" t="s">
        <v>93</v>
      </c>
      <c r="F1129" s="187" t="s">
        <v>1654</v>
      </c>
      <c r="G1129" s="189" t="s">
        <v>202</v>
      </c>
      <c r="H1129" s="188">
        <v>42121</v>
      </c>
      <c r="I1129" s="189" t="s">
        <v>187</v>
      </c>
      <c r="J1129" s="189" t="s">
        <v>103</v>
      </c>
      <c r="K1129" s="187" t="s">
        <v>4103</v>
      </c>
      <c r="L1129" s="188">
        <v>42121</v>
      </c>
      <c r="M1129" s="187" t="s">
        <v>1914</v>
      </c>
      <c r="N1129" s="190" t="s">
        <v>185</v>
      </c>
      <c r="O1129" s="188">
        <v>42121</v>
      </c>
      <c r="P1129" s="191">
        <f t="shared" si="700"/>
        <v>4</v>
      </c>
      <c r="Q1129" s="187" t="s">
        <v>4104</v>
      </c>
      <c r="R1129" s="190" t="s">
        <v>17</v>
      </c>
      <c r="S1129" s="187" t="s">
        <v>3942</v>
      </c>
      <c r="T1129" s="187">
        <v>1104956139</v>
      </c>
      <c r="U1129" s="195">
        <v>42121</v>
      </c>
      <c r="V1129" s="190" t="s">
        <v>186</v>
      </c>
      <c r="W1129" s="192">
        <f t="shared" si="701"/>
        <v>0</v>
      </c>
      <c r="X1129" s="192" t="str">
        <f t="shared" si="702"/>
        <v>Correcto</v>
      </c>
    </row>
    <row r="1130" spans="1:24" ht="18" customHeight="1" x14ac:dyDescent="0.25">
      <c r="A1130" s="193">
        <v>1121</v>
      </c>
      <c r="B1130" s="187" t="s">
        <v>4105</v>
      </c>
      <c r="C1130" s="188">
        <v>42117</v>
      </c>
      <c r="D1130" s="194">
        <v>2</v>
      </c>
      <c r="E1130" s="189" t="s">
        <v>93</v>
      </c>
      <c r="F1130" s="187" t="s">
        <v>825</v>
      </c>
      <c r="G1130" s="189" t="s">
        <v>202</v>
      </c>
      <c r="H1130" s="188">
        <v>42121</v>
      </c>
      <c r="I1130" s="189" t="s">
        <v>187</v>
      </c>
      <c r="J1130" s="189" t="s">
        <v>103</v>
      </c>
      <c r="K1130" s="187" t="s">
        <v>4104</v>
      </c>
      <c r="L1130" s="188">
        <v>42121</v>
      </c>
      <c r="M1130" s="187" t="s">
        <v>1914</v>
      </c>
      <c r="N1130" s="190" t="s">
        <v>185</v>
      </c>
      <c r="O1130" s="188">
        <v>42129</v>
      </c>
      <c r="P1130" s="191">
        <f t="shared" si="700"/>
        <v>12</v>
      </c>
      <c r="Q1130" s="187" t="s">
        <v>4106</v>
      </c>
      <c r="R1130" s="190" t="s">
        <v>17</v>
      </c>
      <c r="S1130" s="187" t="s">
        <v>101</v>
      </c>
      <c r="T1130" s="187" t="s">
        <v>996</v>
      </c>
      <c r="U1130" s="195">
        <v>42130</v>
      </c>
      <c r="V1130" s="190" t="s">
        <v>186</v>
      </c>
      <c r="W1130" s="192">
        <f t="shared" si="701"/>
        <v>0</v>
      </c>
      <c r="X1130" s="192" t="str">
        <f t="shared" si="702"/>
        <v>Correcto</v>
      </c>
    </row>
    <row r="1131" spans="1:24" ht="18" customHeight="1" x14ac:dyDescent="0.25">
      <c r="A1131" s="193">
        <v>1122</v>
      </c>
      <c r="B1131" s="187" t="s">
        <v>4107</v>
      </c>
      <c r="C1131" s="188">
        <v>42117</v>
      </c>
      <c r="D1131" s="194">
        <v>2</v>
      </c>
      <c r="E1131" s="189" t="s">
        <v>93</v>
      </c>
      <c r="F1131" s="187" t="s">
        <v>1654</v>
      </c>
      <c r="G1131" s="189" t="s">
        <v>202</v>
      </c>
      <c r="H1131" s="188">
        <v>42129</v>
      </c>
      <c r="I1131" s="189" t="s">
        <v>187</v>
      </c>
      <c r="J1131" s="189" t="s">
        <v>103</v>
      </c>
      <c r="K1131" s="187" t="s">
        <v>4108</v>
      </c>
      <c r="L1131" s="188">
        <v>42129</v>
      </c>
      <c r="M1131" s="187" t="s">
        <v>1914</v>
      </c>
      <c r="N1131" s="190" t="s">
        <v>185</v>
      </c>
      <c r="O1131" s="188">
        <v>42128</v>
      </c>
      <c r="P1131" s="191">
        <f t="shared" si="700"/>
        <v>11</v>
      </c>
      <c r="Q1131" s="187" t="s">
        <v>4109</v>
      </c>
      <c r="R1131" s="190" t="s">
        <v>17</v>
      </c>
      <c r="S1131" s="187" t="s">
        <v>4110</v>
      </c>
      <c r="T1131" s="187">
        <v>1706547898</v>
      </c>
      <c r="U1131" s="195">
        <v>42128</v>
      </c>
      <c r="V1131" s="190" t="s">
        <v>186</v>
      </c>
      <c r="W1131" s="192">
        <f t="shared" si="701"/>
        <v>0</v>
      </c>
      <c r="X1131" s="192" t="str">
        <f t="shared" si="702"/>
        <v>Correcto</v>
      </c>
    </row>
    <row r="1132" spans="1:24" ht="18" customHeight="1" x14ac:dyDescent="0.25">
      <c r="A1132" s="193">
        <v>1123</v>
      </c>
      <c r="B1132" s="187" t="s">
        <v>4111</v>
      </c>
      <c r="C1132" s="188">
        <v>42117</v>
      </c>
      <c r="D1132" s="194">
        <v>133</v>
      </c>
      <c r="E1132" s="189" t="s">
        <v>93</v>
      </c>
      <c r="F1132" s="187" t="s">
        <v>1654</v>
      </c>
      <c r="G1132" s="189" t="s">
        <v>202</v>
      </c>
      <c r="H1132" s="188">
        <v>42128</v>
      </c>
      <c r="I1132" s="189" t="s">
        <v>187</v>
      </c>
      <c r="J1132" s="189" t="s">
        <v>103</v>
      </c>
      <c r="K1132" s="187" t="s">
        <v>4109</v>
      </c>
      <c r="L1132" s="188">
        <v>42128</v>
      </c>
      <c r="M1132" s="187" t="s">
        <v>1914</v>
      </c>
      <c r="N1132" s="190" t="s">
        <v>185</v>
      </c>
      <c r="O1132" s="188">
        <v>42122</v>
      </c>
      <c r="P1132" s="191">
        <f t="shared" si="700"/>
        <v>5</v>
      </c>
      <c r="Q1132" s="187" t="s">
        <v>4112</v>
      </c>
      <c r="R1132" s="190" t="s">
        <v>17</v>
      </c>
      <c r="S1132" s="187" t="s">
        <v>2792</v>
      </c>
      <c r="T1132" s="187">
        <v>1103804819</v>
      </c>
      <c r="U1132" s="195">
        <v>42122</v>
      </c>
      <c r="V1132" s="190" t="s">
        <v>186</v>
      </c>
      <c r="W1132" s="192">
        <f t="shared" si="701"/>
        <v>0</v>
      </c>
      <c r="X1132" s="192" t="str">
        <f t="shared" si="702"/>
        <v>Correcto</v>
      </c>
    </row>
    <row r="1133" spans="1:24" ht="18" customHeight="1" x14ac:dyDescent="0.25">
      <c r="A1133" s="193">
        <v>1124</v>
      </c>
      <c r="B1133" s="187" t="s">
        <v>4113</v>
      </c>
      <c r="C1133" s="188">
        <v>42117</v>
      </c>
      <c r="D1133" s="194">
        <v>2</v>
      </c>
      <c r="E1133" s="189" t="s">
        <v>93</v>
      </c>
      <c r="F1133" s="187" t="s">
        <v>1654</v>
      </c>
      <c r="G1133" s="189" t="s">
        <v>202</v>
      </c>
      <c r="H1133" s="188">
        <v>42122</v>
      </c>
      <c r="I1133" s="189" t="s">
        <v>187</v>
      </c>
      <c r="J1133" s="189" t="s">
        <v>103</v>
      </c>
      <c r="K1133" s="187" t="s">
        <v>4112</v>
      </c>
      <c r="L1133" s="188">
        <v>42122</v>
      </c>
      <c r="M1133" s="187" t="s">
        <v>1914</v>
      </c>
      <c r="N1133" s="190" t="s">
        <v>185</v>
      </c>
      <c r="O1133" s="188">
        <v>42117</v>
      </c>
      <c r="P1133" s="191">
        <f t="shared" si="700"/>
        <v>0</v>
      </c>
      <c r="Q1133" s="187" t="s">
        <v>4114</v>
      </c>
      <c r="R1133" s="190" t="s">
        <v>17</v>
      </c>
      <c r="S1133" s="187" t="s">
        <v>4115</v>
      </c>
      <c r="T1133" s="187">
        <v>1100647120</v>
      </c>
      <c r="U1133" s="195">
        <v>42121</v>
      </c>
      <c r="V1133" s="190" t="s">
        <v>186</v>
      </c>
      <c r="W1133" s="192">
        <f t="shared" si="701"/>
        <v>0</v>
      </c>
      <c r="X1133" s="192" t="str">
        <f t="shared" si="702"/>
        <v>Correcto</v>
      </c>
    </row>
    <row r="1134" spans="1:24" ht="18" customHeight="1" x14ac:dyDescent="0.25">
      <c r="A1134" s="193">
        <v>1125</v>
      </c>
      <c r="B1134" s="187" t="s">
        <v>4116</v>
      </c>
      <c r="C1134" s="188">
        <v>42117</v>
      </c>
      <c r="D1134" s="194">
        <v>2</v>
      </c>
      <c r="E1134" s="189" t="s">
        <v>93</v>
      </c>
      <c r="F1134" s="187" t="s">
        <v>1654</v>
      </c>
      <c r="G1134" s="189" t="s">
        <v>202</v>
      </c>
      <c r="H1134" s="188">
        <v>42117</v>
      </c>
      <c r="I1134" s="189" t="s">
        <v>187</v>
      </c>
      <c r="J1134" s="189" t="s">
        <v>103</v>
      </c>
      <c r="K1134" s="187" t="s">
        <v>4114</v>
      </c>
      <c r="L1134" s="188">
        <v>42117</v>
      </c>
      <c r="M1134" s="187" t="s">
        <v>1914</v>
      </c>
      <c r="N1134" s="190" t="s">
        <v>185</v>
      </c>
      <c r="O1134" s="188">
        <v>42128</v>
      </c>
      <c r="P1134" s="191">
        <f t="shared" si="700"/>
        <v>11</v>
      </c>
      <c r="Q1134" s="187" t="s">
        <v>4117</v>
      </c>
      <c r="R1134" s="190" t="s">
        <v>17</v>
      </c>
      <c r="S1134" s="187" t="s">
        <v>4118</v>
      </c>
      <c r="T1134" s="187">
        <v>1150405999</v>
      </c>
      <c r="U1134" s="195">
        <v>42128</v>
      </c>
      <c r="V1134" s="190" t="s">
        <v>186</v>
      </c>
      <c r="W1134" s="192">
        <f t="shared" si="701"/>
        <v>0</v>
      </c>
      <c r="X1134" s="192" t="str">
        <f t="shared" si="702"/>
        <v>Correcto</v>
      </c>
    </row>
    <row r="1135" spans="1:24" ht="18" customHeight="1" x14ac:dyDescent="0.25">
      <c r="A1135" s="193">
        <v>1126</v>
      </c>
      <c r="B1135" s="187" t="s">
        <v>4119</v>
      </c>
      <c r="C1135" s="188">
        <v>42117</v>
      </c>
      <c r="D1135" s="194">
        <v>2</v>
      </c>
      <c r="E1135" s="189" t="s">
        <v>93</v>
      </c>
      <c r="F1135" s="187" t="s">
        <v>1654</v>
      </c>
      <c r="G1135" s="189" t="s">
        <v>202</v>
      </c>
      <c r="H1135" s="188">
        <v>42128</v>
      </c>
      <c r="I1135" s="189" t="s">
        <v>187</v>
      </c>
      <c r="J1135" s="189" t="s">
        <v>103</v>
      </c>
      <c r="K1135" s="187" t="s">
        <v>4117</v>
      </c>
      <c r="L1135" s="188">
        <v>42128</v>
      </c>
      <c r="M1135" s="187" t="s">
        <v>1914</v>
      </c>
      <c r="N1135" s="190" t="s">
        <v>185</v>
      </c>
      <c r="O1135" s="188">
        <v>42122</v>
      </c>
      <c r="P1135" s="191">
        <f t="shared" si="700"/>
        <v>5</v>
      </c>
      <c r="Q1135" s="187" t="s">
        <v>4120</v>
      </c>
      <c r="R1135" s="190" t="s">
        <v>17</v>
      </c>
      <c r="S1135" s="187" t="s">
        <v>4121</v>
      </c>
      <c r="T1135" s="187">
        <v>1103487789</v>
      </c>
      <c r="U1135" s="195">
        <v>42122</v>
      </c>
      <c r="V1135" s="190" t="s">
        <v>186</v>
      </c>
      <c r="W1135" s="192">
        <f t="shared" si="701"/>
        <v>0</v>
      </c>
      <c r="X1135" s="192" t="str">
        <f t="shared" si="702"/>
        <v>Correcto</v>
      </c>
    </row>
    <row r="1136" spans="1:24" ht="18" customHeight="1" x14ac:dyDescent="0.25">
      <c r="A1136" s="193">
        <v>1127</v>
      </c>
      <c r="B1136" s="187" t="s">
        <v>4122</v>
      </c>
      <c r="C1136" s="188">
        <v>42117</v>
      </c>
      <c r="D1136" s="194">
        <v>2</v>
      </c>
      <c r="E1136" s="189" t="s">
        <v>93</v>
      </c>
      <c r="F1136" s="187" t="s">
        <v>1654</v>
      </c>
      <c r="G1136" s="189" t="s">
        <v>202</v>
      </c>
      <c r="H1136" s="188">
        <v>42122</v>
      </c>
      <c r="I1136" s="189" t="s">
        <v>187</v>
      </c>
      <c r="J1136" s="189" t="s">
        <v>103</v>
      </c>
      <c r="K1136" s="187" t="s">
        <v>4120</v>
      </c>
      <c r="L1136" s="188">
        <v>42122</v>
      </c>
      <c r="M1136" s="187" t="s">
        <v>1914</v>
      </c>
      <c r="N1136" s="190" t="s">
        <v>185</v>
      </c>
      <c r="O1136" s="188">
        <v>42128</v>
      </c>
      <c r="P1136" s="191">
        <f t="shared" si="700"/>
        <v>11</v>
      </c>
      <c r="Q1136" s="187" t="s">
        <v>4123</v>
      </c>
      <c r="R1136" s="190" t="s">
        <v>17</v>
      </c>
      <c r="S1136" s="187" t="s">
        <v>4124</v>
      </c>
      <c r="T1136" s="187">
        <v>1104024342</v>
      </c>
      <c r="U1136" s="195">
        <v>42128</v>
      </c>
      <c r="V1136" s="190" t="s">
        <v>186</v>
      </c>
      <c r="W1136" s="192">
        <f t="shared" si="701"/>
        <v>0</v>
      </c>
      <c r="X1136" s="192" t="str">
        <f t="shared" si="702"/>
        <v>Correcto</v>
      </c>
    </row>
    <row r="1137" spans="1:24" ht="18" customHeight="1" x14ac:dyDescent="0.25">
      <c r="A1137" s="193">
        <v>1128</v>
      </c>
      <c r="B1137" s="187" t="s">
        <v>4125</v>
      </c>
      <c r="C1137" s="188">
        <v>42117</v>
      </c>
      <c r="D1137" s="194">
        <v>9</v>
      </c>
      <c r="E1137" s="189" t="s">
        <v>93</v>
      </c>
      <c r="F1137" s="187" t="s">
        <v>825</v>
      </c>
      <c r="G1137" s="189" t="s">
        <v>202</v>
      </c>
      <c r="H1137" s="188">
        <v>42128</v>
      </c>
      <c r="I1137" s="189" t="s">
        <v>187</v>
      </c>
      <c r="J1137" s="189" t="s">
        <v>103</v>
      </c>
      <c r="K1137" s="187" t="s">
        <v>4123</v>
      </c>
      <c r="L1137" s="188">
        <v>42128</v>
      </c>
      <c r="M1137" s="187" t="s">
        <v>1914</v>
      </c>
      <c r="N1137" s="190" t="s">
        <v>185</v>
      </c>
      <c r="O1137" s="188">
        <v>42122</v>
      </c>
      <c r="P1137" s="191">
        <f t="shared" si="700"/>
        <v>5</v>
      </c>
      <c r="Q1137" s="187" t="s">
        <v>4126</v>
      </c>
      <c r="R1137" s="190" t="s">
        <v>2438</v>
      </c>
      <c r="S1137" s="187" t="s">
        <v>101</v>
      </c>
      <c r="T1137" s="187" t="s">
        <v>4098</v>
      </c>
      <c r="U1137" s="195">
        <v>42123</v>
      </c>
      <c r="V1137" s="190" t="s">
        <v>186</v>
      </c>
      <c r="W1137" s="192">
        <f t="shared" si="701"/>
        <v>0</v>
      </c>
      <c r="X1137" s="192" t="str">
        <f t="shared" si="702"/>
        <v>Correcto</v>
      </c>
    </row>
    <row r="1138" spans="1:24" ht="18" customHeight="1" x14ac:dyDescent="0.25">
      <c r="A1138" s="193">
        <v>1129</v>
      </c>
      <c r="B1138" s="187" t="s">
        <v>4127</v>
      </c>
      <c r="C1138" s="188">
        <v>42117</v>
      </c>
      <c r="D1138" s="194">
        <v>2</v>
      </c>
      <c r="E1138" s="189" t="s">
        <v>93</v>
      </c>
      <c r="F1138" s="187" t="s">
        <v>825</v>
      </c>
      <c r="G1138" s="189" t="s">
        <v>202</v>
      </c>
      <c r="H1138" s="188">
        <v>42121</v>
      </c>
      <c r="I1138" s="189" t="s">
        <v>187</v>
      </c>
      <c r="J1138" s="189" t="s">
        <v>103</v>
      </c>
      <c r="K1138" s="187" t="s">
        <v>4128</v>
      </c>
      <c r="L1138" s="188">
        <v>42121</v>
      </c>
      <c r="M1138" s="187" t="s">
        <v>1914</v>
      </c>
      <c r="N1138" s="190" t="s">
        <v>185</v>
      </c>
      <c r="O1138" s="188">
        <v>42121</v>
      </c>
      <c r="P1138" s="191">
        <f t="shared" si="700"/>
        <v>4</v>
      </c>
      <c r="Q1138" s="187" t="s">
        <v>4129</v>
      </c>
      <c r="R1138" s="190" t="s">
        <v>2438</v>
      </c>
      <c r="S1138" s="187" t="s">
        <v>101</v>
      </c>
      <c r="T1138" s="187" t="s">
        <v>4098</v>
      </c>
      <c r="U1138" s="195">
        <v>42123</v>
      </c>
      <c r="V1138" s="190" t="s">
        <v>186</v>
      </c>
      <c r="W1138" s="192">
        <f t="shared" si="701"/>
        <v>0</v>
      </c>
      <c r="X1138" s="192" t="str">
        <f t="shared" si="702"/>
        <v>Correcto</v>
      </c>
    </row>
    <row r="1139" spans="1:24" ht="18" customHeight="1" x14ac:dyDescent="0.25">
      <c r="A1139" s="193">
        <v>1130</v>
      </c>
      <c r="B1139" s="187" t="s">
        <v>4130</v>
      </c>
      <c r="C1139" s="188">
        <v>42117</v>
      </c>
      <c r="D1139" s="194">
        <v>2</v>
      </c>
      <c r="E1139" s="189" t="s">
        <v>93</v>
      </c>
      <c r="F1139" s="187" t="s">
        <v>825</v>
      </c>
      <c r="G1139" s="189" t="s">
        <v>202</v>
      </c>
      <c r="H1139" s="188">
        <v>42121</v>
      </c>
      <c r="I1139" s="189" t="s">
        <v>187</v>
      </c>
      <c r="J1139" s="189" t="s">
        <v>103</v>
      </c>
      <c r="K1139" s="187" t="s">
        <v>4131</v>
      </c>
      <c r="L1139" s="188">
        <v>42121</v>
      </c>
      <c r="M1139" s="187" t="s">
        <v>1914</v>
      </c>
      <c r="N1139" s="190" t="s">
        <v>185</v>
      </c>
      <c r="O1139" s="188">
        <v>42121</v>
      </c>
      <c r="P1139" s="191">
        <f t="shared" si="700"/>
        <v>4</v>
      </c>
      <c r="Q1139" s="187" t="s">
        <v>4132</v>
      </c>
      <c r="R1139" s="190" t="s">
        <v>2438</v>
      </c>
      <c r="S1139" s="187" t="s">
        <v>101</v>
      </c>
      <c r="T1139" s="187" t="s">
        <v>4098</v>
      </c>
      <c r="U1139" s="195">
        <v>42123</v>
      </c>
      <c r="V1139" s="190" t="s">
        <v>186</v>
      </c>
      <c r="W1139" s="192">
        <f t="shared" si="701"/>
        <v>0</v>
      </c>
      <c r="X1139" s="192" t="str">
        <f t="shared" si="702"/>
        <v>Correcto</v>
      </c>
    </row>
    <row r="1140" spans="1:24" ht="18" customHeight="1" x14ac:dyDescent="0.25">
      <c r="A1140" s="193">
        <v>1131</v>
      </c>
      <c r="B1140" s="187" t="s">
        <v>4133</v>
      </c>
      <c r="C1140" s="188">
        <v>42117</v>
      </c>
      <c r="D1140" s="194">
        <v>9</v>
      </c>
      <c r="E1140" s="189" t="s">
        <v>93</v>
      </c>
      <c r="F1140" s="187" t="s">
        <v>825</v>
      </c>
      <c r="G1140" s="189" t="s">
        <v>202</v>
      </c>
      <c r="H1140" s="188">
        <v>42121</v>
      </c>
      <c r="I1140" s="189" t="s">
        <v>187</v>
      </c>
      <c r="J1140" s="189" t="s">
        <v>103</v>
      </c>
      <c r="K1140" s="187" t="s">
        <v>4134</v>
      </c>
      <c r="L1140" s="188">
        <v>42121</v>
      </c>
      <c r="M1140" s="187" t="s">
        <v>1914</v>
      </c>
      <c r="N1140" s="190" t="s">
        <v>185</v>
      </c>
      <c r="O1140" s="188">
        <v>42122</v>
      </c>
      <c r="P1140" s="191">
        <f t="shared" si="700"/>
        <v>5</v>
      </c>
      <c r="Q1140" s="187" t="s">
        <v>4135</v>
      </c>
      <c r="R1140" s="190" t="s">
        <v>2438</v>
      </c>
      <c r="S1140" s="187" t="s">
        <v>101</v>
      </c>
      <c r="T1140" s="187" t="s">
        <v>4098</v>
      </c>
      <c r="U1140" s="195">
        <v>42123</v>
      </c>
      <c r="V1140" s="190" t="s">
        <v>186</v>
      </c>
      <c r="W1140" s="192">
        <f t="shared" si="701"/>
        <v>0</v>
      </c>
      <c r="X1140" s="192" t="str">
        <f t="shared" si="702"/>
        <v>Correcto</v>
      </c>
    </row>
    <row r="1141" spans="1:24" ht="18" customHeight="1" x14ac:dyDescent="0.25">
      <c r="A1141" s="193">
        <v>1132</v>
      </c>
      <c r="B1141" s="187" t="s">
        <v>4136</v>
      </c>
      <c r="C1141" s="188">
        <v>42117</v>
      </c>
      <c r="D1141" s="194">
        <v>9</v>
      </c>
      <c r="E1141" s="189" t="s">
        <v>93</v>
      </c>
      <c r="F1141" s="187" t="s">
        <v>825</v>
      </c>
      <c r="G1141" s="189" t="s">
        <v>202</v>
      </c>
      <c r="H1141" s="188">
        <v>42121</v>
      </c>
      <c r="I1141" s="189" t="s">
        <v>187</v>
      </c>
      <c r="J1141" s="189" t="s">
        <v>103</v>
      </c>
      <c r="K1141" s="187" t="s">
        <v>4137</v>
      </c>
      <c r="L1141" s="188">
        <v>42121</v>
      </c>
      <c r="M1141" s="187" t="s">
        <v>1914</v>
      </c>
      <c r="N1141" s="190" t="s">
        <v>185</v>
      </c>
      <c r="O1141" s="188">
        <v>42122</v>
      </c>
      <c r="P1141" s="191">
        <f t="shared" si="700"/>
        <v>5</v>
      </c>
      <c r="Q1141" s="187" t="s">
        <v>4138</v>
      </c>
      <c r="R1141" s="190" t="s">
        <v>2438</v>
      </c>
      <c r="S1141" s="187" t="s">
        <v>101</v>
      </c>
      <c r="T1141" s="187" t="s">
        <v>4098</v>
      </c>
      <c r="U1141" s="195">
        <v>42123</v>
      </c>
      <c r="V1141" s="190" t="s">
        <v>186</v>
      </c>
      <c r="W1141" s="192">
        <f t="shared" si="701"/>
        <v>0</v>
      </c>
      <c r="X1141" s="192" t="str">
        <f t="shared" si="702"/>
        <v>Correcto</v>
      </c>
    </row>
    <row r="1142" spans="1:24" ht="18" customHeight="1" x14ac:dyDescent="0.25">
      <c r="A1142" s="193">
        <v>1133</v>
      </c>
      <c r="B1142" s="187" t="s">
        <v>4139</v>
      </c>
      <c r="C1142" s="188">
        <v>42117</v>
      </c>
      <c r="D1142" s="194">
        <v>2</v>
      </c>
      <c r="E1142" s="189" t="s">
        <v>93</v>
      </c>
      <c r="F1142" s="187" t="s">
        <v>825</v>
      </c>
      <c r="G1142" s="189" t="s">
        <v>202</v>
      </c>
      <c r="H1142" s="188">
        <v>42121</v>
      </c>
      <c r="I1142" s="189" t="s">
        <v>187</v>
      </c>
      <c r="J1142" s="189" t="s">
        <v>103</v>
      </c>
      <c r="K1142" s="187" t="s">
        <v>4140</v>
      </c>
      <c r="L1142" s="188">
        <v>42121</v>
      </c>
      <c r="M1142" s="187" t="s">
        <v>1914</v>
      </c>
      <c r="N1142" s="190" t="s">
        <v>185</v>
      </c>
      <c r="O1142" s="188">
        <v>42121</v>
      </c>
      <c r="P1142" s="191">
        <f t="shared" si="700"/>
        <v>4</v>
      </c>
      <c r="Q1142" s="187" t="s">
        <v>4141</v>
      </c>
      <c r="R1142" s="190" t="s">
        <v>2438</v>
      </c>
      <c r="S1142" s="187" t="s">
        <v>101</v>
      </c>
      <c r="T1142" s="187" t="s">
        <v>4098</v>
      </c>
      <c r="U1142" s="195">
        <v>42123</v>
      </c>
      <c r="V1142" s="190" t="s">
        <v>186</v>
      </c>
      <c r="W1142" s="192">
        <f t="shared" si="701"/>
        <v>0</v>
      </c>
      <c r="X1142" s="192" t="str">
        <f t="shared" si="702"/>
        <v>Correcto</v>
      </c>
    </row>
    <row r="1143" spans="1:24" ht="18" customHeight="1" x14ac:dyDescent="0.25">
      <c r="A1143" s="193">
        <v>1134</v>
      </c>
      <c r="B1143" s="187" t="s">
        <v>4142</v>
      </c>
      <c r="C1143" s="188">
        <v>42117</v>
      </c>
      <c r="D1143" s="194">
        <v>9</v>
      </c>
      <c r="E1143" s="189" t="s">
        <v>93</v>
      </c>
      <c r="F1143" s="187" t="s">
        <v>825</v>
      </c>
      <c r="G1143" s="189" t="s">
        <v>202</v>
      </c>
      <c r="H1143" s="188">
        <v>42121</v>
      </c>
      <c r="I1143" s="189" t="s">
        <v>187</v>
      </c>
      <c r="J1143" s="189" t="s">
        <v>103</v>
      </c>
      <c r="K1143" s="187" t="s">
        <v>4143</v>
      </c>
      <c r="L1143" s="188">
        <v>42121</v>
      </c>
      <c r="M1143" s="187" t="s">
        <v>1914</v>
      </c>
      <c r="N1143" s="190" t="s">
        <v>185</v>
      </c>
      <c r="O1143" s="188">
        <v>42122</v>
      </c>
      <c r="P1143" s="191">
        <f t="shared" si="700"/>
        <v>5</v>
      </c>
      <c r="Q1143" s="187" t="s">
        <v>4144</v>
      </c>
      <c r="R1143" s="190" t="s">
        <v>2438</v>
      </c>
      <c r="S1143" s="187" t="s">
        <v>101</v>
      </c>
      <c r="T1143" s="187" t="s">
        <v>4098</v>
      </c>
      <c r="U1143" s="195">
        <v>42123</v>
      </c>
      <c r="V1143" s="190" t="s">
        <v>186</v>
      </c>
      <c r="W1143" s="192">
        <f t="shared" si="701"/>
        <v>0</v>
      </c>
      <c r="X1143" s="192" t="str">
        <f t="shared" si="702"/>
        <v>Correcto</v>
      </c>
    </row>
    <row r="1144" spans="1:24" ht="18" customHeight="1" x14ac:dyDescent="0.25">
      <c r="A1144" s="193">
        <v>1135</v>
      </c>
      <c r="B1144" s="187" t="s">
        <v>4145</v>
      </c>
      <c r="C1144" s="188">
        <v>42117</v>
      </c>
      <c r="D1144" s="194">
        <v>2</v>
      </c>
      <c r="E1144" s="189" t="s">
        <v>93</v>
      </c>
      <c r="F1144" s="187" t="s">
        <v>825</v>
      </c>
      <c r="G1144" s="189" t="s">
        <v>202</v>
      </c>
      <c r="H1144" s="188">
        <v>42121</v>
      </c>
      <c r="I1144" s="189" t="s">
        <v>187</v>
      </c>
      <c r="J1144" s="189" t="s">
        <v>103</v>
      </c>
      <c r="K1144" s="187" t="s">
        <v>4146</v>
      </c>
      <c r="L1144" s="188">
        <v>42121</v>
      </c>
      <c r="M1144" s="187" t="s">
        <v>1914</v>
      </c>
      <c r="N1144" s="190" t="s">
        <v>185</v>
      </c>
      <c r="O1144" s="188">
        <v>42121</v>
      </c>
      <c r="P1144" s="191">
        <f t="shared" si="700"/>
        <v>4</v>
      </c>
      <c r="Q1144" s="187" t="s">
        <v>4147</v>
      </c>
      <c r="R1144" s="190" t="s">
        <v>2438</v>
      </c>
      <c r="S1144" s="187" t="s">
        <v>101</v>
      </c>
      <c r="T1144" s="187" t="s">
        <v>4098</v>
      </c>
      <c r="U1144" s="195">
        <v>42123</v>
      </c>
      <c r="V1144" s="190" t="s">
        <v>186</v>
      </c>
      <c r="W1144" s="192">
        <f t="shared" si="701"/>
        <v>0</v>
      </c>
      <c r="X1144" s="192" t="str">
        <f t="shared" si="702"/>
        <v>Correcto</v>
      </c>
    </row>
    <row r="1145" spans="1:24" ht="18" customHeight="1" x14ac:dyDescent="0.25">
      <c r="A1145" s="193">
        <v>1136</v>
      </c>
      <c r="B1145" s="187" t="s">
        <v>4148</v>
      </c>
      <c r="C1145" s="188">
        <v>42117</v>
      </c>
      <c r="D1145" s="194">
        <v>5</v>
      </c>
      <c r="E1145" s="189" t="s">
        <v>93</v>
      </c>
      <c r="F1145" s="187" t="s">
        <v>825</v>
      </c>
      <c r="G1145" s="189" t="s">
        <v>202</v>
      </c>
      <c r="H1145" s="188">
        <v>42121</v>
      </c>
      <c r="I1145" s="189" t="s">
        <v>187</v>
      </c>
      <c r="J1145" s="189" t="s">
        <v>103</v>
      </c>
      <c r="K1145" s="187" t="s">
        <v>4149</v>
      </c>
      <c r="L1145" s="188">
        <v>42121</v>
      </c>
      <c r="M1145" s="187" t="s">
        <v>1914</v>
      </c>
      <c r="N1145" s="190" t="s">
        <v>185</v>
      </c>
      <c r="O1145" s="188">
        <v>42121</v>
      </c>
      <c r="P1145" s="191">
        <f t="shared" si="700"/>
        <v>4</v>
      </c>
      <c r="Q1145" s="187" t="s">
        <v>4150</v>
      </c>
      <c r="R1145" s="190" t="s">
        <v>2438</v>
      </c>
      <c r="S1145" s="187" t="s">
        <v>101</v>
      </c>
      <c r="T1145" s="187" t="s">
        <v>4098</v>
      </c>
      <c r="U1145" s="195">
        <v>42123</v>
      </c>
      <c r="V1145" s="190" t="s">
        <v>186</v>
      </c>
      <c r="W1145" s="192">
        <f t="shared" si="701"/>
        <v>0</v>
      </c>
      <c r="X1145" s="192" t="str">
        <f t="shared" si="702"/>
        <v>Correcto</v>
      </c>
    </row>
    <row r="1146" spans="1:24" ht="18" customHeight="1" x14ac:dyDescent="0.25">
      <c r="A1146" s="193">
        <v>1137</v>
      </c>
      <c r="B1146" s="187" t="s">
        <v>4151</v>
      </c>
      <c r="C1146" s="188">
        <v>42117</v>
      </c>
      <c r="D1146" s="194">
        <v>5</v>
      </c>
      <c r="E1146" s="189" t="s">
        <v>93</v>
      </c>
      <c r="F1146" s="187" t="s">
        <v>825</v>
      </c>
      <c r="G1146" s="189" t="s">
        <v>202</v>
      </c>
      <c r="H1146" s="188">
        <v>42121</v>
      </c>
      <c r="I1146" s="189" t="s">
        <v>187</v>
      </c>
      <c r="J1146" s="189" t="s">
        <v>103</v>
      </c>
      <c r="K1146" s="187" t="s">
        <v>4152</v>
      </c>
      <c r="L1146" s="188">
        <v>42121</v>
      </c>
      <c r="M1146" s="187" t="s">
        <v>1914</v>
      </c>
      <c r="N1146" s="190" t="s">
        <v>185</v>
      </c>
      <c r="O1146" s="188">
        <v>42121</v>
      </c>
      <c r="P1146" s="191">
        <f t="shared" ref="P1146:P1201" si="703">O1146-C1146</f>
        <v>4</v>
      </c>
      <c r="Q1146" s="187" t="s">
        <v>4153</v>
      </c>
      <c r="R1146" s="190" t="s">
        <v>2438</v>
      </c>
      <c r="S1146" s="187" t="s">
        <v>101</v>
      </c>
      <c r="T1146" s="187" t="s">
        <v>4098</v>
      </c>
      <c r="U1146" s="195">
        <v>42123</v>
      </c>
      <c r="V1146" s="190" t="s">
        <v>186</v>
      </c>
      <c r="W1146" s="192">
        <f t="shared" si="701"/>
        <v>0</v>
      </c>
      <c r="X1146" s="192" t="str">
        <f t="shared" si="702"/>
        <v>Correcto</v>
      </c>
    </row>
    <row r="1147" spans="1:24" ht="18" customHeight="1" x14ac:dyDescent="0.25">
      <c r="A1147" s="193">
        <v>1138</v>
      </c>
      <c r="B1147" s="187" t="s">
        <v>4154</v>
      </c>
      <c r="C1147" s="188">
        <v>42117</v>
      </c>
      <c r="D1147" s="194">
        <v>2</v>
      </c>
      <c r="E1147" s="189" t="s">
        <v>93</v>
      </c>
      <c r="F1147" s="187" t="s">
        <v>825</v>
      </c>
      <c r="G1147" s="189" t="s">
        <v>202</v>
      </c>
      <c r="H1147" s="188">
        <v>42121</v>
      </c>
      <c r="I1147" s="189" t="s">
        <v>187</v>
      </c>
      <c r="J1147" s="189" t="s">
        <v>103</v>
      </c>
      <c r="K1147" s="187" t="s">
        <v>4155</v>
      </c>
      <c r="L1147" s="188">
        <v>42121</v>
      </c>
      <c r="M1147" s="187" t="s">
        <v>1914</v>
      </c>
      <c r="N1147" s="190" t="s">
        <v>185</v>
      </c>
      <c r="O1147" s="188">
        <v>42121</v>
      </c>
      <c r="P1147" s="191">
        <f t="shared" si="703"/>
        <v>4</v>
      </c>
      <c r="Q1147" s="187" t="s">
        <v>4156</v>
      </c>
      <c r="R1147" s="190" t="s">
        <v>2438</v>
      </c>
      <c r="S1147" s="187" t="s">
        <v>101</v>
      </c>
      <c r="T1147" s="187" t="s">
        <v>4098</v>
      </c>
      <c r="U1147" s="195">
        <v>42123</v>
      </c>
      <c r="V1147" s="190" t="s">
        <v>186</v>
      </c>
      <c r="W1147" s="192">
        <f t="shared" si="701"/>
        <v>0</v>
      </c>
      <c r="X1147" s="192" t="str">
        <f t="shared" si="702"/>
        <v>Correcto</v>
      </c>
    </row>
    <row r="1148" spans="1:24" ht="18" customHeight="1" x14ac:dyDescent="0.25">
      <c r="A1148" s="193">
        <v>1139</v>
      </c>
      <c r="B1148" s="187" t="s">
        <v>4157</v>
      </c>
      <c r="C1148" s="188">
        <v>42117</v>
      </c>
      <c r="D1148" s="194">
        <v>5</v>
      </c>
      <c r="E1148" s="189" t="s">
        <v>93</v>
      </c>
      <c r="F1148" s="187" t="s">
        <v>825</v>
      </c>
      <c r="G1148" s="189" t="s">
        <v>202</v>
      </c>
      <c r="H1148" s="188">
        <v>42121</v>
      </c>
      <c r="I1148" s="189" t="s">
        <v>187</v>
      </c>
      <c r="J1148" s="189" t="s">
        <v>103</v>
      </c>
      <c r="K1148" s="187" t="s">
        <v>4158</v>
      </c>
      <c r="L1148" s="188">
        <v>42121</v>
      </c>
      <c r="M1148" s="187" t="s">
        <v>1914</v>
      </c>
      <c r="N1148" s="190" t="s">
        <v>185</v>
      </c>
      <c r="O1148" s="188">
        <v>42121</v>
      </c>
      <c r="P1148" s="191">
        <f t="shared" si="703"/>
        <v>4</v>
      </c>
      <c r="Q1148" s="187" t="s">
        <v>4159</v>
      </c>
      <c r="R1148" s="190" t="s">
        <v>2438</v>
      </c>
      <c r="S1148" s="187" t="s">
        <v>101</v>
      </c>
      <c r="T1148" s="187" t="s">
        <v>4098</v>
      </c>
      <c r="U1148" s="195">
        <v>42123</v>
      </c>
      <c r="V1148" s="190" t="s">
        <v>186</v>
      </c>
      <c r="W1148" s="192">
        <f t="shared" si="701"/>
        <v>0</v>
      </c>
      <c r="X1148" s="192" t="str">
        <f t="shared" si="702"/>
        <v>Correcto</v>
      </c>
    </row>
    <row r="1149" spans="1:24" ht="18" customHeight="1" x14ac:dyDescent="0.25">
      <c r="A1149" s="193">
        <v>1140</v>
      </c>
      <c r="B1149" s="187" t="s">
        <v>4160</v>
      </c>
      <c r="C1149" s="188">
        <v>42117</v>
      </c>
      <c r="D1149" s="194">
        <v>2</v>
      </c>
      <c r="E1149" s="189" t="s">
        <v>93</v>
      </c>
      <c r="F1149" s="187" t="s">
        <v>825</v>
      </c>
      <c r="G1149" s="189" t="s">
        <v>202</v>
      </c>
      <c r="H1149" s="188">
        <v>42121</v>
      </c>
      <c r="I1149" s="189" t="s">
        <v>187</v>
      </c>
      <c r="J1149" s="189" t="s">
        <v>103</v>
      </c>
      <c r="K1149" s="187" t="s">
        <v>4161</v>
      </c>
      <c r="L1149" s="188">
        <v>42121</v>
      </c>
      <c r="M1149" s="187" t="s">
        <v>1914</v>
      </c>
      <c r="N1149" s="190" t="s">
        <v>185</v>
      </c>
      <c r="O1149" s="188">
        <v>42129</v>
      </c>
      <c r="P1149" s="191">
        <f t="shared" si="703"/>
        <v>12</v>
      </c>
      <c r="Q1149" s="187" t="s">
        <v>4162</v>
      </c>
      <c r="R1149" s="190" t="s">
        <v>17</v>
      </c>
      <c r="S1149" s="187" t="s">
        <v>101</v>
      </c>
      <c r="T1149" s="187" t="s">
        <v>1007</v>
      </c>
      <c r="U1149" s="195">
        <v>42130</v>
      </c>
      <c r="V1149" s="190" t="s">
        <v>186</v>
      </c>
      <c r="W1149" s="192">
        <f t="shared" si="701"/>
        <v>0</v>
      </c>
      <c r="X1149" s="192" t="str">
        <f t="shared" si="702"/>
        <v>Correcto</v>
      </c>
    </row>
    <row r="1150" spans="1:24" ht="18" customHeight="1" x14ac:dyDescent="0.25">
      <c r="A1150" s="193">
        <v>1141</v>
      </c>
      <c r="B1150" s="187" t="s">
        <v>4163</v>
      </c>
      <c r="C1150" s="188">
        <v>42117</v>
      </c>
      <c r="D1150" s="194">
        <v>2</v>
      </c>
      <c r="E1150" s="189" t="s">
        <v>93</v>
      </c>
      <c r="F1150" s="187" t="s">
        <v>825</v>
      </c>
      <c r="G1150" s="189" t="s">
        <v>202</v>
      </c>
      <c r="H1150" s="188">
        <v>42129</v>
      </c>
      <c r="I1150" s="189" t="s">
        <v>187</v>
      </c>
      <c r="J1150" s="189" t="s">
        <v>103</v>
      </c>
      <c r="K1150" s="187" t="s">
        <v>4164</v>
      </c>
      <c r="L1150" s="188">
        <v>42129</v>
      </c>
      <c r="M1150" s="187" t="s">
        <v>1914</v>
      </c>
      <c r="N1150" s="190" t="s">
        <v>185</v>
      </c>
      <c r="O1150" s="188">
        <v>42129</v>
      </c>
      <c r="P1150" s="191">
        <f t="shared" si="703"/>
        <v>12</v>
      </c>
      <c r="Q1150" s="187" t="s">
        <v>4165</v>
      </c>
      <c r="R1150" s="190" t="s">
        <v>17</v>
      </c>
      <c r="S1150" s="187" t="s">
        <v>101</v>
      </c>
      <c r="T1150" s="187" t="s">
        <v>1007</v>
      </c>
      <c r="U1150" s="195">
        <v>42130</v>
      </c>
      <c r="V1150" s="190" t="s">
        <v>186</v>
      </c>
      <c r="W1150" s="192">
        <f t="shared" si="701"/>
        <v>0</v>
      </c>
      <c r="X1150" s="192" t="str">
        <f t="shared" si="702"/>
        <v>Correcto</v>
      </c>
    </row>
    <row r="1151" spans="1:24" ht="18" customHeight="1" x14ac:dyDescent="0.25">
      <c r="A1151" s="193">
        <v>1142</v>
      </c>
      <c r="B1151" s="187" t="s">
        <v>4166</v>
      </c>
      <c r="C1151" s="188">
        <v>42118</v>
      </c>
      <c r="D1151" s="194">
        <v>2</v>
      </c>
      <c r="E1151" s="189" t="s">
        <v>93</v>
      </c>
      <c r="F1151" s="187" t="s">
        <v>1654</v>
      </c>
      <c r="G1151" s="189" t="s">
        <v>202</v>
      </c>
      <c r="H1151" s="188">
        <v>42129</v>
      </c>
      <c r="I1151" s="189" t="s">
        <v>187</v>
      </c>
      <c r="J1151" s="189" t="s">
        <v>103</v>
      </c>
      <c r="K1151" s="187" t="s">
        <v>4167</v>
      </c>
      <c r="L1151" s="188">
        <v>42129</v>
      </c>
      <c r="M1151" s="187" t="s">
        <v>1914</v>
      </c>
      <c r="N1151" s="190" t="s">
        <v>185</v>
      </c>
      <c r="O1151" s="188">
        <v>42128</v>
      </c>
      <c r="P1151" s="191">
        <f t="shared" si="703"/>
        <v>10</v>
      </c>
      <c r="Q1151" s="187" t="s">
        <v>4168</v>
      </c>
      <c r="R1151" s="190" t="s">
        <v>17</v>
      </c>
      <c r="S1151" s="187" t="s">
        <v>4169</v>
      </c>
      <c r="T1151" s="187">
        <v>1105033045</v>
      </c>
      <c r="U1151" s="188">
        <v>42128</v>
      </c>
      <c r="V1151" s="190" t="s">
        <v>186</v>
      </c>
      <c r="W1151" s="192">
        <f t="shared" si="701"/>
        <v>0</v>
      </c>
      <c r="X1151" s="192" t="str">
        <f t="shared" si="702"/>
        <v>Correcto</v>
      </c>
    </row>
    <row r="1152" spans="1:24" ht="18" customHeight="1" x14ac:dyDescent="0.25">
      <c r="A1152" s="193">
        <v>1143</v>
      </c>
      <c r="B1152" s="187" t="s">
        <v>4170</v>
      </c>
      <c r="C1152" s="188">
        <v>42118</v>
      </c>
      <c r="D1152" s="194">
        <v>2</v>
      </c>
      <c r="E1152" s="189" t="s">
        <v>93</v>
      </c>
      <c r="F1152" s="187" t="s">
        <v>1654</v>
      </c>
      <c r="G1152" s="189" t="s">
        <v>202</v>
      </c>
      <c r="H1152" s="188">
        <v>42128</v>
      </c>
      <c r="I1152" s="189" t="s">
        <v>187</v>
      </c>
      <c r="J1152" s="189" t="s">
        <v>103</v>
      </c>
      <c r="K1152" s="187" t="s">
        <v>4168</v>
      </c>
      <c r="L1152" s="188">
        <v>42128</v>
      </c>
      <c r="M1152" s="187" t="s">
        <v>1914</v>
      </c>
      <c r="N1152" s="190" t="s">
        <v>185</v>
      </c>
      <c r="O1152" s="188">
        <v>42128</v>
      </c>
      <c r="P1152" s="191">
        <f t="shared" si="703"/>
        <v>10</v>
      </c>
      <c r="Q1152" s="187" t="s">
        <v>4171</v>
      </c>
      <c r="R1152" s="190" t="s">
        <v>17</v>
      </c>
      <c r="S1152" s="187" t="s">
        <v>4172</v>
      </c>
      <c r="T1152" s="187">
        <v>1104960925</v>
      </c>
      <c r="U1152" s="188">
        <v>42128</v>
      </c>
      <c r="V1152" s="190" t="s">
        <v>186</v>
      </c>
      <c r="W1152" s="192">
        <f t="shared" si="701"/>
        <v>0</v>
      </c>
      <c r="X1152" s="192" t="str">
        <f t="shared" si="702"/>
        <v>Correcto</v>
      </c>
    </row>
    <row r="1153" spans="1:24" ht="18" customHeight="1" x14ac:dyDescent="0.25">
      <c r="A1153" s="193">
        <v>1144</v>
      </c>
      <c r="B1153" s="187" t="s">
        <v>4173</v>
      </c>
      <c r="C1153" s="188">
        <v>42118</v>
      </c>
      <c r="D1153" s="194">
        <v>2</v>
      </c>
      <c r="E1153" s="189" t="s">
        <v>93</v>
      </c>
      <c r="F1153" s="187" t="s">
        <v>1654</v>
      </c>
      <c r="G1153" s="189" t="s">
        <v>202</v>
      </c>
      <c r="H1153" s="188">
        <v>42128</v>
      </c>
      <c r="I1153" s="189" t="s">
        <v>187</v>
      </c>
      <c r="J1153" s="189" t="s">
        <v>103</v>
      </c>
      <c r="K1153" s="187" t="s">
        <v>4171</v>
      </c>
      <c r="L1153" s="188">
        <v>42128</v>
      </c>
      <c r="M1153" s="187" t="s">
        <v>1914</v>
      </c>
      <c r="N1153" s="190" t="s">
        <v>185</v>
      </c>
      <c r="O1153" s="188">
        <v>42128</v>
      </c>
      <c r="P1153" s="191">
        <f t="shared" si="703"/>
        <v>10</v>
      </c>
      <c r="Q1153" s="187" t="s">
        <v>4174</v>
      </c>
      <c r="R1153" s="190" t="s">
        <v>17</v>
      </c>
      <c r="S1153" s="187" t="s">
        <v>4175</v>
      </c>
      <c r="T1153" s="187">
        <v>1103321012</v>
      </c>
      <c r="U1153" s="188">
        <v>42128</v>
      </c>
      <c r="V1153" s="190" t="s">
        <v>186</v>
      </c>
      <c r="W1153" s="192">
        <f t="shared" si="701"/>
        <v>0</v>
      </c>
      <c r="X1153" s="192" t="str">
        <f t="shared" si="702"/>
        <v>Correcto</v>
      </c>
    </row>
    <row r="1154" spans="1:24" ht="18" customHeight="1" x14ac:dyDescent="0.25">
      <c r="A1154" s="193">
        <v>1145</v>
      </c>
      <c r="B1154" s="187" t="s">
        <v>4176</v>
      </c>
      <c r="C1154" s="188">
        <v>42118</v>
      </c>
      <c r="D1154" s="194">
        <v>5</v>
      </c>
      <c r="E1154" s="189" t="s">
        <v>93</v>
      </c>
      <c r="F1154" s="187" t="s">
        <v>1654</v>
      </c>
      <c r="G1154" s="189" t="s">
        <v>202</v>
      </c>
      <c r="H1154" s="188">
        <v>42130</v>
      </c>
      <c r="I1154" s="189" t="s">
        <v>187</v>
      </c>
      <c r="J1154" s="189" t="s">
        <v>103</v>
      </c>
      <c r="K1154" s="187" t="s">
        <v>4177</v>
      </c>
      <c r="L1154" s="188">
        <v>42130</v>
      </c>
      <c r="M1154" s="187" t="s">
        <v>1914</v>
      </c>
      <c r="N1154" s="190" t="s">
        <v>185</v>
      </c>
      <c r="O1154" s="188">
        <v>42130</v>
      </c>
      <c r="P1154" s="191">
        <f t="shared" si="703"/>
        <v>12</v>
      </c>
      <c r="Q1154" s="187" t="s">
        <v>4177</v>
      </c>
      <c r="R1154" s="190" t="s">
        <v>17</v>
      </c>
      <c r="S1154" s="187" t="s">
        <v>4178</v>
      </c>
      <c r="T1154" s="187">
        <v>1103003040</v>
      </c>
      <c r="U1154" s="195">
        <v>42130</v>
      </c>
      <c r="V1154" s="190" t="s">
        <v>186</v>
      </c>
      <c r="W1154" s="192">
        <f t="shared" si="701"/>
        <v>0</v>
      </c>
      <c r="X1154" s="192" t="str">
        <f t="shared" si="702"/>
        <v>Correcto</v>
      </c>
    </row>
    <row r="1155" spans="1:24" ht="18" customHeight="1" x14ac:dyDescent="0.25">
      <c r="A1155" s="193">
        <v>1146</v>
      </c>
      <c r="B1155" s="187" t="s">
        <v>4179</v>
      </c>
      <c r="C1155" s="188">
        <v>42118</v>
      </c>
      <c r="D1155" s="194">
        <v>2</v>
      </c>
      <c r="E1155" s="189" t="s">
        <v>93</v>
      </c>
      <c r="F1155" s="187" t="s">
        <v>1654</v>
      </c>
      <c r="G1155" s="189" t="s">
        <v>202</v>
      </c>
      <c r="H1155" s="188">
        <v>42128</v>
      </c>
      <c r="I1155" s="189" t="s">
        <v>187</v>
      </c>
      <c r="J1155" s="189" t="s">
        <v>103</v>
      </c>
      <c r="K1155" s="187" t="s">
        <v>4180</v>
      </c>
      <c r="L1155" s="188">
        <v>42128</v>
      </c>
      <c r="M1155" s="187" t="s">
        <v>1914</v>
      </c>
      <c r="N1155" s="190" t="s">
        <v>185</v>
      </c>
      <c r="O1155" s="188">
        <v>42128</v>
      </c>
      <c r="P1155" s="191">
        <f t="shared" si="703"/>
        <v>10</v>
      </c>
      <c r="Q1155" s="187" t="s">
        <v>4180</v>
      </c>
      <c r="R1155" s="190" t="s">
        <v>17</v>
      </c>
      <c r="S1155" s="187" t="s">
        <v>4181</v>
      </c>
      <c r="T1155" s="187">
        <v>1103840706</v>
      </c>
      <c r="U1155" s="188">
        <v>42128</v>
      </c>
      <c r="V1155" s="190" t="s">
        <v>186</v>
      </c>
      <c r="W1155" s="192">
        <f t="shared" si="701"/>
        <v>0</v>
      </c>
      <c r="X1155" s="192" t="str">
        <f t="shared" si="702"/>
        <v>Correcto</v>
      </c>
    </row>
    <row r="1156" spans="1:24" ht="18" customHeight="1" x14ac:dyDescent="0.25">
      <c r="A1156" s="193">
        <v>1147</v>
      </c>
      <c r="B1156" s="187" t="s">
        <v>4182</v>
      </c>
      <c r="C1156" s="188">
        <v>42121</v>
      </c>
      <c r="D1156" s="194">
        <v>8</v>
      </c>
      <c r="E1156" s="189" t="s">
        <v>93</v>
      </c>
      <c r="F1156" s="187" t="s">
        <v>825</v>
      </c>
      <c r="G1156" s="189" t="s">
        <v>202</v>
      </c>
      <c r="H1156" s="188">
        <v>42142</v>
      </c>
      <c r="I1156" s="189" t="s">
        <v>187</v>
      </c>
      <c r="J1156" s="189" t="s">
        <v>103</v>
      </c>
      <c r="K1156" s="187" t="s">
        <v>4183</v>
      </c>
      <c r="L1156" s="188">
        <v>42142</v>
      </c>
      <c r="M1156" s="187" t="s">
        <v>1914</v>
      </c>
      <c r="N1156" s="190" t="s">
        <v>185</v>
      </c>
      <c r="O1156" s="188">
        <v>42145</v>
      </c>
      <c r="P1156" s="191">
        <f t="shared" si="703"/>
        <v>24</v>
      </c>
      <c r="Q1156" s="187" t="s">
        <v>4184</v>
      </c>
      <c r="R1156" s="190" t="s">
        <v>17</v>
      </c>
      <c r="S1156" s="187" t="s">
        <v>101</v>
      </c>
      <c r="T1156" s="187" t="s">
        <v>2258</v>
      </c>
      <c r="U1156" s="195">
        <v>42149</v>
      </c>
      <c r="V1156" s="190" t="s">
        <v>186</v>
      </c>
      <c r="W1156" s="192">
        <f t="shared" si="701"/>
        <v>0</v>
      </c>
      <c r="X1156" s="192" t="str">
        <f t="shared" si="702"/>
        <v>Correcto</v>
      </c>
    </row>
    <row r="1157" spans="1:24" ht="18" customHeight="1" x14ac:dyDescent="0.25">
      <c r="A1157" s="193">
        <v>1148</v>
      </c>
      <c r="B1157" s="187" t="s">
        <v>4185</v>
      </c>
      <c r="C1157" s="188">
        <v>42121</v>
      </c>
      <c r="D1157" s="194">
        <v>2</v>
      </c>
      <c r="E1157" s="189" t="s">
        <v>93</v>
      </c>
      <c r="F1157" s="187" t="s">
        <v>825</v>
      </c>
      <c r="G1157" s="189" t="s">
        <v>202</v>
      </c>
      <c r="H1157" s="188">
        <v>42130</v>
      </c>
      <c r="I1157" s="189" t="s">
        <v>187</v>
      </c>
      <c r="J1157" s="189" t="s">
        <v>103</v>
      </c>
      <c r="K1157" s="187" t="s">
        <v>4186</v>
      </c>
      <c r="L1157" s="188">
        <v>42130</v>
      </c>
      <c r="M1157" s="187" t="s">
        <v>1914</v>
      </c>
      <c r="N1157" s="190" t="s">
        <v>185</v>
      </c>
      <c r="O1157" s="188">
        <v>42131</v>
      </c>
      <c r="P1157" s="191">
        <f t="shared" si="703"/>
        <v>10</v>
      </c>
      <c r="Q1157" s="187" t="s">
        <v>4187</v>
      </c>
      <c r="R1157" s="190" t="s">
        <v>17</v>
      </c>
      <c r="S1157" s="187" t="s">
        <v>101</v>
      </c>
      <c r="T1157" s="187" t="s">
        <v>953</v>
      </c>
      <c r="U1157" s="195">
        <v>42135</v>
      </c>
      <c r="V1157" s="190" t="s">
        <v>186</v>
      </c>
      <c r="W1157" s="192">
        <f t="shared" si="701"/>
        <v>0</v>
      </c>
      <c r="X1157" s="192" t="str">
        <f t="shared" si="702"/>
        <v>Correcto</v>
      </c>
    </row>
    <row r="1158" spans="1:24" ht="18" customHeight="1" x14ac:dyDescent="0.25">
      <c r="A1158" s="193">
        <v>1149</v>
      </c>
      <c r="B1158" s="187" t="s">
        <v>4188</v>
      </c>
      <c r="C1158" s="188">
        <v>42121</v>
      </c>
      <c r="D1158" s="194">
        <v>2</v>
      </c>
      <c r="E1158" s="189" t="s">
        <v>93</v>
      </c>
      <c r="F1158" s="187" t="s">
        <v>1654</v>
      </c>
      <c r="G1158" s="189" t="s">
        <v>202</v>
      </c>
      <c r="H1158" s="188">
        <v>42128</v>
      </c>
      <c r="I1158" s="189" t="s">
        <v>187</v>
      </c>
      <c r="J1158" s="189" t="s">
        <v>103</v>
      </c>
      <c r="K1158" s="187" t="s">
        <v>4189</v>
      </c>
      <c r="L1158" s="188">
        <v>42128</v>
      </c>
      <c r="M1158" s="187" t="s">
        <v>1914</v>
      </c>
      <c r="N1158" s="190" t="s">
        <v>185</v>
      </c>
      <c r="O1158" s="188">
        <v>42128</v>
      </c>
      <c r="P1158" s="191">
        <f t="shared" si="703"/>
        <v>7</v>
      </c>
      <c r="Q1158" s="187" t="s">
        <v>4189</v>
      </c>
      <c r="R1158" s="190" t="s">
        <v>17</v>
      </c>
      <c r="S1158" s="187" t="s">
        <v>4190</v>
      </c>
      <c r="T1158" s="187">
        <v>1104478886</v>
      </c>
      <c r="U1158" s="188">
        <v>42128</v>
      </c>
      <c r="V1158" s="190" t="s">
        <v>186</v>
      </c>
      <c r="W1158" s="192">
        <f t="shared" si="701"/>
        <v>0</v>
      </c>
      <c r="X1158" s="192" t="str">
        <f t="shared" si="702"/>
        <v>Correcto</v>
      </c>
    </row>
    <row r="1159" spans="1:24" ht="18" customHeight="1" x14ac:dyDescent="0.25">
      <c r="A1159" s="193">
        <v>1150</v>
      </c>
      <c r="B1159" s="187" t="s">
        <v>4191</v>
      </c>
      <c r="C1159" s="188">
        <v>42121</v>
      </c>
      <c r="D1159" s="194">
        <v>2</v>
      </c>
      <c r="E1159" s="189" t="s">
        <v>93</v>
      </c>
      <c r="F1159" s="187" t="s">
        <v>825</v>
      </c>
      <c r="G1159" s="189" t="s">
        <v>202</v>
      </c>
      <c r="H1159" s="188">
        <v>42130</v>
      </c>
      <c r="I1159" s="189" t="s">
        <v>187</v>
      </c>
      <c r="J1159" s="189" t="s">
        <v>103</v>
      </c>
      <c r="K1159" s="187" t="s">
        <v>4192</v>
      </c>
      <c r="L1159" s="188">
        <v>42130</v>
      </c>
      <c r="M1159" s="187" t="s">
        <v>1914</v>
      </c>
      <c r="N1159" s="190" t="s">
        <v>185</v>
      </c>
      <c r="O1159" s="188">
        <v>42131</v>
      </c>
      <c r="P1159" s="191">
        <f t="shared" si="703"/>
        <v>10</v>
      </c>
      <c r="Q1159" s="187" t="s">
        <v>4193</v>
      </c>
      <c r="R1159" s="190" t="s">
        <v>17</v>
      </c>
      <c r="S1159" s="187" t="s">
        <v>101</v>
      </c>
      <c r="T1159" s="187" t="s">
        <v>1012</v>
      </c>
      <c r="U1159" s="195">
        <v>42135</v>
      </c>
      <c r="V1159" s="190" t="s">
        <v>186</v>
      </c>
      <c r="W1159" s="192">
        <f t="shared" si="701"/>
        <v>0</v>
      </c>
      <c r="X1159" s="192" t="str">
        <f t="shared" si="702"/>
        <v>Correcto</v>
      </c>
    </row>
    <row r="1160" spans="1:24" ht="18" customHeight="1" x14ac:dyDescent="0.25">
      <c r="A1160" s="193">
        <v>1151</v>
      </c>
      <c r="B1160" s="187" t="s">
        <v>4194</v>
      </c>
      <c r="C1160" s="188">
        <v>42121</v>
      </c>
      <c r="D1160" s="194">
        <v>12</v>
      </c>
      <c r="E1160" s="189" t="s">
        <v>93</v>
      </c>
      <c r="F1160" s="187" t="s">
        <v>825</v>
      </c>
      <c r="G1160" s="189" t="s">
        <v>202</v>
      </c>
      <c r="H1160" s="188">
        <v>42122</v>
      </c>
      <c r="I1160" s="189" t="s">
        <v>187</v>
      </c>
      <c r="J1160" s="189" t="s">
        <v>103</v>
      </c>
      <c r="K1160" s="187" t="s">
        <v>4195</v>
      </c>
      <c r="L1160" s="188">
        <v>42122</v>
      </c>
      <c r="M1160" s="187" t="s">
        <v>1914</v>
      </c>
      <c r="N1160" s="190" t="s">
        <v>185</v>
      </c>
      <c r="O1160" s="188">
        <v>42122</v>
      </c>
      <c r="P1160" s="191">
        <f t="shared" si="703"/>
        <v>1</v>
      </c>
      <c r="Q1160" s="187" t="s">
        <v>4196</v>
      </c>
      <c r="R1160" s="190" t="s">
        <v>17</v>
      </c>
      <c r="S1160" s="187" t="s">
        <v>101</v>
      </c>
      <c r="T1160" s="187" t="s">
        <v>1024</v>
      </c>
      <c r="U1160" s="195">
        <v>42122</v>
      </c>
      <c r="V1160" s="190" t="s">
        <v>186</v>
      </c>
      <c r="W1160" s="192">
        <f t="shared" si="701"/>
        <v>0</v>
      </c>
      <c r="X1160" s="192" t="str">
        <f t="shared" si="702"/>
        <v>Correcto</v>
      </c>
    </row>
    <row r="1161" spans="1:24" ht="18" customHeight="1" x14ac:dyDescent="0.25">
      <c r="A1161" s="193">
        <v>1152</v>
      </c>
      <c r="B1161" s="187" t="s">
        <v>4197</v>
      </c>
      <c r="C1161" s="188">
        <v>42121</v>
      </c>
      <c r="D1161" s="194">
        <v>2</v>
      </c>
      <c r="E1161" s="189" t="s">
        <v>93</v>
      </c>
      <c r="F1161" s="187" t="s">
        <v>825</v>
      </c>
      <c r="G1161" s="189" t="s">
        <v>202</v>
      </c>
      <c r="H1161" s="188">
        <v>42130</v>
      </c>
      <c r="I1161" s="189" t="s">
        <v>187</v>
      </c>
      <c r="J1161" s="189" t="s">
        <v>103</v>
      </c>
      <c r="K1161" s="187" t="s">
        <v>4198</v>
      </c>
      <c r="L1161" s="188">
        <v>42130</v>
      </c>
      <c r="M1161" s="187" t="s">
        <v>1914</v>
      </c>
      <c r="N1161" s="190" t="s">
        <v>185</v>
      </c>
      <c r="O1161" s="188">
        <v>42131</v>
      </c>
      <c r="P1161" s="191">
        <f t="shared" si="703"/>
        <v>10</v>
      </c>
      <c r="Q1161" s="187" t="s">
        <v>4199</v>
      </c>
      <c r="R1161" s="190" t="s">
        <v>977</v>
      </c>
      <c r="S1161" s="187" t="s">
        <v>101</v>
      </c>
      <c r="T1161" s="187" t="s">
        <v>4200</v>
      </c>
      <c r="U1161" s="195">
        <v>42132</v>
      </c>
      <c r="V1161" s="190" t="s">
        <v>186</v>
      </c>
      <c r="W1161" s="192">
        <f t="shared" ref="W1161:W1201" si="704">COUNTBLANK(C1161:V1161)</f>
        <v>0</v>
      </c>
      <c r="X1161" s="192" t="str">
        <f t="shared" si="702"/>
        <v>Correcto</v>
      </c>
    </row>
    <row r="1162" spans="1:24" ht="18" customHeight="1" x14ac:dyDescent="0.25">
      <c r="A1162" s="193">
        <v>1153</v>
      </c>
      <c r="B1162" s="187" t="s">
        <v>4201</v>
      </c>
      <c r="C1162" s="188">
        <v>42121</v>
      </c>
      <c r="D1162" s="194">
        <v>3</v>
      </c>
      <c r="E1162" s="189" t="s">
        <v>93</v>
      </c>
      <c r="F1162" s="187" t="s">
        <v>825</v>
      </c>
      <c r="G1162" s="189" t="s">
        <v>202</v>
      </c>
      <c r="H1162" s="188">
        <v>42142</v>
      </c>
      <c r="I1162" s="189" t="s">
        <v>187</v>
      </c>
      <c r="J1162" s="189" t="s">
        <v>103</v>
      </c>
      <c r="K1162" s="187" t="s">
        <v>4202</v>
      </c>
      <c r="L1162" s="188">
        <v>42142</v>
      </c>
      <c r="M1162" s="187" t="s">
        <v>1914</v>
      </c>
      <c r="N1162" s="190" t="s">
        <v>185</v>
      </c>
      <c r="O1162" s="188">
        <v>42145</v>
      </c>
      <c r="P1162" s="191">
        <f t="shared" si="703"/>
        <v>24</v>
      </c>
      <c r="Q1162" s="187" t="s">
        <v>4203</v>
      </c>
      <c r="R1162" s="190" t="s">
        <v>17</v>
      </c>
      <c r="S1162" s="187" t="s">
        <v>101</v>
      </c>
      <c r="T1162" s="187" t="s">
        <v>1024</v>
      </c>
      <c r="U1162" s="195">
        <v>42149</v>
      </c>
      <c r="V1162" s="190" t="s">
        <v>186</v>
      </c>
      <c r="W1162" s="192">
        <f t="shared" si="704"/>
        <v>0</v>
      </c>
      <c r="X1162" s="192" t="str">
        <f t="shared" si="702"/>
        <v>Correcto</v>
      </c>
    </row>
    <row r="1163" spans="1:24" ht="18" customHeight="1" x14ac:dyDescent="0.25">
      <c r="A1163" s="193">
        <v>1154</v>
      </c>
      <c r="B1163" s="187" t="s">
        <v>4204</v>
      </c>
      <c r="C1163" s="188">
        <v>42121</v>
      </c>
      <c r="D1163" s="194">
        <v>2</v>
      </c>
      <c r="E1163" s="189" t="s">
        <v>93</v>
      </c>
      <c r="F1163" s="187" t="s">
        <v>825</v>
      </c>
      <c r="G1163" s="189" t="s">
        <v>202</v>
      </c>
      <c r="H1163" s="188">
        <v>42130</v>
      </c>
      <c r="I1163" s="189" t="s">
        <v>187</v>
      </c>
      <c r="J1163" s="189" t="s">
        <v>103</v>
      </c>
      <c r="K1163" s="187" t="s">
        <v>4205</v>
      </c>
      <c r="L1163" s="188">
        <v>42130</v>
      </c>
      <c r="M1163" s="187" t="s">
        <v>1914</v>
      </c>
      <c r="N1163" s="190" t="s">
        <v>185</v>
      </c>
      <c r="O1163" s="188">
        <v>42131</v>
      </c>
      <c r="P1163" s="191">
        <f t="shared" si="703"/>
        <v>10</v>
      </c>
      <c r="Q1163" s="187" t="s">
        <v>4206</v>
      </c>
      <c r="R1163" s="190" t="s">
        <v>605</v>
      </c>
      <c r="S1163" s="187" t="s">
        <v>101</v>
      </c>
      <c r="T1163" s="187" t="s">
        <v>4207</v>
      </c>
      <c r="U1163" s="195">
        <v>42132</v>
      </c>
      <c r="V1163" s="190" t="s">
        <v>186</v>
      </c>
      <c r="W1163" s="192">
        <f t="shared" si="704"/>
        <v>0</v>
      </c>
      <c r="X1163" s="192" t="str">
        <f t="shared" si="702"/>
        <v>Correcto</v>
      </c>
    </row>
    <row r="1164" spans="1:24" ht="18" customHeight="1" x14ac:dyDescent="0.25">
      <c r="A1164" s="193">
        <v>1155</v>
      </c>
      <c r="B1164" s="187" t="s">
        <v>4208</v>
      </c>
      <c r="C1164" s="188">
        <v>42121</v>
      </c>
      <c r="D1164" s="194">
        <v>18</v>
      </c>
      <c r="E1164" s="189" t="s">
        <v>93</v>
      </c>
      <c r="F1164" s="187" t="s">
        <v>1654</v>
      </c>
      <c r="G1164" s="189" t="s">
        <v>202</v>
      </c>
      <c r="H1164" s="188">
        <v>42122</v>
      </c>
      <c r="I1164" s="189" t="s">
        <v>187</v>
      </c>
      <c r="J1164" s="189" t="s">
        <v>103</v>
      </c>
      <c r="K1164" s="187" t="s">
        <v>4209</v>
      </c>
      <c r="L1164" s="188">
        <v>42122</v>
      </c>
      <c r="M1164" s="187" t="s">
        <v>1914</v>
      </c>
      <c r="N1164" s="190" t="s">
        <v>185</v>
      </c>
      <c r="O1164" s="188">
        <v>42122</v>
      </c>
      <c r="P1164" s="191">
        <f t="shared" si="703"/>
        <v>1</v>
      </c>
      <c r="Q1164" s="187" t="s">
        <v>4209</v>
      </c>
      <c r="R1164" s="190" t="s">
        <v>17</v>
      </c>
      <c r="S1164" s="187" t="s">
        <v>3819</v>
      </c>
      <c r="T1164" s="187">
        <v>1100263456</v>
      </c>
      <c r="U1164" s="195">
        <v>42123</v>
      </c>
      <c r="V1164" s="190" t="s">
        <v>186</v>
      </c>
      <c r="W1164" s="192">
        <f t="shared" si="704"/>
        <v>0</v>
      </c>
      <c r="X1164" s="192" t="str">
        <f t="shared" si="702"/>
        <v>Correcto</v>
      </c>
    </row>
    <row r="1165" spans="1:24" ht="18" customHeight="1" x14ac:dyDescent="0.25">
      <c r="A1165" s="193">
        <v>1156</v>
      </c>
      <c r="B1165" s="187" t="s">
        <v>4210</v>
      </c>
      <c r="C1165" s="188">
        <v>42121</v>
      </c>
      <c r="D1165" s="194">
        <v>2</v>
      </c>
      <c r="E1165" s="189" t="s">
        <v>93</v>
      </c>
      <c r="F1165" s="187" t="s">
        <v>1654</v>
      </c>
      <c r="G1165" s="189" t="s">
        <v>202</v>
      </c>
      <c r="H1165" s="188">
        <v>42128</v>
      </c>
      <c r="I1165" s="189" t="s">
        <v>187</v>
      </c>
      <c r="J1165" s="189" t="s">
        <v>103</v>
      </c>
      <c r="K1165" s="187" t="s">
        <v>4211</v>
      </c>
      <c r="L1165" s="188">
        <v>42128</v>
      </c>
      <c r="M1165" s="187" t="s">
        <v>1914</v>
      </c>
      <c r="N1165" s="190" t="s">
        <v>185</v>
      </c>
      <c r="O1165" s="188">
        <v>42128</v>
      </c>
      <c r="P1165" s="191">
        <f t="shared" si="703"/>
        <v>7</v>
      </c>
      <c r="Q1165" s="187" t="s">
        <v>4211</v>
      </c>
      <c r="R1165" s="190" t="s">
        <v>17</v>
      </c>
      <c r="S1165" s="187" t="s">
        <v>4212</v>
      </c>
      <c r="T1165" s="187">
        <v>1104725807</v>
      </c>
      <c r="U1165" s="188">
        <v>42128</v>
      </c>
      <c r="V1165" s="190" t="s">
        <v>186</v>
      </c>
      <c r="W1165" s="192">
        <f t="shared" si="704"/>
        <v>0</v>
      </c>
      <c r="X1165" s="192" t="str">
        <f t="shared" si="702"/>
        <v>Correcto</v>
      </c>
    </row>
    <row r="1166" spans="1:24" ht="18" customHeight="1" x14ac:dyDescent="0.25">
      <c r="A1166" s="193">
        <v>1157</v>
      </c>
      <c r="B1166" s="187" t="s">
        <v>4213</v>
      </c>
      <c r="C1166" s="188">
        <v>42121</v>
      </c>
      <c r="D1166" s="194">
        <v>2</v>
      </c>
      <c r="E1166" s="189" t="s">
        <v>93</v>
      </c>
      <c r="F1166" s="187" t="s">
        <v>1654</v>
      </c>
      <c r="G1166" s="189" t="s">
        <v>202</v>
      </c>
      <c r="H1166" s="188">
        <v>42128</v>
      </c>
      <c r="I1166" s="189" t="s">
        <v>187</v>
      </c>
      <c r="J1166" s="189" t="s">
        <v>103</v>
      </c>
      <c r="K1166" s="187" t="s">
        <v>4214</v>
      </c>
      <c r="L1166" s="188">
        <v>42128</v>
      </c>
      <c r="M1166" s="187" t="s">
        <v>1914</v>
      </c>
      <c r="N1166" s="190" t="s">
        <v>185</v>
      </c>
      <c r="O1166" s="188">
        <v>42128</v>
      </c>
      <c r="P1166" s="191">
        <f t="shared" si="703"/>
        <v>7</v>
      </c>
      <c r="Q1166" s="187" t="s">
        <v>4214</v>
      </c>
      <c r="R1166" s="190" t="s">
        <v>17</v>
      </c>
      <c r="S1166" s="187" t="s">
        <v>3801</v>
      </c>
      <c r="T1166" s="187">
        <v>1103259576</v>
      </c>
      <c r="U1166" s="188">
        <v>42128</v>
      </c>
      <c r="V1166" s="190" t="s">
        <v>186</v>
      </c>
      <c r="W1166" s="192">
        <f t="shared" si="704"/>
        <v>0</v>
      </c>
      <c r="X1166" s="192" t="str">
        <f t="shared" si="702"/>
        <v>Correcto</v>
      </c>
    </row>
    <row r="1167" spans="1:24" ht="18" customHeight="1" x14ac:dyDescent="0.25">
      <c r="A1167" s="193">
        <v>1158</v>
      </c>
      <c r="B1167" s="187" t="s">
        <v>4215</v>
      </c>
      <c r="C1167" s="188">
        <v>42121</v>
      </c>
      <c r="D1167" s="194">
        <v>2</v>
      </c>
      <c r="E1167" s="189" t="s">
        <v>93</v>
      </c>
      <c r="F1167" s="187" t="s">
        <v>825</v>
      </c>
      <c r="G1167" s="189" t="s">
        <v>202</v>
      </c>
      <c r="H1167" s="188">
        <v>42143</v>
      </c>
      <c r="I1167" s="189" t="s">
        <v>187</v>
      </c>
      <c r="J1167" s="189" t="s">
        <v>103</v>
      </c>
      <c r="K1167" s="187" t="s">
        <v>4216</v>
      </c>
      <c r="L1167" s="188">
        <v>42143</v>
      </c>
      <c r="M1167" s="187" t="s">
        <v>1914</v>
      </c>
      <c r="N1167" s="190" t="s">
        <v>185</v>
      </c>
      <c r="O1167" s="188">
        <v>42145</v>
      </c>
      <c r="P1167" s="191">
        <f t="shared" si="703"/>
        <v>24</v>
      </c>
      <c r="Q1167" s="187" t="s">
        <v>4217</v>
      </c>
      <c r="R1167" s="190" t="s">
        <v>17</v>
      </c>
      <c r="S1167" s="187" t="s">
        <v>101</v>
      </c>
      <c r="T1167" s="187" t="s">
        <v>1150</v>
      </c>
      <c r="U1167" s="195">
        <v>42149</v>
      </c>
      <c r="V1167" s="190" t="s">
        <v>186</v>
      </c>
      <c r="W1167" s="192">
        <f t="shared" si="704"/>
        <v>0</v>
      </c>
      <c r="X1167" s="192" t="str">
        <f t="shared" si="702"/>
        <v>Correcto</v>
      </c>
    </row>
    <row r="1168" spans="1:24" ht="18" customHeight="1" x14ac:dyDescent="0.25">
      <c r="A1168" s="193">
        <v>1159</v>
      </c>
      <c r="B1168" s="187" t="s">
        <v>4218</v>
      </c>
      <c r="C1168" s="188">
        <v>42121</v>
      </c>
      <c r="D1168" s="194">
        <v>2</v>
      </c>
      <c r="E1168" s="189" t="s">
        <v>93</v>
      </c>
      <c r="F1168" s="187" t="s">
        <v>1654</v>
      </c>
      <c r="G1168" s="189" t="s">
        <v>202</v>
      </c>
      <c r="H1168" s="188">
        <v>42128</v>
      </c>
      <c r="I1168" s="189" t="s">
        <v>187</v>
      </c>
      <c r="J1168" s="189" t="s">
        <v>103</v>
      </c>
      <c r="K1168" s="187" t="s">
        <v>4219</v>
      </c>
      <c r="L1168" s="188">
        <v>42128</v>
      </c>
      <c r="M1168" s="187" t="s">
        <v>1914</v>
      </c>
      <c r="N1168" s="190" t="s">
        <v>185</v>
      </c>
      <c r="O1168" s="188">
        <v>42128</v>
      </c>
      <c r="P1168" s="191">
        <f t="shared" si="703"/>
        <v>7</v>
      </c>
      <c r="Q1168" s="187" t="s">
        <v>4219</v>
      </c>
      <c r="R1168" s="190" t="s">
        <v>17</v>
      </c>
      <c r="S1168" s="187" t="s">
        <v>4220</v>
      </c>
      <c r="T1168" s="187">
        <v>1103782924</v>
      </c>
      <c r="U1168" s="188">
        <v>42128</v>
      </c>
      <c r="V1168" s="190" t="s">
        <v>186</v>
      </c>
      <c r="W1168" s="192">
        <f t="shared" si="704"/>
        <v>0</v>
      </c>
      <c r="X1168" s="192" t="str">
        <f t="shared" si="702"/>
        <v>Correcto</v>
      </c>
    </row>
    <row r="1169" spans="1:24" ht="18" customHeight="1" x14ac:dyDescent="0.25">
      <c r="A1169" s="193">
        <v>1160</v>
      </c>
      <c r="B1169" s="187" t="s">
        <v>4221</v>
      </c>
      <c r="C1169" s="188">
        <v>42121</v>
      </c>
      <c r="D1169" s="194">
        <v>2</v>
      </c>
      <c r="E1169" s="189" t="s">
        <v>93</v>
      </c>
      <c r="F1169" s="187" t="s">
        <v>825</v>
      </c>
      <c r="G1169" s="189" t="s">
        <v>202</v>
      </c>
      <c r="H1169" s="188">
        <v>42130</v>
      </c>
      <c r="I1169" s="189" t="s">
        <v>187</v>
      </c>
      <c r="J1169" s="189" t="s">
        <v>103</v>
      </c>
      <c r="K1169" s="187" t="s">
        <v>4222</v>
      </c>
      <c r="L1169" s="188">
        <v>42130</v>
      </c>
      <c r="M1169" s="187" t="s">
        <v>1914</v>
      </c>
      <c r="N1169" s="190" t="s">
        <v>185</v>
      </c>
      <c r="O1169" s="188">
        <v>42132</v>
      </c>
      <c r="P1169" s="191">
        <f t="shared" si="703"/>
        <v>11</v>
      </c>
      <c r="Q1169" s="187" t="s">
        <v>4223</v>
      </c>
      <c r="R1169" s="190" t="s">
        <v>17</v>
      </c>
      <c r="S1169" s="187" t="s">
        <v>101</v>
      </c>
      <c r="T1169" s="187" t="s">
        <v>2730</v>
      </c>
      <c r="U1169" s="195">
        <v>42135</v>
      </c>
      <c r="V1169" s="190" t="s">
        <v>186</v>
      </c>
      <c r="W1169" s="192">
        <f t="shared" si="704"/>
        <v>0</v>
      </c>
      <c r="X1169" s="192" t="str">
        <f t="shared" si="702"/>
        <v>Correcto</v>
      </c>
    </row>
    <row r="1170" spans="1:24" ht="18" customHeight="1" x14ac:dyDescent="0.25">
      <c r="A1170" s="193">
        <v>1161</v>
      </c>
      <c r="B1170" s="187" t="s">
        <v>4224</v>
      </c>
      <c r="C1170" s="188">
        <v>42121</v>
      </c>
      <c r="D1170" s="194">
        <v>2</v>
      </c>
      <c r="E1170" s="189" t="s">
        <v>93</v>
      </c>
      <c r="F1170" s="187" t="s">
        <v>825</v>
      </c>
      <c r="G1170" s="189" t="s">
        <v>202</v>
      </c>
      <c r="H1170" s="188">
        <v>42131</v>
      </c>
      <c r="I1170" s="189" t="s">
        <v>187</v>
      </c>
      <c r="J1170" s="189" t="s">
        <v>103</v>
      </c>
      <c r="K1170" s="189" t="s">
        <v>4225</v>
      </c>
      <c r="L1170" s="188">
        <v>42131</v>
      </c>
      <c r="M1170" s="187" t="s">
        <v>1914</v>
      </c>
      <c r="N1170" s="190" t="s">
        <v>185</v>
      </c>
      <c r="O1170" s="188">
        <v>42132</v>
      </c>
      <c r="P1170" s="191">
        <f t="shared" si="703"/>
        <v>11</v>
      </c>
      <c r="Q1170" s="187" t="s">
        <v>4226</v>
      </c>
      <c r="R1170" s="190" t="s">
        <v>17</v>
      </c>
      <c r="S1170" s="187" t="s">
        <v>101</v>
      </c>
      <c r="T1170" s="187" t="s">
        <v>2458</v>
      </c>
      <c r="U1170" s="195">
        <v>42135</v>
      </c>
      <c r="V1170" s="190" t="s">
        <v>186</v>
      </c>
      <c r="W1170" s="192">
        <f t="shared" si="704"/>
        <v>0</v>
      </c>
      <c r="X1170" s="192" t="str">
        <f t="shared" si="702"/>
        <v>Correcto</v>
      </c>
    </row>
    <row r="1171" spans="1:24" ht="18" customHeight="1" x14ac:dyDescent="0.25">
      <c r="A1171" s="193">
        <v>1162</v>
      </c>
      <c r="B1171" s="187" t="s">
        <v>4227</v>
      </c>
      <c r="C1171" s="188">
        <v>42121</v>
      </c>
      <c r="D1171" s="194">
        <v>2</v>
      </c>
      <c r="E1171" s="189" t="s">
        <v>93</v>
      </c>
      <c r="F1171" s="187" t="s">
        <v>825</v>
      </c>
      <c r="G1171" s="189" t="s">
        <v>202</v>
      </c>
      <c r="H1171" s="195">
        <v>42131</v>
      </c>
      <c r="I1171" s="189" t="s">
        <v>187</v>
      </c>
      <c r="J1171" s="189" t="s">
        <v>103</v>
      </c>
      <c r="K1171" s="189" t="s">
        <v>4228</v>
      </c>
      <c r="L1171" s="188">
        <v>42131</v>
      </c>
      <c r="M1171" s="187" t="s">
        <v>1914</v>
      </c>
      <c r="N1171" s="190" t="s">
        <v>185</v>
      </c>
      <c r="O1171" s="188">
        <v>42132</v>
      </c>
      <c r="P1171" s="191">
        <f t="shared" si="703"/>
        <v>11</v>
      </c>
      <c r="Q1171" s="187" t="s">
        <v>4229</v>
      </c>
      <c r="R1171" s="190" t="s">
        <v>17</v>
      </c>
      <c r="S1171" s="187" t="s">
        <v>101</v>
      </c>
      <c r="T1171" s="187" t="s">
        <v>996</v>
      </c>
      <c r="U1171" s="195">
        <v>42135</v>
      </c>
      <c r="V1171" s="190" t="s">
        <v>186</v>
      </c>
      <c r="W1171" s="192">
        <f t="shared" si="704"/>
        <v>0</v>
      </c>
      <c r="X1171" s="192" t="str">
        <f t="shared" si="702"/>
        <v>Correcto</v>
      </c>
    </row>
    <row r="1172" spans="1:24" ht="18" customHeight="1" x14ac:dyDescent="0.25">
      <c r="A1172" s="193">
        <v>1163</v>
      </c>
      <c r="B1172" s="187" t="s">
        <v>4230</v>
      </c>
      <c r="C1172" s="188">
        <v>42121</v>
      </c>
      <c r="D1172" s="194">
        <v>2</v>
      </c>
      <c r="E1172" s="189" t="s">
        <v>93</v>
      </c>
      <c r="F1172" s="187" t="s">
        <v>825</v>
      </c>
      <c r="G1172" s="189" t="s">
        <v>202</v>
      </c>
      <c r="H1172" s="195">
        <v>42131</v>
      </c>
      <c r="I1172" s="189" t="s">
        <v>187</v>
      </c>
      <c r="J1172" s="189" t="s">
        <v>103</v>
      </c>
      <c r="K1172" s="189" t="s">
        <v>4231</v>
      </c>
      <c r="L1172" s="188">
        <v>42131</v>
      </c>
      <c r="M1172" s="187" t="s">
        <v>1914</v>
      </c>
      <c r="N1172" s="190" t="s">
        <v>185</v>
      </c>
      <c r="O1172" s="188">
        <v>42132</v>
      </c>
      <c r="P1172" s="191">
        <f t="shared" si="703"/>
        <v>11</v>
      </c>
      <c r="Q1172" s="187" t="s">
        <v>4232</v>
      </c>
      <c r="R1172" s="190" t="s">
        <v>17</v>
      </c>
      <c r="S1172" s="187" t="s">
        <v>101</v>
      </c>
      <c r="T1172" s="187" t="s">
        <v>2730</v>
      </c>
      <c r="U1172" s="195">
        <v>42135</v>
      </c>
      <c r="V1172" s="190" t="s">
        <v>186</v>
      </c>
      <c r="W1172" s="192">
        <f t="shared" si="704"/>
        <v>0</v>
      </c>
      <c r="X1172" s="192" t="str">
        <f t="shared" si="702"/>
        <v>Correcto</v>
      </c>
    </row>
    <row r="1173" spans="1:24" ht="18" customHeight="1" x14ac:dyDescent="0.25">
      <c r="A1173" s="193">
        <v>1164</v>
      </c>
      <c r="B1173" s="187" t="s">
        <v>4233</v>
      </c>
      <c r="C1173" s="188">
        <v>42122</v>
      </c>
      <c r="D1173" s="194">
        <v>2</v>
      </c>
      <c r="E1173" s="189" t="s">
        <v>93</v>
      </c>
      <c r="F1173" s="187" t="s">
        <v>825</v>
      </c>
      <c r="G1173" s="189" t="s">
        <v>202</v>
      </c>
      <c r="H1173" s="195">
        <v>42131</v>
      </c>
      <c r="I1173" s="189" t="s">
        <v>187</v>
      </c>
      <c r="J1173" s="189" t="s">
        <v>103</v>
      </c>
      <c r="K1173" s="189" t="s">
        <v>4234</v>
      </c>
      <c r="L1173" s="188">
        <v>42131</v>
      </c>
      <c r="M1173" s="187" t="s">
        <v>1914</v>
      </c>
      <c r="N1173" s="190" t="s">
        <v>185</v>
      </c>
      <c r="O1173" s="188">
        <v>42132</v>
      </c>
      <c r="P1173" s="191">
        <f t="shared" si="703"/>
        <v>10</v>
      </c>
      <c r="Q1173" s="187" t="s">
        <v>4235</v>
      </c>
      <c r="R1173" s="190" t="s">
        <v>17</v>
      </c>
      <c r="S1173" s="187" t="s">
        <v>101</v>
      </c>
      <c r="T1173" s="187" t="s">
        <v>2458</v>
      </c>
      <c r="U1173" s="195">
        <v>42135</v>
      </c>
      <c r="V1173" s="190" t="s">
        <v>186</v>
      </c>
      <c r="W1173" s="192">
        <f t="shared" si="704"/>
        <v>0</v>
      </c>
      <c r="X1173" s="192" t="str">
        <f t="shared" si="702"/>
        <v>Correcto</v>
      </c>
    </row>
    <row r="1174" spans="1:24" ht="18" customHeight="1" x14ac:dyDescent="0.25">
      <c r="A1174" s="193">
        <v>1165</v>
      </c>
      <c r="B1174" s="187" t="s">
        <v>4236</v>
      </c>
      <c r="C1174" s="188">
        <v>42122</v>
      </c>
      <c r="D1174" s="194">
        <v>7</v>
      </c>
      <c r="E1174" s="189" t="s">
        <v>93</v>
      </c>
      <c r="F1174" s="187" t="s">
        <v>825</v>
      </c>
      <c r="G1174" s="189" t="s">
        <v>202</v>
      </c>
      <c r="H1174" s="195">
        <v>42136</v>
      </c>
      <c r="I1174" s="189" t="s">
        <v>187</v>
      </c>
      <c r="J1174" s="189" t="s">
        <v>103</v>
      </c>
      <c r="K1174" s="189" t="s">
        <v>4237</v>
      </c>
      <c r="L1174" s="188">
        <v>42136</v>
      </c>
      <c r="M1174" s="187" t="s">
        <v>1914</v>
      </c>
      <c r="N1174" s="190" t="s">
        <v>185</v>
      </c>
      <c r="O1174" s="188">
        <v>42137</v>
      </c>
      <c r="P1174" s="191">
        <f t="shared" si="703"/>
        <v>15</v>
      </c>
      <c r="Q1174" s="187" t="s">
        <v>4238</v>
      </c>
      <c r="R1174" s="190" t="s">
        <v>17</v>
      </c>
      <c r="S1174" s="187" t="s">
        <v>101</v>
      </c>
      <c r="T1174" s="187" t="s">
        <v>1150</v>
      </c>
      <c r="U1174" s="195">
        <v>42138</v>
      </c>
      <c r="V1174" s="190" t="s">
        <v>186</v>
      </c>
      <c r="W1174" s="192">
        <f t="shared" si="704"/>
        <v>0</v>
      </c>
      <c r="X1174" s="192" t="str">
        <f t="shared" ref="X1174:X1201" si="705">IF(W1174=0,"Correcto","Incorrecto")</f>
        <v>Correcto</v>
      </c>
    </row>
    <row r="1175" spans="1:24" ht="18" customHeight="1" x14ac:dyDescent="0.25">
      <c r="A1175" s="193">
        <v>1166</v>
      </c>
      <c r="B1175" s="187" t="s">
        <v>4239</v>
      </c>
      <c r="C1175" s="188">
        <v>42122</v>
      </c>
      <c r="D1175" s="194">
        <v>13</v>
      </c>
      <c r="E1175" s="189" t="s">
        <v>93</v>
      </c>
      <c r="F1175" s="187" t="s">
        <v>825</v>
      </c>
      <c r="G1175" s="189" t="s">
        <v>202</v>
      </c>
      <c r="H1175" s="195">
        <v>42136</v>
      </c>
      <c r="I1175" s="189" t="s">
        <v>187</v>
      </c>
      <c r="J1175" s="189" t="s">
        <v>103</v>
      </c>
      <c r="K1175" s="189" t="s">
        <v>4240</v>
      </c>
      <c r="L1175" s="188">
        <v>42136</v>
      </c>
      <c r="M1175" s="187" t="s">
        <v>1914</v>
      </c>
      <c r="N1175" s="190" t="s">
        <v>185</v>
      </c>
      <c r="O1175" s="188">
        <v>42146</v>
      </c>
      <c r="P1175" s="191">
        <f t="shared" si="703"/>
        <v>24</v>
      </c>
      <c r="Q1175" s="187" t="s">
        <v>4241</v>
      </c>
      <c r="R1175" s="190" t="s">
        <v>17</v>
      </c>
      <c r="S1175" s="187" t="s">
        <v>101</v>
      </c>
      <c r="T1175" s="187" t="s">
        <v>101</v>
      </c>
      <c r="U1175" s="195">
        <v>42151</v>
      </c>
      <c r="V1175" s="190" t="s">
        <v>186</v>
      </c>
      <c r="W1175" s="192">
        <f t="shared" si="704"/>
        <v>0</v>
      </c>
      <c r="X1175" s="192" t="str">
        <f t="shared" si="705"/>
        <v>Correcto</v>
      </c>
    </row>
    <row r="1176" spans="1:24" ht="18" customHeight="1" x14ac:dyDescent="0.25">
      <c r="A1176" s="193">
        <v>1167</v>
      </c>
      <c r="B1176" s="187" t="s">
        <v>4242</v>
      </c>
      <c r="C1176" s="188">
        <v>42122</v>
      </c>
      <c r="D1176" s="194">
        <v>2</v>
      </c>
      <c r="E1176" s="189" t="s">
        <v>93</v>
      </c>
      <c r="F1176" s="194"/>
      <c r="G1176" s="189" t="s">
        <v>202</v>
      </c>
      <c r="H1176" s="188">
        <v>42130</v>
      </c>
      <c r="I1176" s="189" t="s">
        <v>187</v>
      </c>
      <c r="J1176" s="189" t="s">
        <v>103</v>
      </c>
      <c r="K1176" s="187" t="s">
        <v>4243</v>
      </c>
      <c r="L1176" s="188">
        <v>42130</v>
      </c>
      <c r="M1176" s="187" t="s">
        <v>1914</v>
      </c>
      <c r="N1176" s="190" t="s">
        <v>185</v>
      </c>
      <c r="O1176" s="188">
        <v>42130</v>
      </c>
      <c r="P1176" s="191">
        <f t="shared" si="703"/>
        <v>8</v>
      </c>
      <c r="Q1176" s="187" t="s">
        <v>4243</v>
      </c>
      <c r="R1176" s="190" t="s">
        <v>17</v>
      </c>
      <c r="S1176" s="187" t="s">
        <v>4244</v>
      </c>
      <c r="T1176" s="187">
        <v>1103568711</v>
      </c>
      <c r="U1176" s="188">
        <v>42130</v>
      </c>
      <c r="V1176" s="190" t="s">
        <v>186</v>
      </c>
      <c r="W1176" s="192">
        <f t="shared" si="704"/>
        <v>1</v>
      </c>
      <c r="X1176" s="192" t="str">
        <f t="shared" si="705"/>
        <v>Incorrecto</v>
      </c>
    </row>
    <row r="1177" spans="1:24" ht="18" customHeight="1" x14ac:dyDescent="0.25">
      <c r="A1177" s="193">
        <v>1168</v>
      </c>
      <c r="B1177" s="187" t="s">
        <v>4245</v>
      </c>
      <c r="C1177" s="188">
        <v>42122</v>
      </c>
      <c r="D1177" s="194">
        <v>2</v>
      </c>
      <c r="E1177" s="189" t="s">
        <v>93</v>
      </c>
      <c r="F1177" s="187" t="s">
        <v>825</v>
      </c>
      <c r="G1177" s="189" t="s">
        <v>202</v>
      </c>
      <c r="H1177" s="188">
        <v>42139</v>
      </c>
      <c r="I1177" s="189" t="s">
        <v>187</v>
      </c>
      <c r="J1177" s="189" t="s">
        <v>103</v>
      </c>
      <c r="K1177" s="187" t="s">
        <v>4246</v>
      </c>
      <c r="L1177" s="188">
        <v>42139</v>
      </c>
      <c r="M1177" s="187" t="s">
        <v>1914</v>
      </c>
      <c r="N1177" s="190" t="s">
        <v>185</v>
      </c>
      <c r="O1177" s="188">
        <v>42139</v>
      </c>
      <c r="P1177" s="191">
        <f t="shared" si="703"/>
        <v>17</v>
      </c>
      <c r="Q1177" s="187" t="s">
        <v>4246</v>
      </c>
      <c r="R1177" s="190" t="s">
        <v>17</v>
      </c>
      <c r="S1177" s="187" t="s">
        <v>101</v>
      </c>
      <c r="T1177" s="187" t="s">
        <v>1011</v>
      </c>
      <c r="U1177" s="195">
        <v>42142</v>
      </c>
      <c r="V1177" s="190" t="s">
        <v>186</v>
      </c>
      <c r="W1177" s="192">
        <f t="shared" si="704"/>
        <v>0</v>
      </c>
      <c r="X1177" s="192" t="str">
        <f t="shared" si="705"/>
        <v>Correcto</v>
      </c>
    </row>
    <row r="1178" spans="1:24" ht="18" customHeight="1" x14ac:dyDescent="0.25">
      <c r="A1178" s="193">
        <v>1169</v>
      </c>
      <c r="B1178" s="187" t="s">
        <v>4247</v>
      </c>
      <c r="C1178" s="188">
        <v>42122</v>
      </c>
      <c r="D1178" s="194">
        <v>2</v>
      </c>
      <c r="E1178" s="189" t="s">
        <v>93</v>
      </c>
      <c r="F1178" s="187" t="s">
        <v>825</v>
      </c>
      <c r="G1178" s="189" t="s">
        <v>202</v>
      </c>
      <c r="H1178" s="195">
        <v>42131</v>
      </c>
      <c r="I1178" s="189" t="s">
        <v>187</v>
      </c>
      <c r="J1178" s="189" t="s">
        <v>103</v>
      </c>
      <c r="K1178" s="189" t="s">
        <v>4248</v>
      </c>
      <c r="L1178" s="195">
        <v>42131</v>
      </c>
      <c r="M1178" s="187" t="s">
        <v>1914</v>
      </c>
      <c r="N1178" s="190" t="s">
        <v>185</v>
      </c>
      <c r="O1178" s="188">
        <v>42132</v>
      </c>
      <c r="P1178" s="191">
        <f t="shared" si="703"/>
        <v>10</v>
      </c>
      <c r="Q1178" s="187" t="s">
        <v>4249</v>
      </c>
      <c r="R1178" s="190" t="s">
        <v>17</v>
      </c>
      <c r="S1178" s="187" t="s">
        <v>101</v>
      </c>
      <c r="T1178" s="187" t="s">
        <v>1500</v>
      </c>
      <c r="U1178" s="195">
        <v>42135</v>
      </c>
      <c r="V1178" s="190" t="s">
        <v>186</v>
      </c>
      <c r="W1178" s="192">
        <f t="shared" si="704"/>
        <v>0</v>
      </c>
      <c r="X1178" s="192" t="str">
        <f t="shared" si="705"/>
        <v>Correcto</v>
      </c>
    </row>
    <row r="1179" spans="1:24" ht="18" customHeight="1" x14ac:dyDescent="0.25">
      <c r="A1179" s="193">
        <v>1170</v>
      </c>
      <c r="B1179" s="187" t="s">
        <v>4250</v>
      </c>
      <c r="C1179" s="188">
        <v>42122</v>
      </c>
      <c r="D1179" s="194">
        <v>2</v>
      </c>
      <c r="E1179" s="189" t="s">
        <v>93</v>
      </c>
      <c r="F1179" s="187" t="s">
        <v>825</v>
      </c>
      <c r="G1179" s="189" t="s">
        <v>202</v>
      </c>
      <c r="H1179" s="195">
        <v>42131</v>
      </c>
      <c r="I1179" s="189" t="s">
        <v>187</v>
      </c>
      <c r="J1179" s="189" t="s">
        <v>103</v>
      </c>
      <c r="K1179" s="189" t="s">
        <v>4251</v>
      </c>
      <c r="L1179" s="195">
        <v>42131</v>
      </c>
      <c r="M1179" s="187" t="s">
        <v>1914</v>
      </c>
      <c r="N1179" s="190" t="s">
        <v>185</v>
      </c>
      <c r="O1179" s="188">
        <v>42132</v>
      </c>
      <c r="P1179" s="191">
        <f t="shared" si="703"/>
        <v>10</v>
      </c>
      <c r="Q1179" s="187" t="s">
        <v>4252</v>
      </c>
      <c r="R1179" s="190" t="s">
        <v>17</v>
      </c>
      <c r="S1179" s="187" t="s">
        <v>101</v>
      </c>
      <c r="T1179" s="187" t="s">
        <v>1391</v>
      </c>
      <c r="U1179" s="195">
        <v>42135</v>
      </c>
      <c r="V1179" s="190" t="s">
        <v>186</v>
      </c>
      <c r="W1179" s="192">
        <f t="shared" si="704"/>
        <v>0</v>
      </c>
      <c r="X1179" s="192" t="str">
        <f t="shared" si="705"/>
        <v>Correcto</v>
      </c>
    </row>
    <row r="1180" spans="1:24" ht="18" customHeight="1" x14ac:dyDescent="0.25">
      <c r="A1180" s="193">
        <v>1171</v>
      </c>
      <c r="B1180" s="187" t="s">
        <v>4253</v>
      </c>
      <c r="C1180" s="188">
        <v>42122</v>
      </c>
      <c r="D1180" s="194">
        <v>18</v>
      </c>
      <c r="E1180" s="189" t="s">
        <v>93</v>
      </c>
      <c r="F1180" s="187" t="s">
        <v>825</v>
      </c>
      <c r="G1180" s="189" t="s">
        <v>202</v>
      </c>
      <c r="H1180" s="195">
        <v>42137</v>
      </c>
      <c r="I1180" s="189" t="s">
        <v>187</v>
      </c>
      <c r="J1180" s="189" t="s">
        <v>103</v>
      </c>
      <c r="K1180" s="189" t="s">
        <v>4254</v>
      </c>
      <c r="L1180" s="195">
        <v>42137</v>
      </c>
      <c r="M1180" s="187" t="s">
        <v>1914</v>
      </c>
      <c r="N1180" s="190" t="s">
        <v>185</v>
      </c>
      <c r="O1180" s="188">
        <v>42137</v>
      </c>
      <c r="P1180" s="191">
        <f t="shared" si="703"/>
        <v>15</v>
      </c>
      <c r="Q1180" s="187" t="s">
        <v>4255</v>
      </c>
      <c r="R1180" s="190" t="s">
        <v>17</v>
      </c>
      <c r="S1180" s="187" t="s">
        <v>101</v>
      </c>
      <c r="T1180" s="187" t="s">
        <v>2258</v>
      </c>
      <c r="U1180" s="195">
        <v>42138</v>
      </c>
      <c r="V1180" s="190" t="s">
        <v>186</v>
      </c>
      <c r="W1180" s="192">
        <f t="shared" si="704"/>
        <v>0</v>
      </c>
      <c r="X1180" s="192" t="str">
        <f t="shared" si="705"/>
        <v>Correcto</v>
      </c>
    </row>
    <row r="1181" spans="1:24" ht="18" customHeight="1" x14ac:dyDescent="0.25">
      <c r="A1181" s="193">
        <v>1172</v>
      </c>
      <c r="B1181" s="187" t="s">
        <v>4256</v>
      </c>
      <c r="C1181" s="188">
        <v>42122</v>
      </c>
      <c r="D1181" s="194">
        <v>2</v>
      </c>
      <c r="E1181" s="189" t="s">
        <v>93</v>
      </c>
      <c r="F1181" s="187" t="s">
        <v>825</v>
      </c>
      <c r="G1181" s="189" t="s">
        <v>202</v>
      </c>
      <c r="H1181" s="195">
        <v>42131</v>
      </c>
      <c r="I1181" s="189" t="s">
        <v>187</v>
      </c>
      <c r="J1181" s="189" t="s">
        <v>103</v>
      </c>
      <c r="K1181" s="189" t="s">
        <v>4257</v>
      </c>
      <c r="L1181" s="195">
        <v>42131</v>
      </c>
      <c r="M1181" s="187" t="s">
        <v>1914</v>
      </c>
      <c r="N1181" s="190" t="s">
        <v>185</v>
      </c>
      <c r="O1181" s="188">
        <v>42132</v>
      </c>
      <c r="P1181" s="191">
        <f t="shared" si="703"/>
        <v>10</v>
      </c>
      <c r="Q1181" s="187" t="s">
        <v>4258</v>
      </c>
      <c r="R1181" s="190" t="s">
        <v>17</v>
      </c>
      <c r="S1181" s="187" t="s">
        <v>101</v>
      </c>
      <c r="T1181" s="187" t="s">
        <v>1391</v>
      </c>
      <c r="U1181" s="195">
        <v>42135</v>
      </c>
      <c r="V1181" s="190" t="s">
        <v>186</v>
      </c>
      <c r="W1181" s="192">
        <f t="shared" si="704"/>
        <v>0</v>
      </c>
      <c r="X1181" s="192" t="str">
        <f t="shared" si="705"/>
        <v>Correcto</v>
      </c>
    </row>
    <row r="1182" spans="1:24" ht="18" customHeight="1" x14ac:dyDescent="0.25">
      <c r="A1182" s="193">
        <v>1173</v>
      </c>
      <c r="B1182" s="187" t="s">
        <v>4259</v>
      </c>
      <c r="C1182" s="188">
        <v>42122</v>
      </c>
      <c r="D1182" s="194">
        <v>12</v>
      </c>
      <c r="E1182" s="189" t="s">
        <v>93</v>
      </c>
      <c r="F1182" s="187" t="s">
        <v>825</v>
      </c>
      <c r="G1182" s="189" t="s">
        <v>202</v>
      </c>
      <c r="H1182" s="195">
        <v>42135</v>
      </c>
      <c r="I1182" s="189" t="s">
        <v>187</v>
      </c>
      <c r="J1182" s="189" t="s">
        <v>103</v>
      </c>
      <c r="K1182" s="189" t="s">
        <v>4260</v>
      </c>
      <c r="L1182" s="195">
        <v>42135</v>
      </c>
      <c r="M1182" s="187" t="s">
        <v>1914</v>
      </c>
      <c r="N1182" s="190" t="s">
        <v>185</v>
      </c>
      <c r="O1182" s="188">
        <v>42136</v>
      </c>
      <c r="P1182" s="191">
        <f t="shared" si="703"/>
        <v>14</v>
      </c>
      <c r="Q1182" s="187" t="s">
        <v>4261</v>
      </c>
      <c r="R1182" s="190" t="s">
        <v>2438</v>
      </c>
      <c r="S1182" s="187" t="s">
        <v>101</v>
      </c>
      <c r="T1182" s="187" t="s">
        <v>4262</v>
      </c>
      <c r="U1182" s="195">
        <v>42137</v>
      </c>
      <c r="V1182" s="190" t="s">
        <v>186</v>
      </c>
      <c r="W1182" s="192">
        <f t="shared" si="704"/>
        <v>0</v>
      </c>
      <c r="X1182" s="192" t="str">
        <f t="shared" si="705"/>
        <v>Correcto</v>
      </c>
    </row>
    <row r="1183" spans="1:24" ht="18" customHeight="1" x14ac:dyDescent="0.25">
      <c r="A1183" s="193">
        <v>1174</v>
      </c>
      <c r="B1183" s="187" t="s">
        <v>4263</v>
      </c>
      <c r="C1183" s="188">
        <v>42122</v>
      </c>
      <c r="D1183" s="194">
        <v>12</v>
      </c>
      <c r="E1183" s="189" t="s">
        <v>93</v>
      </c>
      <c r="F1183" s="187" t="s">
        <v>825</v>
      </c>
      <c r="G1183" s="189" t="s">
        <v>202</v>
      </c>
      <c r="H1183" s="195">
        <v>42135</v>
      </c>
      <c r="I1183" s="189" t="s">
        <v>187</v>
      </c>
      <c r="J1183" s="189" t="s">
        <v>103</v>
      </c>
      <c r="K1183" s="189" t="s">
        <v>4264</v>
      </c>
      <c r="L1183" s="195">
        <v>42135</v>
      </c>
      <c r="M1183" s="187" t="s">
        <v>1914</v>
      </c>
      <c r="N1183" s="190" t="s">
        <v>185</v>
      </c>
      <c r="O1183" s="188">
        <v>42136</v>
      </c>
      <c r="P1183" s="191">
        <f t="shared" si="703"/>
        <v>14</v>
      </c>
      <c r="Q1183" s="187" t="s">
        <v>4265</v>
      </c>
      <c r="R1183" s="190" t="s">
        <v>2438</v>
      </c>
      <c r="S1183" s="187" t="s">
        <v>101</v>
      </c>
      <c r="T1183" s="187" t="s">
        <v>4262</v>
      </c>
      <c r="U1183" s="195">
        <v>42137</v>
      </c>
      <c r="V1183" s="190" t="s">
        <v>186</v>
      </c>
      <c r="W1183" s="192">
        <f t="shared" si="704"/>
        <v>0</v>
      </c>
      <c r="X1183" s="192" t="str">
        <f t="shared" si="705"/>
        <v>Correcto</v>
      </c>
    </row>
    <row r="1184" spans="1:24" ht="18" customHeight="1" x14ac:dyDescent="0.25">
      <c r="A1184" s="193">
        <v>1175</v>
      </c>
      <c r="B1184" s="187" t="s">
        <v>4266</v>
      </c>
      <c r="C1184" s="188">
        <v>42122</v>
      </c>
      <c r="D1184" s="194">
        <v>5</v>
      </c>
      <c r="E1184" s="189" t="s">
        <v>93</v>
      </c>
      <c r="F1184" s="187" t="s">
        <v>825</v>
      </c>
      <c r="G1184" s="189" t="s">
        <v>202</v>
      </c>
      <c r="H1184" s="195">
        <v>42137</v>
      </c>
      <c r="I1184" s="189" t="s">
        <v>187</v>
      </c>
      <c r="J1184" s="189" t="s">
        <v>103</v>
      </c>
      <c r="K1184" s="189" t="s">
        <v>4267</v>
      </c>
      <c r="L1184" s="195">
        <v>42137</v>
      </c>
      <c r="M1184" s="187" t="s">
        <v>1914</v>
      </c>
      <c r="N1184" s="190" t="s">
        <v>185</v>
      </c>
      <c r="O1184" s="188">
        <v>42137</v>
      </c>
      <c r="P1184" s="191">
        <f t="shared" si="703"/>
        <v>15</v>
      </c>
      <c r="Q1184" s="187" t="s">
        <v>4268</v>
      </c>
      <c r="R1184" s="190" t="s">
        <v>17</v>
      </c>
      <c r="S1184" s="187" t="s">
        <v>101</v>
      </c>
      <c r="T1184" s="187" t="s">
        <v>4262</v>
      </c>
      <c r="U1184" s="195">
        <v>42137</v>
      </c>
      <c r="V1184" s="190" t="s">
        <v>186</v>
      </c>
      <c r="W1184" s="192">
        <f t="shared" si="704"/>
        <v>0</v>
      </c>
      <c r="X1184" s="192" t="str">
        <f t="shared" si="705"/>
        <v>Correcto</v>
      </c>
    </row>
    <row r="1185" spans="1:24" ht="18" customHeight="1" x14ac:dyDescent="0.25">
      <c r="A1185" s="193">
        <v>1176</v>
      </c>
      <c r="B1185" s="187" t="s">
        <v>4269</v>
      </c>
      <c r="C1185" s="188">
        <v>42122</v>
      </c>
      <c r="D1185" s="194">
        <v>2</v>
      </c>
      <c r="E1185" s="189" t="s">
        <v>93</v>
      </c>
      <c r="F1185" s="187" t="s">
        <v>825</v>
      </c>
      <c r="G1185" s="189" t="s">
        <v>202</v>
      </c>
      <c r="H1185" s="195">
        <v>42131</v>
      </c>
      <c r="I1185" s="189" t="s">
        <v>187</v>
      </c>
      <c r="J1185" s="189" t="s">
        <v>103</v>
      </c>
      <c r="K1185" s="189" t="s">
        <v>4270</v>
      </c>
      <c r="L1185" s="195">
        <v>42131</v>
      </c>
      <c r="M1185" s="187" t="s">
        <v>1914</v>
      </c>
      <c r="N1185" s="190" t="s">
        <v>185</v>
      </c>
      <c r="O1185" s="188">
        <v>42132</v>
      </c>
      <c r="P1185" s="191">
        <f t="shared" si="703"/>
        <v>10</v>
      </c>
      <c r="Q1185" s="187" t="s">
        <v>4271</v>
      </c>
      <c r="R1185" s="190" t="s">
        <v>17</v>
      </c>
      <c r="S1185" s="187" t="s">
        <v>101</v>
      </c>
      <c r="T1185" s="187" t="s">
        <v>1163</v>
      </c>
      <c r="U1185" s="195">
        <v>42135</v>
      </c>
      <c r="V1185" s="190" t="s">
        <v>186</v>
      </c>
      <c r="W1185" s="192">
        <f t="shared" si="704"/>
        <v>0</v>
      </c>
      <c r="X1185" s="192" t="str">
        <f t="shared" si="705"/>
        <v>Correcto</v>
      </c>
    </row>
    <row r="1186" spans="1:24" ht="18" customHeight="1" x14ac:dyDescent="0.25">
      <c r="A1186" s="193">
        <v>1177</v>
      </c>
      <c r="B1186" s="187" t="s">
        <v>4272</v>
      </c>
      <c r="C1186" s="188">
        <v>42122</v>
      </c>
      <c r="D1186" s="194">
        <v>2</v>
      </c>
      <c r="E1186" s="189" t="s">
        <v>93</v>
      </c>
      <c r="F1186" s="187" t="s">
        <v>825</v>
      </c>
      <c r="G1186" s="189" t="s">
        <v>202</v>
      </c>
      <c r="H1186" s="195">
        <v>42131</v>
      </c>
      <c r="I1186" s="189" t="s">
        <v>187</v>
      </c>
      <c r="J1186" s="189" t="s">
        <v>103</v>
      </c>
      <c r="K1186" s="189" t="s">
        <v>4273</v>
      </c>
      <c r="L1186" s="195">
        <v>42131</v>
      </c>
      <c r="M1186" s="187" t="s">
        <v>1914</v>
      </c>
      <c r="N1186" s="190" t="s">
        <v>185</v>
      </c>
      <c r="O1186" s="188">
        <v>42132</v>
      </c>
      <c r="P1186" s="191">
        <f t="shared" si="703"/>
        <v>10</v>
      </c>
      <c r="Q1186" s="187" t="s">
        <v>4274</v>
      </c>
      <c r="R1186" s="190" t="s">
        <v>17</v>
      </c>
      <c r="S1186" s="187" t="s">
        <v>101</v>
      </c>
      <c r="T1186" s="187" t="s">
        <v>1339</v>
      </c>
      <c r="U1186" s="195">
        <v>42135</v>
      </c>
      <c r="V1186" s="190" t="s">
        <v>186</v>
      </c>
      <c r="W1186" s="192">
        <f t="shared" si="704"/>
        <v>0</v>
      </c>
      <c r="X1186" s="192" t="str">
        <f t="shared" si="705"/>
        <v>Correcto</v>
      </c>
    </row>
    <row r="1187" spans="1:24" ht="18" customHeight="1" x14ac:dyDescent="0.25">
      <c r="A1187" s="193">
        <v>1178</v>
      </c>
      <c r="B1187" s="187" t="s">
        <v>4275</v>
      </c>
      <c r="C1187" s="188">
        <v>42122</v>
      </c>
      <c r="D1187" s="194">
        <v>2</v>
      </c>
      <c r="E1187" s="189" t="s">
        <v>93</v>
      </c>
      <c r="F1187" s="187" t="s">
        <v>1654</v>
      </c>
      <c r="G1187" s="189" t="s">
        <v>202</v>
      </c>
      <c r="H1187" s="195">
        <v>42130</v>
      </c>
      <c r="I1187" s="189" t="s">
        <v>187</v>
      </c>
      <c r="J1187" s="189" t="s">
        <v>103</v>
      </c>
      <c r="K1187" s="189" t="s">
        <v>4276</v>
      </c>
      <c r="L1187" s="195">
        <v>42130</v>
      </c>
      <c r="M1187" s="187" t="s">
        <v>1914</v>
      </c>
      <c r="N1187" s="190" t="s">
        <v>185</v>
      </c>
      <c r="O1187" s="195">
        <v>42130</v>
      </c>
      <c r="P1187" s="191">
        <f t="shared" si="703"/>
        <v>8</v>
      </c>
      <c r="Q1187" s="189" t="s">
        <v>4276</v>
      </c>
      <c r="R1187" s="190" t="s">
        <v>17</v>
      </c>
      <c r="S1187" s="187" t="s">
        <v>4277</v>
      </c>
      <c r="T1187" s="187">
        <v>1102048251</v>
      </c>
      <c r="U1187" s="195">
        <v>42130</v>
      </c>
      <c r="V1187" s="190" t="s">
        <v>186</v>
      </c>
      <c r="W1187" s="192">
        <f t="shared" si="704"/>
        <v>0</v>
      </c>
      <c r="X1187" s="192" t="str">
        <f t="shared" si="705"/>
        <v>Correcto</v>
      </c>
    </row>
    <row r="1188" spans="1:24" ht="18" customHeight="1" x14ac:dyDescent="0.25">
      <c r="A1188" s="193">
        <v>1179</v>
      </c>
      <c r="B1188" s="187" t="s">
        <v>4278</v>
      </c>
      <c r="C1188" s="188">
        <v>42122</v>
      </c>
      <c r="D1188" s="194">
        <v>18</v>
      </c>
      <c r="E1188" s="189" t="s">
        <v>93</v>
      </c>
      <c r="F1188" s="187" t="s">
        <v>1654</v>
      </c>
      <c r="G1188" s="189" t="s">
        <v>202</v>
      </c>
      <c r="H1188" s="195">
        <v>42130</v>
      </c>
      <c r="I1188" s="189" t="s">
        <v>187</v>
      </c>
      <c r="J1188" s="189" t="s">
        <v>103</v>
      </c>
      <c r="K1188" s="189" t="s">
        <v>4279</v>
      </c>
      <c r="L1188" s="195">
        <v>42130</v>
      </c>
      <c r="M1188" s="187" t="s">
        <v>1914</v>
      </c>
      <c r="N1188" s="190" t="s">
        <v>185</v>
      </c>
      <c r="O1188" s="195">
        <v>42130</v>
      </c>
      <c r="P1188" s="191">
        <f t="shared" si="703"/>
        <v>8</v>
      </c>
      <c r="Q1188" s="189" t="s">
        <v>4279</v>
      </c>
      <c r="R1188" s="190" t="s">
        <v>17</v>
      </c>
      <c r="S1188" s="187" t="s">
        <v>4280</v>
      </c>
      <c r="T1188" s="187">
        <v>1100078839</v>
      </c>
      <c r="U1188" s="195">
        <v>42130</v>
      </c>
      <c r="V1188" s="190" t="s">
        <v>186</v>
      </c>
      <c r="W1188" s="192">
        <f t="shared" si="704"/>
        <v>0</v>
      </c>
      <c r="X1188" s="192" t="str">
        <f t="shared" si="705"/>
        <v>Correcto</v>
      </c>
    </row>
    <row r="1189" spans="1:24" ht="18" customHeight="1" x14ac:dyDescent="0.25">
      <c r="A1189" s="193">
        <v>1180</v>
      </c>
      <c r="B1189" s="187" t="s">
        <v>4281</v>
      </c>
      <c r="C1189" s="188">
        <v>42122</v>
      </c>
      <c r="D1189" s="194">
        <v>2</v>
      </c>
      <c r="E1189" s="189" t="s">
        <v>93</v>
      </c>
      <c r="F1189" s="187" t="s">
        <v>825</v>
      </c>
      <c r="G1189" s="189" t="s">
        <v>202</v>
      </c>
      <c r="H1189" s="195">
        <v>42131</v>
      </c>
      <c r="I1189" s="189" t="s">
        <v>187</v>
      </c>
      <c r="J1189" s="189" t="s">
        <v>103</v>
      </c>
      <c r="K1189" s="189" t="s">
        <v>4282</v>
      </c>
      <c r="L1189" s="195">
        <v>42131</v>
      </c>
      <c r="M1189" s="187" t="s">
        <v>1914</v>
      </c>
      <c r="N1189" s="190" t="s">
        <v>185</v>
      </c>
      <c r="O1189" s="195">
        <v>42131</v>
      </c>
      <c r="P1189" s="191">
        <f t="shared" si="703"/>
        <v>9</v>
      </c>
      <c r="Q1189" s="187" t="s">
        <v>4283</v>
      </c>
      <c r="R1189" s="190" t="s">
        <v>17</v>
      </c>
      <c r="S1189" s="187" t="s">
        <v>101</v>
      </c>
      <c r="T1189" s="187" t="s">
        <v>2305</v>
      </c>
      <c r="U1189" s="195">
        <v>42135</v>
      </c>
      <c r="V1189" s="190" t="s">
        <v>186</v>
      </c>
      <c r="W1189" s="192">
        <f t="shared" si="704"/>
        <v>0</v>
      </c>
      <c r="X1189" s="192" t="str">
        <f t="shared" si="705"/>
        <v>Correcto</v>
      </c>
    </row>
    <row r="1190" spans="1:24" ht="18" customHeight="1" x14ac:dyDescent="0.25">
      <c r="A1190" s="193">
        <v>1181</v>
      </c>
      <c r="B1190" s="187" t="s">
        <v>4284</v>
      </c>
      <c r="C1190" s="188">
        <v>42123</v>
      </c>
      <c r="D1190" s="194">
        <v>2</v>
      </c>
      <c r="E1190" s="189" t="s">
        <v>93</v>
      </c>
      <c r="F1190" s="187" t="s">
        <v>825</v>
      </c>
      <c r="G1190" s="189" t="s">
        <v>202</v>
      </c>
      <c r="H1190" s="195">
        <v>42131</v>
      </c>
      <c r="I1190" s="189" t="s">
        <v>187</v>
      </c>
      <c r="J1190" s="189" t="s">
        <v>103</v>
      </c>
      <c r="K1190" s="189" t="s">
        <v>4285</v>
      </c>
      <c r="L1190" s="195">
        <v>42131</v>
      </c>
      <c r="M1190" s="187" t="s">
        <v>1914</v>
      </c>
      <c r="N1190" s="190" t="s">
        <v>185</v>
      </c>
      <c r="O1190" s="195">
        <v>42131</v>
      </c>
      <c r="P1190" s="191">
        <f t="shared" si="703"/>
        <v>8</v>
      </c>
      <c r="Q1190" s="187" t="s">
        <v>4286</v>
      </c>
      <c r="R1190" s="190" t="s">
        <v>17</v>
      </c>
      <c r="S1190" s="187" t="s">
        <v>101</v>
      </c>
      <c r="T1190" s="187" t="s">
        <v>1339</v>
      </c>
      <c r="U1190" s="195">
        <v>42135</v>
      </c>
      <c r="V1190" s="190" t="s">
        <v>186</v>
      </c>
      <c r="W1190" s="192">
        <f t="shared" si="704"/>
        <v>0</v>
      </c>
      <c r="X1190" s="192" t="str">
        <f t="shared" si="705"/>
        <v>Correcto</v>
      </c>
    </row>
    <row r="1191" spans="1:24" ht="18" customHeight="1" x14ac:dyDescent="0.25">
      <c r="A1191" s="193">
        <v>1182</v>
      </c>
      <c r="B1191" s="187" t="s">
        <v>4287</v>
      </c>
      <c r="C1191" s="188">
        <v>42123</v>
      </c>
      <c r="D1191" s="194">
        <v>2</v>
      </c>
      <c r="E1191" s="189" t="s">
        <v>93</v>
      </c>
      <c r="F1191" s="187" t="s">
        <v>1654</v>
      </c>
      <c r="G1191" s="189" t="s">
        <v>202</v>
      </c>
      <c r="H1191" s="195">
        <v>42137</v>
      </c>
      <c r="I1191" s="189" t="s">
        <v>187</v>
      </c>
      <c r="J1191" s="189" t="s">
        <v>103</v>
      </c>
      <c r="K1191" s="189" t="s">
        <v>4288</v>
      </c>
      <c r="L1191" s="195">
        <v>42137</v>
      </c>
      <c r="M1191" s="187" t="s">
        <v>1914</v>
      </c>
      <c r="N1191" s="190" t="s">
        <v>185</v>
      </c>
      <c r="O1191" s="195">
        <v>42137</v>
      </c>
      <c r="P1191" s="191">
        <f t="shared" si="703"/>
        <v>14</v>
      </c>
      <c r="Q1191" s="187" t="s">
        <v>4289</v>
      </c>
      <c r="R1191" s="190" t="s">
        <v>17</v>
      </c>
      <c r="S1191" s="187" t="s">
        <v>101</v>
      </c>
      <c r="T1191" s="187" t="s">
        <v>1024</v>
      </c>
      <c r="U1191" s="195">
        <v>42142</v>
      </c>
      <c r="V1191" s="190" t="s">
        <v>186</v>
      </c>
      <c r="W1191" s="192">
        <f t="shared" si="704"/>
        <v>0</v>
      </c>
      <c r="X1191" s="192" t="str">
        <f t="shared" si="705"/>
        <v>Correcto</v>
      </c>
    </row>
    <row r="1192" spans="1:24" ht="18" customHeight="1" x14ac:dyDescent="0.25">
      <c r="A1192" s="193">
        <v>1183</v>
      </c>
      <c r="B1192" s="187" t="s">
        <v>4290</v>
      </c>
      <c r="C1192" s="188">
        <v>42123</v>
      </c>
      <c r="D1192" s="194">
        <v>2</v>
      </c>
      <c r="E1192" s="189" t="s">
        <v>93</v>
      </c>
      <c r="F1192" s="187" t="s">
        <v>1654</v>
      </c>
      <c r="G1192" s="189" t="s">
        <v>202</v>
      </c>
      <c r="H1192" s="195">
        <v>42130</v>
      </c>
      <c r="I1192" s="189" t="s">
        <v>187</v>
      </c>
      <c r="J1192" s="189" t="s">
        <v>103</v>
      </c>
      <c r="K1192" s="189" t="s">
        <v>4291</v>
      </c>
      <c r="L1192" s="195">
        <v>42130</v>
      </c>
      <c r="M1192" s="187" t="s">
        <v>1914</v>
      </c>
      <c r="N1192" s="190" t="s">
        <v>185</v>
      </c>
      <c r="O1192" s="195">
        <v>42130</v>
      </c>
      <c r="P1192" s="191">
        <f t="shared" si="703"/>
        <v>7</v>
      </c>
      <c r="Q1192" s="189" t="s">
        <v>4291</v>
      </c>
      <c r="R1192" s="190" t="s">
        <v>17</v>
      </c>
      <c r="S1192" s="187" t="s">
        <v>4292</v>
      </c>
      <c r="T1192" s="187">
        <v>1102898655</v>
      </c>
      <c r="U1192" s="195">
        <v>42130</v>
      </c>
      <c r="V1192" s="190" t="s">
        <v>186</v>
      </c>
      <c r="W1192" s="192">
        <f t="shared" si="704"/>
        <v>0</v>
      </c>
      <c r="X1192" s="192" t="str">
        <f t="shared" si="705"/>
        <v>Correcto</v>
      </c>
    </row>
    <row r="1193" spans="1:24" ht="18" customHeight="1" x14ac:dyDescent="0.25">
      <c r="A1193" s="193">
        <v>1184</v>
      </c>
      <c r="B1193" s="187" t="s">
        <v>4293</v>
      </c>
      <c r="C1193" s="188">
        <v>42123</v>
      </c>
      <c r="D1193" s="194">
        <v>2</v>
      </c>
      <c r="E1193" s="189" t="s">
        <v>93</v>
      </c>
      <c r="F1193" s="187" t="s">
        <v>1654</v>
      </c>
      <c r="G1193" s="189" t="s">
        <v>202</v>
      </c>
      <c r="H1193" s="195">
        <v>42130</v>
      </c>
      <c r="I1193" s="189" t="s">
        <v>187</v>
      </c>
      <c r="J1193" s="189" t="s">
        <v>103</v>
      </c>
      <c r="K1193" s="189" t="s">
        <v>4294</v>
      </c>
      <c r="L1193" s="195">
        <v>42130</v>
      </c>
      <c r="M1193" s="187" t="s">
        <v>1914</v>
      </c>
      <c r="N1193" s="190" t="s">
        <v>185</v>
      </c>
      <c r="O1193" s="195">
        <v>42130</v>
      </c>
      <c r="P1193" s="191">
        <f t="shared" si="703"/>
        <v>7</v>
      </c>
      <c r="Q1193" s="189" t="s">
        <v>4294</v>
      </c>
      <c r="R1193" s="190" t="s">
        <v>17</v>
      </c>
      <c r="S1193" s="187" t="s">
        <v>4295</v>
      </c>
      <c r="T1193" s="187">
        <v>1150039434</v>
      </c>
      <c r="U1193" s="195">
        <v>42130</v>
      </c>
      <c r="V1193" s="190" t="s">
        <v>186</v>
      </c>
      <c r="W1193" s="192">
        <f t="shared" si="704"/>
        <v>0</v>
      </c>
      <c r="X1193" s="192" t="str">
        <f t="shared" si="705"/>
        <v>Correcto</v>
      </c>
    </row>
    <row r="1194" spans="1:24" ht="18" customHeight="1" x14ac:dyDescent="0.25">
      <c r="A1194" s="193">
        <v>1185</v>
      </c>
      <c r="B1194" s="187" t="s">
        <v>4296</v>
      </c>
      <c r="C1194" s="188">
        <v>42124</v>
      </c>
      <c r="D1194" s="194">
        <v>2</v>
      </c>
      <c r="E1194" s="189" t="s">
        <v>93</v>
      </c>
      <c r="F1194" s="187" t="s">
        <v>1654</v>
      </c>
      <c r="G1194" s="189" t="s">
        <v>202</v>
      </c>
      <c r="H1194" s="195">
        <v>42130</v>
      </c>
      <c r="I1194" s="189" t="s">
        <v>187</v>
      </c>
      <c r="J1194" s="189" t="s">
        <v>103</v>
      </c>
      <c r="K1194" s="189" t="s">
        <v>4297</v>
      </c>
      <c r="L1194" s="195">
        <v>42130</v>
      </c>
      <c r="M1194" s="187" t="s">
        <v>1914</v>
      </c>
      <c r="N1194" s="190" t="s">
        <v>185</v>
      </c>
      <c r="O1194" s="195">
        <v>42130</v>
      </c>
      <c r="P1194" s="191">
        <f t="shared" si="703"/>
        <v>6</v>
      </c>
      <c r="Q1194" s="189" t="s">
        <v>4297</v>
      </c>
      <c r="R1194" s="190" t="s">
        <v>17</v>
      </c>
      <c r="S1194" s="187" t="s">
        <v>4298</v>
      </c>
      <c r="T1194" s="187">
        <v>1104272131</v>
      </c>
      <c r="U1194" s="195">
        <v>42130</v>
      </c>
      <c r="V1194" s="190" t="s">
        <v>186</v>
      </c>
      <c r="W1194" s="192">
        <f t="shared" si="704"/>
        <v>0</v>
      </c>
      <c r="X1194" s="192" t="str">
        <f t="shared" si="705"/>
        <v>Correcto</v>
      </c>
    </row>
    <row r="1195" spans="1:24" ht="18" customHeight="1" x14ac:dyDescent="0.25">
      <c r="A1195" s="193">
        <v>1186</v>
      </c>
      <c r="B1195" s="187" t="s">
        <v>4299</v>
      </c>
      <c r="C1195" s="188">
        <v>42124</v>
      </c>
      <c r="D1195" s="194">
        <v>2</v>
      </c>
      <c r="E1195" s="189" t="s">
        <v>93</v>
      </c>
      <c r="F1195" s="187" t="s">
        <v>1654</v>
      </c>
      <c r="G1195" s="189" t="s">
        <v>202</v>
      </c>
      <c r="H1195" s="195">
        <v>42130</v>
      </c>
      <c r="I1195" s="189" t="s">
        <v>187</v>
      </c>
      <c r="J1195" s="189" t="s">
        <v>103</v>
      </c>
      <c r="K1195" s="189" t="s">
        <v>4300</v>
      </c>
      <c r="L1195" s="195">
        <v>42130</v>
      </c>
      <c r="M1195" s="187" t="s">
        <v>1914</v>
      </c>
      <c r="N1195" s="190" t="s">
        <v>185</v>
      </c>
      <c r="O1195" s="195">
        <v>42130</v>
      </c>
      <c r="P1195" s="191">
        <f t="shared" si="703"/>
        <v>6</v>
      </c>
      <c r="Q1195" s="189" t="s">
        <v>4300</v>
      </c>
      <c r="R1195" s="190" t="s">
        <v>17</v>
      </c>
      <c r="S1195" s="187" t="s">
        <v>4301</v>
      </c>
      <c r="T1195" s="187">
        <v>1105946337</v>
      </c>
      <c r="U1195" s="195">
        <v>42130</v>
      </c>
      <c r="V1195" s="190" t="s">
        <v>186</v>
      </c>
      <c r="W1195" s="192">
        <f t="shared" si="704"/>
        <v>0</v>
      </c>
      <c r="X1195" s="192" t="str">
        <f t="shared" si="705"/>
        <v>Correcto</v>
      </c>
    </row>
    <row r="1196" spans="1:24" ht="18" customHeight="1" x14ac:dyDescent="0.25">
      <c r="A1196" s="193">
        <v>1187</v>
      </c>
      <c r="B1196" s="187" t="s">
        <v>4302</v>
      </c>
      <c r="C1196" s="188">
        <v>42124</v>
      </c>
      <c r="D1196" s="194">
        <v>2</v>
      </c>
      <c r="E1196" s="189" t="s">
        <v>93</v>
      </c>
      <c r="F1196" s="187" t="s">
        <v>1654</v>
      </c>
      <c r="G1196" s="189" t="s">
        <v>202</v>
      </c>
      <c r="H1196" s="195">
        <v>42129</v>
      </c>
      <c r="I1196" s="189" t="s">
        <v>187</v>
      </c>
      <c r="J1196" s="189" t="s">
        <v>103</v>
      </c>
      <c r="K1196" s="189" t="s">
        <v>4303</v>
      </c>
      <c r="L1196" s="195">
        <v>42129</v>
      </c>
      <c r="M1196" s="187" t="s">
        <v>1914</v>
      </c>
      <c r="N1196" s="190" t="s">
        <v>185</v>
      </c>
      <c r="O1196" s="195">
        <v>42129</v>
      </c>
      <c r="P1196" s="191">
        <f t="shared" si="703"/>
        <v>5</v>
      </c>
      <c r="Q1196" s="189" t="s">
        <v>4303</v>
      </c>
      <c r="R1196" s="190" t="s">
        <v>17</v>
      </c>
      <c r="S1196" s="187" t="s">
        <v>4304</v>
      </c>
      <c r="T1196" s="187">
        <v>1102865944</v>
      </c>
      <c r="U1196" s="195">
        <v>42130</v>
      </c>
      <c r="V1196" s="190" t="s">
        <v>186</v>
      </c>
      <c r="W1196" s="192">
        <f t="shared" si="704"/>
        <v>0</v>
      </c>
      <c r="X1196" s="192" t="str">
        <f t="shared" si="705"/>
        <v>Correcto</v>
      </c>
    </row>
    <row r="1197" spans="1:24" ht="18" customHeight="1" x14ac:dyDescent="0.25">
      <c r="A1197" s="193">
        <v>1188</v>
      </c>
      <c r="B1197" s="187" t="s">
        <v>4305</v>
      </c>
      <c r="C1197" s="188">
        <v>42124</v>
      </c>
      <c r="D1197" s="194">
        <v>2</v>
      </c>
      <c r="E1197" s="189" t="s">
        <v>93</v>
      </c>
      <c r="F1197" s="187" t="s">
        <v>1654</v>
      </c>
      <c r="G1197" s="189" t="s">
        <v>202</v>
      </c>
      <c r="H1197" s="195">
        <v>42130</v>
      </c>
      <c r="I1197" s="189" t="s">
        <v>187</v>
      </c>
      <c r="J1197" s="189" t="s">
        <v>103</v>
      </c>
      <c r="K1197" s="189" t="s">
        <v>4306</v>
      </c>
      <c r="L1197" s="195">
        <v>42130</v>
      </c>
      <c r="M1197" s="187" t="s">
        <v>1914</v>
      </c>
      <c r="N1197" s="190" t="s">
        <v>185</v>
      </c>
      <c r="O1197" s="195">
        <v>42130</v>
      </c>
      <c r="P1197" s="191">
        <f t="shared" si="703"/>
        <v>6</v>
      </c>
      <c r="Q1197" s="189" t="s">
        <v>4306</v>
      </c>
      <c r="R1197" s="190" t="s">
        <v>17</v>
      </c>
      <c r="S1197" s="187" t="s">
        <v>3277</v>
      </c>
      <c r="T1197" s="187">
        <v>1705604153</v>
      </c>
      <c r="U1197" s="195">
        <v>42130</v>
      </c>
      <c r="V1197" s="190" t="s">
        <v>186</v>
      </c>
      <c r="W1197" s="192">
        <f t="shared" si="704"/>
        <v>0</v>
      </c>
      <c r="X1197" s="192" t="str">
        <f t="shared" si="705"/>
        <v>Correcto</v>
      </c>
    </row>
    <row r="1198" spans="1:24" ht="18" customHeight="1" x14ac:dyDescent="0.25">
      <c r="A1198" s="193">
        <v>1189</v>
      </c>
      <c r="B1198" s="187" t="s">
        <v>4307</v>
      </c>
      <c r="C1198" s="188">
        <v>42124</v>
      </c>
      <c r="D1198" s="194">
        <v>2</v>
      </c>
      <c r="E1198" s="189" t="s">
        <v>93</v>
      </c>
      <c r="F1198" s="187" t="s">
        <v>1654</v>
      </c>
      <c r="G1198" s="189" t="s">
        <v>202</v>
      </c>
      <c r="H1198" s="195">
        <v>42130</v>
      </c>
      <c r="I1198" s="189" t="s">
        <v>187</v>
      </c>
      <c r="J1198" s="189" t="s">
        <v>103</v>
      </c>
      <c r="K1198" s="189" t="s">
        <v>4308</v>
      </c>
      <c r="L1198" s="195">
        <v>42130</v>
      </c>
      <c r="M1198" s="187" t="s">
        <v>1914</v>
      </c>
      <c r="N1198" s="190" t="s">
        <v>185</v>
      </c>
      <c r="O1198" s="195">
        <v>42130</v>
      </c>
      <c r="P1198" s="191">
        <f t="shared" si="703"/>
        <v>6</v>
      </c>
      <c r="Q1198" s="189" t="s">
        <v>4308</v>
      </c>
      <c r="R1198" s="190" t="s">
        <v>17</v>
      </c>
      <c r="S1198" s="187" t="s">
        <v>4309</v>
      </c>
      <c r="T1198" s="187">
        <v>1104581739</v>
      </c>
      <c r="U1198" s="195">
        <v>42132</v>
      </c>
      <c r="V1198" s="190" t="s">
        <v>186</v>
      </c>
      <c r="W1198" s="192">
        <f t="shared" si="704"/>
        <v>0</v>
      </c>
      <c r="X1198" s="192" t="str">
        <f t="shared" si="705"/>
        <v>Correcto</v>
      </c>
    </row>
    <row r="1199" spans="1:24" ht="18" customHeight="1" x14ac:dyDescent="0.25">
      <c r="A1199" s="193">
        <v>1190</v>
      </c>
      <c r="B1199" s="187" t="s">
        <v>4310</v>
      </c>
      <c r="C1199" s="188">
        <v>42124</v>
      </c>
      <c r="D1199" s="194">
        <v>2</v>
      </c>
      <c r="E1199" s="189" t="s">
        <v>93</v>
      </c>
      <c r="F1199" s="187" t="s">
        <v>1654</v>
      </c>
      <c r="G1199" s="189" t="s">
        <v>202</v>
      </c>
      <c r="H1199" s="195">
        <v>42130</v>
      </c>
      <c r="I1199" s="189" t="s">
        <v>187</v>
      </c>
      <c r="J1199" s="189" t="s">
        <v>103</v>
      </c>
      <c r="K1199" s="189" t="s">
        <v>4311</v>
      </c>
      <c r="L1199" s="195">
        <v>42130</v>
      </c>
      <c r="M1199" s="187" t="s">
        <v>1914</v>
      </c>
      <c r="N1199" s="190" t="s">
        <v>185</v>
      </c>
      <c r="O1199" s="195">
        <v>42130</v>
      </c>
      <c r="P1199" s="191">
        <f t="shared" si="703"/>
        <v>6</v>
      </c>
      <c r="Q1199" s="189" t="s">
        <v>4311</v>
      </c>
      <c r="R1199" s="190" t="s">
        <v>17</v>
      </c>
      <c r="S1199" s="187" t="s">
        <v>4312</v>
      </c>
      <c r="T1199" s="187">
        <v>1103733513</v>
      </c>
      <c r="U1199" s="195">
        <v>42130</v>
      </c>
      <c r="V1199" s="190" t="s">
        <v>186</v>
      </c>
      <c r="W1199" s="192">
        <f t="shared" si="704"/>
        <v>0</v>
      </c>
      <c r="X1199" s="192" t="str">
        <f t="shared" si="705"/>
        <v>Correcto</v>
      </c>
    </row>
    <row r="1200" spans="1:24" ht="18" customHeight="1" x14ac:dyDescent="0.25">
      <c r="A1200" s="193">
        <v>1191</v>
      </c>
      <c r="B1200" s="187" t="s">
        <v>4313</v>
      </c>
      <c r="C1200" s="188">
        <v>42124</v>
      </c>
      <c r="D1200" s="194">
        <v>2</v>
      </c>
      <c r="E1200" s="189" t="s">
        <v>93</v>
      </c>
      <c r="F1200" s="187" t="s">
        <v>1654</v>
      </c>
      <c r="G1200" s="189" t="s">
        <v>202</v>
      </c>
      <c r="H1200" s="195">
        <v>42130</v>
      </c>
      <c r="I1200" s="189" t="s">
        <v>187</v>
      </c>
      <c r="J1200" s="189" t="s">
        <v>103</v>
      </c>
      <c r="K1200" s="189" t="s">
        <v>4314</v>
      </c>
      <c r="L1200" s="195">
        <v>42130</v>
      </c>
      <c r="M1200" s="187" t="s">
        <v>1914</v>
      </c>
      <c r="N1200" s="190" t="s">
        <v>185</v>
      </c>
      <c r="O1200" s="195">
        <v>42130</v>
      </c>
      <c r="P1200" s="191">
        <f t="shared" si="703"/>
        <v>6</v>
      </c>
      <c r="Q1200" s="189" t="s">
        <v>4314</v>
      </c>
      <c r="R1200" s="190" t="s">
        <v>17</v>
      </c>
      <c r="S1200" s="187" t="s">
        <v>4315</v>
      </c>
      <c r="T1200" s="187">
        <v>1104174154</v>
      </c>
      <c r="U1200" s="195">
        <v>42130</v>
      </c>
      <c r="V1200" s="190" t="s">
        <v>186</v>
      </c>
      <c r="W1200" s="192">
        <f t="shared" si="704"/>
        <v>0</v>
      </c>
      <c r="X1200" s="192" t="str">
        <f t="shared" si="705"/>
        <v>Correcto</v>
      </c>
    </row>
    <row r="1201" spans="1:24" ht="18" customHeight="1" x14ac:dyDescent="0.25">
      <c r="A1201" s="205">
        <v>1192</v>
      </c>
      <c r="B1201" s="197" t="s">
        <v>5232</v>
      </c>
      <c r="C1201" s="198">
        <v>42128</v>
      </c>
      <c r="D1201" s="199">
        <v>2</v>
      </c>
      <c r="E1201" s="200" t="s">
        <v>93</v>
      </c>
      <c r="F1201" s="197" t="s">
        <v>1654</v>
      </c>
      <c r="G1201" s="200" t="s">
        <v>202</v>
      </c>
      <c r="H1201" s="201">
        <v>42131</v>
      </c>
      <c r="I1201" s="200" t="s">
        <v>187</v>
      </c>
      <c r="J1201" s="200" t="s">
        <v>103</v>
      </c>
      <c r="K1201" s="200" t="s">
        <v>5233</v>
      </c>
      <c r="L1201" s="201">
        <v>42131</v>
      </c>
      <c r="M1201" s="197" t="s">
        <v>1914</v>
      </c>
      <c r="N1201" s="202" t="s">
        <v>185</v>
      </c>
      <c r="O1201" s="201">
        <v>42132</v>
      </c>
      <c r="P1201" s="203">
        <f t="shared" si="703"/>
        <v>4</v>
      </c>
      <c r="Q1201" s="200" t="s">
        <v>5234</v>
      </c>
      <c r="R1201" s="202" t="s">
        <v>17</v>
      </c>
      <c r="S1201" s="197" t="s">
        <v>101</v>
      </c>
      <c r="T1201" s="197" t="s">
        <v>101</v>
      </c>
      <c r="U1201" s="201">
        <v>42135</v>
      </c>
      <c r="V1201" s="202" t="s">
        <v>186</v>
      </c>
      <c r="W1201" s="204">
        <f t="shared" si="704"/>
        <v>0</v>
      </c>
      <c r="X1201" s="204" t="str">
        <f t="shared" si="705"/>
        <v>Correcto</v>
      </c>
    </row>
    <row r="1202" spans="1:24" ht="18" customHeight="1" x14ac:dyDescent="0.25">
      <c r="A1202" s="205">
        <v>1193</v>
      </c>
      <c r="B1202" s="197" t="s">
        <v>4316</v>
      </c>
      <c r="C1202" s="198">
        <v>42128</v>
      </c>
      <c r="D1202" s="199">
        <v>2</v>
      </c>
      <c r="E1202" s="200" t="s">
        <v>93</v>
      </c>
      <c r="F1202" s="197" t="s">
        <v>1654</v>
      </c>
      <c r="G1202" s="200" t="s">
        <v>202</v>
      </c>
      <c r="H1202" s="201">
        <v>42131</v>
      </c>
      <c r="I1202" s="200" t="s">
        <v>187</v>
      </c>
      <c r="J1202" s="200" t="s">
        <v>103</v>
      </c>
      <c r="K1202" s="200" t="s">
        <v>4317</v>
      </c>
      <c r="L1202" s="201">
        <v>42131</v>
      </c>
      <c r="M1202" s="197" t="s">
        <v>1914</v>
      </c>
      <c r="N1202" s="202" t="s">
        <v>185</v>
      </c>
      <c r="O1202" s="201">
        <v>42132</v>
      </c>
      <c r="P1202" s="203">
        <f t="shared" ref="P1202:P1265" si="706">O1202-C1202</f>
        <v>4</v>
      </c>
      <c r="Q1202" s="200" t="s">
        <v>4318</v>
      </c>
      <c r="R1202" s="202" t="s">
        <v>17</v>
      </c>
      <c r="S1202" s="197" t="s">
        <v>101</v>
      </c>
      <c r="T1202" s="197" t="s">
        <v>101</v>
      </c>
      <c r="U1202" s="201">
        <v>42135</v>
      </c>
      <c r="V1202" s="202" t="s">
        <v>186</v>
      </c>
      <c r="W1202" s="204">
        <f t="shared" ref="W1202:W1265" si="707">COUNTBLANK(C1202:V1202)</f>
        <v>0</v>
      </c>
      <c r="X1202" s="204" t="str">
        <f t="shared" ref="X1202:X1265" si="708">IF(W1202=0,"Correcto","Incorrecto")</f>
        <v>Correcto</v>
      </c>
    </row>
    <row r="1203" spans="1:24" ht="18" customHeight="1" x14ac:dyDescent="0.25">
      <c r="A1203" s="205">
        <v>1194</v>
      </c>
      <c r="B1203" s="197" t="s">
        <v>4319</v>
      </c>
      <c r="C1203" s="198">
        <v>42128</v>
      </c>
      <c r="D1203" s="199">
        <v>2</v>
      </c>
      <c r="E1203" s="200" t="s">
        <v>93</v>
      </c>
      <c r="F1203" s="197" t="s">
        <v>1654</v>
      </c>
      <c r="G1203" s="200" t="s">
        <v>202</v>
      </c>
      <c r="H1203" s="201">
        <v>42131</v>
      </c>
      <c r="I1203" s="200" t="s">
        <v>187</v>
      </c>
      <c r="J1203" s="200" t="s">
        <v>103</v>
      </c>
      <c r="K1203" s="200" t="s">
        <v>4320</v>
      </c>
      <c r="L1203" s="201">
        <v>42131</v>
      </c>
      <c r="M1203" s="197" t="s">
        <v>1914</v>
      </c>
      <c r="N1203" s="202" t="s">
        <v>185</v>
      </c>
      <c r="O1203" s="201">
        <v>42132</v>
      </c>
      <c r="P1203" s="203">
        <f t="shared" si="706"/>
        <v>4</v>
      </c>
      <c r="Q1203" s="200" t="s">
        <v>4321</v>
      </c>
      <c r="R1203" s="202" t="s">
        <v>17</v>
      </c>
      <c r="S1203" s="197" t="s">
        <v>101</v>
      </c>
      <c r="T1203" s="197" t="s">
        <v>101</v>
      </c>
      <c r="U1203" s="201">
        <v>42135</v>
      </c>
      <c r="V1203" s="202" t="s">
        <v>186</v>
      </c>
      <c r="W1203" s="204">
        <f t="shared" si="707"/>
        <v>0</v>
      </c>
      <c r="X1203" s="204" t="str">
        <f t="shared" si="708"/>
        <v>Correcto</v>
      </c>
    </row>
    <row r="1204" spans="1:24" ht="18" customHeight="1" x14ac:dyDescent="0.25">
      <c r="A1204" s="205">
        <v>1195</v>
      </c>
      <c r="B1204" s="197" t="s">
        <v>4322</v>
      </c>
      <c r="C1204" s="198">
        <v>42128</v>
      </c>
      <c r="D1204" s="199">
        <v>2</v>
      </c>
      <c r="E1204" s="200" t="s">
        <v>93</v>
      </c>
      <c r="F1204" s="197" t="s">
        <v>1654</v>
      </c>
      <c r="G1204" s="200" t="s">
        <v>202</v>
      </c>
      <c r="H1204" s="201">
        <v>42131</v>
      </c>
      <c r="I1204" s="200" t="s">
        <v>187</v>
      </c>
      <c r="J1204" s="200" t="s">
        <v>103</v>
      </c>
      <c r="K1204" s="200" t="s">
        <v>4323</v>
      </c>
      <c r="L1204" s="201">
        <v>42131</v>
      </c>
      <c r="M1204" s="197" t="s">
        <v>1914</v>
      </c>
      <c r="N1204" s="202" t="s">
        <v>185</v>
      </c>
      <c r="O1204" s="201">
        <v>42132</v>
      </c>
      <c r="P1204" s="203">
        <f t="shared" si="706"/>
        <v>4</v>
      </c>
      <c r="Q1204" s="200" t="s">
        <v>4324</v>
      </c>
      <c r="R1204" s="202" t="s">
        <v>17</v>
      </c>
      <c r="S1204" s="197" t="s">
        <v>101</v>
      </c>
      <c r="T1204" s="197" t="s">
        <v>101</v>
      </c>
      <c r="U1204" s="201">
        <v>42135</v>
      </c>
      <c r="V1204" s="202" t="s">
        <v>186</v>
      </c>
      <c r="W1204" s="204">
        <f t="shared" si="707"/>
        <v>0</v>
      </c>
      <c r="X1204" s="204" t="str">
        <f t="shared" si="708"/>
        <v>Correcto</v>
      </c>
    </row>
    <row r="1205" spans="1:24" ht="18" customHeight="1" x14ac:dyDescent="0.25">
      <c r="A1205" s="205">
        <v>1196</v>
      </c>
      <c r="B1205" s="197" t="s">
        <v>4325</v>
      </c>
      <c r="C1205" s="198">
        <v>42128</v>
      </c>
      <c r="D1205" s="199">
        <v>2</v>
      </c>
      <c r="E1205" s="200" t="s">
        <v>93</v>
      </c>
      <c r="F1205" s="197" t="s">
        <v>825</v>
      </c>
      <c r="G1205" s="200" t="s">
        <v>202</v>
      </c>
      <c r="H1205" s="201">
        <v>42137</v>
      </c>
      <c r="I1205" s="200" t="s">
        <v>187</v>
      </c>
      <c r="J1205" s="200" t="s">
        <v>103</v>
      </c>
      <c r="K1205" s="200" t="s">
        <v>4326</v>
      </c>
      <c r="L1205" s="201">
        <v>42137</v>
      </c>
      <c r="M1205" s="197" t="s">
        <v>824</v>
      </c>
      <c r="N1205" s="202" t="s">
        <v>4327</v>
      </c>
      <c r="O1205" s="201">
        <v>42137</v>
      </c>
      <c r="P1205" s="203">
        <f t="shared" si="706"/>
        <v>9</v>
      </c>
      <c r="Q1205" s="200" t="s">
        <v>4326</v>
      </c>
      <c r="R1205" s="202" t="s">
        <v>17</v>
      </c>
      <c r="S1205" s="197" t="s">
        <v>101</v>
      </c>
      <c r="T1205" s="197" t="s">
        <v>101</v>
      </c>
      <c r="U1205" s="201">
        <v>42138</v>
      </c>
      <c r="V1205" s="202" t="s">
        <v>186</v>
      </c>
      <c r="W1205" s="204">
        <f t="shared" si="707"/>
        <v>0</v>
      </c>
      <c r="X1205" s="204" t="str">
        <f t="shared" si="708"/>
        <v>Correcto</v>
      </c>
    </row>
    <row r="1206" spans="1:24" ht="18" customHeight="1" x14ac:dyDescent="0.25">
      <c r="A1206" s="205">
        <v>1197</v>
      </c>
      <c r="B1206" s="197" t="s">
        <v>4328</v>
      </c>
      <c r="C1206" s="198">
        <v>42128</v>
      </c>
      <c r="D1206" s="199">
        <v>2</v>
      </c>
      <c r="E1206" s="200" t="s">
        <v>93</v>
      </c>
      <c r="F1206" s="197" t="s">
        <v>1654</v>
      </c>
      <c r="G1206" s="200" t="s">
        <v>202</v>
      </c>
      <c r="H1206" s="201">
        <v>42130</v>
      </c>
      <c r="I1206" s="200" t="s">
        <v>187</v>
      </c>
      <c r="J1206" s="200" t="s">
        <v>103</v>
      </c>
      <c r="K1206" s="200" t="s">
        <v>4329</v>
      </c>
      <c r="L1206" s="201">
        <v>42130</v>
      </c>
      <c r="M1206" s="197" t="s">
        <v>1914</v>
      </c>
      <c r="N1206" s="202" t="s">
        <v>185</v>
      </c>
      <c r="O1206" s="201">
        <v>42145</v>
      </c>
      <c r="P1206" s="203">
        <f t="shared" si="706"/>
        <v>17</v>
      </c>
      <c r="Q1206" s="200" t="s">
        <v>4330</v>
      </c>
      <c r="R1206" s="202" t="s">
        <v>17</v>
      </c>
      <c r="S1206" s="197" t="s">
        <v>104</v>
      </c>
      <c r="T1206" s="197">
        <v>1103636948</v>
      </c>
      <c r="U1206" s="201">
        <v>42130</v>
      </c>
      <c r="V1206" s="202" t="s">
        <v>186</v>
      </c>
      <c r="W1206" s="204">
        <f t="shared" si="707"/>
        <v>0</v>
      </c>
      <c r="X1206" s="204" t="str">
        <f t="shared" si="708"/>
        <v>Correcto</v>
      </c>
    </row>
    <row r="1207" spans="1:24" ht="18" customHeight="1" x14ac:dyDescent="0.25">
      <c r="A1207" s="205">
        <v>1198</v>
      </c>
      <c r="B1207" s="197" t="s">
        <v>4331</v>
      </c>
      <c r="C1207" s="198">
        <v>42128</v>
      </c>
      <c r="D1207" s="199">
        <v>25</v>
      </c>
      <c r="E1207" s="200" t="s">
        <v>93</v>
      </c>
      <c r="F1207" s="197" t="s">
        <v>1654</v>
      </c>
      <c r="G1207" s="200" t="s">
        <v>202</v>
      </c>
      <c r="H1207" s="201">
        <v>42137</v>
      </c>
      <c r="I1207" s="200" t="s">
        <v>187</v>
      </c>
      <c r="J1207" s="200" t="s">
        <v>103</v>
      </c>
      <c r="K1207" s="200" t="s">
        <v>4332</v>
      </c>
      <c r="L1207" s="201">
        <v>42137</v>
      </c>
      <c r="M1207" s="197" t="s">
        <v>1914</v>
      </c>
      <c r="N1207" s="202" t="s">
        <v>185</v>
      </c>
      <c r="O1207" s="201">
        <v>42137</v>
      </c>
      <c r="P1207" s="203">
        <f t="shared" si="706"/>
        <v>9</v>
      </c>
      <c r="Q1207" s="200" t="s">
        <v>4333</v>
      </c>
      <c r="R1207" s="202" t="s">
        <v>17</v>
      </c>
      <c r="S1207" s="197" t="s">
        <v>101</v>
      </c>
      <c r="T1207" s="197" t="s">
        <v>101</v>
      </c>
      <c r="U1207" s="201">
        <v>42138</v>
      </c>
      <c r="V1207" s="202" t="s">
        <v>186</v>
      </c>
      <c r="W1207" s="204">
        <f t="shared" si="707"/>
        <v>0</v>
      </c>
      <c r="X1207" s="204" t="str">
        <f t="shared" si="708"/>
        <v>Correcto</v>
      </c>
    </row>
    <row r="1208" spans="1:24" ht="18" customHeight="1" x14ac:dyDescent="0.25">
      <c r="A1208" s="205">
        <v>1199</v>
      </c>
      <c r="B1208" s="197" t="s">
        <v>4334</v>
      </c>
      <c r="C1208" s="198">
        <v>42128</v>
      </c>
      <c r="D1208" s="199">
        <v>2</v>
      </c>
      <c r="E1208" s="200" t="s">
        <v>93</v>
      </c>
      <c r="F1208" s="197" t="s">
        <v>1654</v>
      </c>
      <c r="G1208" s="200" t="s">
        <v>202</v>
      </c>
      <c r="H1208" s="201">
        <v>42131</v>
      </c>
      <c r="I1208" s="200" t="s">
        <v>187</v>
      </c>
      <c r="J1208" s="200" t="s">
        <v>103</v>
      </c>
      <c r="K1208" s="200" t="s">
        <v>4335</v>
      </c>
      <c r="L1208" s="201">
        <v>42131</v>
      </c>
      <c r="M1208" s="197" t="s">
        <v>1914</v>
      </c>
      <c r="N1208" s="202" t="s">
        <v>185</v>
      </c>
      <c r="O1208" s="201">
        <v>42132</v>
      </c>
      <c r="P1208" s="203">
        <f t="shared" si="706"/>
        <v>4</v>
      </c>
      <c r="Q1208" s="200" t="s">
        <v>4336</v>
      </c>
      <c r="R1208" s="202" t="s">
        <v>17</v>
      </c>
      <c r="S1208" s="197" t="s">
        <v>101</v>
      </c>
      <c r="T1208" s="197" t="s">
        <v>101</v>
      </c>
      <c r="U1208" s="201">
        <v>42135</v>
      </c>
      <c r="V1208" s="202" t="s">
        <v>186</v>
      </c>
      <c r="W1208" s="204">
        <f t="shared" si="707"/>
        <v>0</v>
      </c>
      <c r="X1208" s="204" t="str">
        <f t="shared" si="708"/>
        <v>Correcto</v>
      </c>
    </row>
    <row r="1209" spans="1:24" ht="18" customHeight="1" x14ac:dyDescent="0.25">
      <c r="A1209" s="205">
        <v>1200</v>
      </c>
      <c r="B1209" s="197" t="s">
        <v>4337</v>
      </c>
      <c r="C1209" s="198">
        <v>42128</v>
      </c>
      <c r="D1209" s="199">
        <v>2</v>
      </c>
      <c r="E1209" s="200" t="s">
        <v>93</v>
      </c>
      <c r="F1209" s="197" t="s">
        <v>1654</v>
      </c>
      <c r="G1209" s="200" t="s">
        <v>202</v>
      </c>
      <c r="H1209" s="201">
        <v>42131</v>
      </c>
      <c r="I1209" s="200" t="s">
        <v>187</v>
      </c>
      <c r="J1209" s="200" t="s">
        <v>103</v>
      </c>
      <c r="K1209" s="200" t="s">
        <v>4338</v>
      </c>
      <c r="L1209" s="201">
        <v>42131</v>
      </c>
      <c r="M1209" s="197" t="s">
        <v>1914</v>
      </c>
      <c r="N1209" s="202" t="s">
        <v>185</v>
      </c>
      <c r="O1209" s="201">
        <v>42132</v>
      </c>
      <c r="P1209" s="203">
        <f t="shared" si="706"/>
        <v>4</v>
      </c>
      <c r="Q1209" s="200" t="s">
        <v>4339</v>
      </c>
      <c r="R1209" s="202" t="s">
        <v>17</v>
      </c>
      <c r="S1209" s="197" t="s">
        <v>101</v>
      </c>
      <c r="T1209" s="197" t="s">
        <v>101</v>
      </c>
      <c r="U1209" s="201">
        <v>42135</v>
      </c>
      <c r="V1209" s="202" t="s">
        <v>186</v>
      </c>
      <c r="W1209" s="204">
        <f t="shared" si="707"/>
        <v>0</v>
      </c>
      <c r="X1209" s="204" t="str">
        <f t="shared" si="708"/>
        <v>Correcto</v>
      </c>
    </row>
    <row r="1210" spans="1:24" ht="18" customHeight="1" x14ac:dyDescent="0.25">
      <c r="A1210" s="205">
        <v>1201</v>
      </c>
      <c r="B1210" s="197" t="s">
        <v>4340</v>
      </c>
      <c r="C1210" s="198">
        <v>42128</v>
      </c>
      <c r="D1210" s="199">
        <v>2</v>
      </c>
      <c r="E1210" s="200" t="s">
        <v>93</v>
      </c>
      <c r="F1210" s="197" t="s">
        <v>1654</v>
      </c>
      <c r="G1210" s="200" t="s">
        <v>202</v>
      </c>
      <c r="H1210" s="201">
        <v>42131</v>
      </c>
      <c r="I1210" s="200" t="s">
        <v>187</v>
      </c>
      <c r="J1210" s="200" t="s">
        <v>103</v>
      </c>
      <c r="K1210" s="200" t="s">
        <v>4341</v>
      </c>
      <c r="L1210" s="201">
        <v>42131</v>
      </c>
      <c r="M1210" s="197" t="s">
        <v>1914</v>
      </c>
      <c r="N1210" s="202" t="s">
        <v>185</v>
      </c>
      <c r="O1210" s="201">
        <v>42132</v>
      </c>
      <c r="P1210" s="203">
        <f t="shared" si="706"/>
        <v>4</v>
      </c>
      <c r="Q1210" s="200" t="s">
        <v>4342</v>
      </c>
      <c r="R1210" s="202" t="s">
        <v>17</v>
      </c>
      <c r="S1210" s="197" t="s">
        <v>101</v>
      </c>
      <c r="T1210" s="197" t="s">
        <v>101</v>
      </c>
      <c r="U1210" s="201">
        <v>42135</v>
      </c>
      <c r="V1210" s="202" t="s">
        <v>186</v>
      </c>
      <c r="W1210" s="204">
        <f t="shared" si="707"/>
        <v>0</v>
      </c>
      <c r="X1210" s="204" t="str">
        <f t="shared" si="708"/>
        <v>Correcto</v>
      </c>
    </row>
    <row r="1211" spans="1:24" ht="18" customHeight="1" x14ac:dyDescent="0.25">
      <c r="A1211" s="205">
        <v>1202</v>
      </c>
      <c r="B1211" s="197" t="s">
        <v>4343</v>
      </c>
      <c r="C1211" s="198">
        <v>42128</v>
      </c>
      <c r="D1211" s="199">
        <v>2</v>
      </c>
      <c r="E1211" s="200" t="s">
        <v>93</v>
      </c>
      <c r="F1211" s="197" t="s">
        <v>1654</v>
      </c>
      <c r="G1211" s="200" t="s">
        <v>202</v>
      </c>
      <c r="H1211" s="201">
        <v>42130</v>
      </c>
      <c r="I1211" s="200" t="s">
        <v>187</v>
      </c>
      <c r="J1211" s="200" t="s">
        <v>103</v>
      </c>
      <c r="K1211" s="200" t="s">
        <v>4344</v>
      </c>
      <c r="L1211" s="201">
        <v>42130</v>
      </c>
      <c r="M1211" s="197" t="s">
        <v>1914</v>
      </c>
      <c r="N1211" s="202" t="s">
        <v>185</v>
      </c>
      <c r="O1211" s="201">
        <v>42130</v>
      </c>
      <c r="P1211" s="203">
        <f t="shared" si="706"/>
        <v>2</v>
      </c>
      <c r="Q1211" s="200" t="s">
        <v>4344</v>
      </c>
      <c r="R1211" s="202" t="s">
        <v>17</v>
      </c>
      <c r="S1211" s="197" t="s">
        <v>104</v>
      </c>
      <c r="T1211" s="197">
        <v>1102804075</v>
      </c>
      <c r="U1211" s="201">
        <v>42130</v>
      </c>
      <c r="V1211" s="202" t="s">
        <v>186</v>
      </c>
      <c r="W1211" s="204">
        <f t="shared" si="707"/>
        <v>0</v>
      </c>
      <c r="X1211" s="204" t="str">
        <f t="shared" si="708"/>
        <v>Correcto</v>
      </c>
    </row>
    <row r="1212" spans="1:24" ht="18" customHeight="1" x14ac:dyDescent="0.25">
      <c r="A1212" s="205">
        <v>1203</v>
      </c>
      <c r="B1212" s="197" t="s">
        <v>4345</v>
      </c>
      <c r="C1212" s="198">
        <v>42128</v>
      </c>
      <c r="D1212" s="199">
        <v>2</v>
      </c>
      <c r="E1212" s="200" t="s">
        <v>93</v>
      </c>
      <c r="F1212" s="197" t="s">
        <v>1654</v>
      </c>
      <c r="G1212" s="200" t="s">
        <v>202</v>
      </c>
      <c r="H1212" s="201">
        <v>42130</v>
      </c>
      <c r="I1212" s="200" t="s">
        <v>187</v>
      </c>
      <c r="J1212" s="200" t="s">
        <v>103</v>
      </c>
      <c r="K1212" s="200" t="s">
        <v>4346</v>
      </c>
      <c r="L1212" s="201">
        <v>42130</v>
      </c>
      <c r="M1212" s="197" t="s">
        <v>824</v>
      </c>
      <c r="N1212" s="202" t="s">
        <v>185</v>
      </c>
      <c r="O1212" s="201">
        <v>42130</v>
      </c>
      <c r="P1212" s="203">
        <f t="shared" si="706"/>
        <v>2</v>
      </c>
      <c r="Q1212" s="200" t="s">
        <v>4346</v>
      </c>
      <c r="R1212" s="202" t="s">
        <v>17</v>
      </c>
      <c r="S1212" s="197" t="s">
        <v>104</v>
      </c>
      <c r="T1212" s="197">
        <v>1104405103</v>
      </c>
      <c r="U1212" s="201">
        <v>42130</v>
      </c>
      <c r="V1212" s="202" t="s">
        <v>186</v>
      </c>
      <c r="W1212" s="204">
        <f t="shared" si="707"/>
        <v>0</v>
      </c>
      <c r="X1212" s="204" t="str">
        <f t="shared" si="708"/>
        <v>Correcto</v>
      </c>
    </row>
    <row r="1213" spans="1:24" ht="18" customHeight="1" x14ac:dyDescent="0.25">
      <c r="A1213" s="205">
        <v>1204</v>
      </c>
      <c r="B1213" s="197" t="s">
        <v>4347</v>
      </c>
      <c r="C1213" s="198">
        <v>42128</v>
      </c>
      <c r="D1213" s="199">
        <v>2</v>
      </c>
      <c r="E1213" s="200" t="s">
        <v>93</v>
      </c>
      <c r="F1213" s="197" t="s">
        <v>1654</v>
      </c>
      <c r="G1213" s="200" t="s">
        <v>202</v>
      </c>
      <c r="H1213" s="201">
        <v>42131</v>
      </c>
      <c r="I1213" s="200" t="s">
        <v>187</v>
      </c>
      <c r="J1213" s="200" t="s">
        <v>103</v>
      </c>
      <c r="K1213" s="200" t="s">
        <v>4348</v>
      </c>
      <c r="L1213" s="201">
        <v>42131</v>
      </c>
      <c r="M1213" s="197" t="s">
        <v>1914</v>
      </c>
      <c r="N1213" s="202" t="s">
        <v>185</v>
      </c>
      <c r="O1213" s="201">
        <v>42132</v>
      </c>
      <c r="P1213" s="203">
        <f t="shared" si="706"/>
        <v>4</v>
      </c>
      <c r="Q1213" s="200" t="s">
        <v>4349</v>
      </c>
      <c r="R1213" s="202" t="s">
        <v>17</v>
      </c>
      <c r="S1213" s="197" t="s">
        <v>101</v>
      </c>
      <c r="T1213" s="197" t="s">
        <v>101</v>
      </c>
      <c r="U1213" s="201">
        <v>42135</v>
      </c>
      <c r="V1213" s="202" t="s">
        <v>186</v>
      </c>
      <c r="W1213" s="204">
        <f t="shared" si="707"/>
        <v>0</v>
      </c>
      <c r="X1213" s="204" t="str">
        <f t="shared" si="708"/>
        <v>Correcto</v>
      </c>
    </row>
    <row r="1214" spans="1:24" ht="18" customHeight="1" x14ac:dyDescent="0.25">
      <c r="A1214" s="205">
        <v>1205</v>
      </c>
      <c r="B1214" s="197" t="s">
        <v>4350</v>
      </c>
      <c r="C1214" s="198">
        <v>42129</v>
      </c>
      <c r="D1214" s="199">
        <v>2</v>
      </c>
      <c r="E1214" s="200" t="s">
        <v>93</v>
      </c>
      <c r="F1214" s="197" t="s">
        <v>1654</v>
      </c>
      <c r="G1214" s="200" t="s">
        <v>202</v>
      </c>
      <c r="H1214" s="201">
        <v>42131</v>
      </c>
      <c r="I1214" s="200" t="s">
        <v>187</v>
      </c>
      <c r="J1214" s="200" t="s">
        <v>103</v>
      </c>
      <c r="K1214" s="200" t="s">
        <v>4351</v>
      </c>
      <c r="L1214" s="201">
        <v>42131</v>
      </c>
      <c r="M1214" s="197" t="s">
        <v>1914</v>
      </c>
      <c r="N1214" s="202" t="s">
        <v>185</v>
      </c>
      <c r="O1214" s="201">
        <v>42135</v>
      </c>
      <c r="P1214" s="203">
        <f t="shared" si="706"/>
        <v>6</v>
      </c>
      <c r="Q1214" s="200" t="s">
        <v>4352</v>
      </c>
      <c r="R1214" s="202" t="s">
        <v>17</v>
      </c>
      <c r="S1214" s="197" t="s">
        <v>101</v>
      </c>
      <c r="T1214" s="197" t="s">
        <v>101</v>
      </c>
      <c r="U1214" s="201">
        <v>42135</v>
      </c>
      <c r="V1214" s="202" t="s">
        <v>186</v>
      </c>
      <c r="W1214" s="204">
        <f t="shared" si="707"/>
        <v>0</v>
      </c>
      <c r="X1214" s="204" t="str">
        <f t="shared" si="708"/>
        <v>Correcto</v>
      </c>
    </row>
    <row r="1215" spans="1:24" ht="18" customHeight="1" x14ac:dyDescent="0.25">
      <c r="A1215" s="205">
        <v>1206</v>
      </c>
      <c r="B1215" s="197" t="s">
        <v>4353</v>
      </c>
      <c r="C1215" s="198">
        <v>42129</v>
      </c>
      <c r="D1215" s="199">
        <v>2</v>
      </c>
      <c r="E1215" s="200" t="s">
        <v>93</v>
      </c>
      <c r="F1215" s="197" t="s">
        <v>1654</v>
      </c>
      <c r="G1215" s="200" t="s">
        <v>202</v>
      </c>
      <c r="H1215" s="201">
        <v>42131</v>
      </c>
      <c r="I1215" s="200" t="s">
        <v>187</v>
      </c>
      <c r="J1215" s="200" t="s">
        <v>103</v>
      </c>
      <c r="K1215" s="200" t="s">
        <v>4354</v>
      </c>
      <c r="L1215" s="201">
        <v>42131</v>
      </c>
      <c r="M1215" s="197" t="s">
        <v>1914</v>
      </c>
      <c r="N1215" s="202" t="s">
        <v>185</v>
      </c>
      <c r="O1215" s="201">
        <v>42132</v>
      </c>
      <c r="P1215" s="203">
        <f t="shared" si="706"/>
        <v>3</v>
      </c>
      <c r="Q1215" s="200" t="s">
        <v>4355</v>
      </c>
      <c r="R1215" s="202" t="s">
        <v>17</v>
      </c>
      <c r="S1215" s="197" t="s">
        <v>101</v>
      </c>
      <c r="T1215" s="197" t="s">
        <v>101</v>
      </c>
      <c r="U1215" s="201">
        <v>42135</v>
      </c>
      <c r="V1215" s="202" t="s">
        <v>186</v>
      </c>
      <c r="W1215" s="204">
        <f t="shared" si="707"/>
        <v>0</v>
      </c>
      <c r="X1215" s="204" t="str">
        <f t="shared" si="708"/>
        <v>Correcto</v>
      </c>
    </row>
    <row r="1216" spans="1:24" ht="18" customHeight="1" x14ac:dyDescent="0.25">
      <c r="A1216" s="205">
        <v>1207</v>
      </c>
      <c r="B1216" s="197" t="s">
        <v>4356</v>
      </c>
      <c r="C1216" s="198">
        <v>42129</v>
      </c>
      <c r="D1216" s="199">
        <v>2</v>
      </c>
      <c r="E1216" s="200" t="s">
        <v>93</v>
      </c>
      <c r="F1216" s="197" t="s">
        <v>1654</v>
      </c>
      <c r="G1216" s="200" t="s">
        <v>202</v>
      </c>
      <c r="H1216" s="201">
        <v>42131</v>
      </c>
      <c r="I1216" s="200" t="s">
        <v>187</v>
      </c>
      <c r="J1216" s="200" t="s">
        <v>103</v>
      </c>
      <c r="K1216" s="200" t="s">
        <v>4357</v>
      </c>
      <c r="L1216" s="201">
        <v>42131</v>
      </c>
      <c r="M1216" s="197" t="s">
        <v>1914</v>
      </c>
      <c r="N1216" s="202" t="s">
        <v>185</v>
      </c>
      <c r="O1216" s="201">
        <v>42132</v>
      </c>
      <c r="P1216" s="203">
        <f t="shared" si="706"/>
        <v>3</v>
      </c>
      <c r="Q1216" s="200" t="s">
        <v>4358</v>
      </c>
      <c r="R1216" s="202" t="s">
        <v>17</v>
      </c>
      <c r="S1216" s="197" t="s">
        <v>101</v>
      </c>
      <c r="T1216" s="197" t="s">
        <v>101</v>
      </c>
      <c r="U1216" s="201">
        <v>42135</v>
      </c>
      <c r="V1216" s="202" t="s">
        <v>186</v>
      </c>
      <c r="W1216" s="204">
        <f t="shared" si="707"/>
        <v>0</v>
      </c>
      <c r="X1216" s="204" t="str">
        <f t="shared" si="708"/>
        <v>Correcto</v>
      </c>
    </row>
    <row r="1217" spans="1:24" ht="18" customHeight="1" x14ac:dyDescent="0.25">
      <c r="A1217" s="205">
        <v>1208</v>
      </c>
      <c r="B1217" s="197" t="s">
        <v>4359</v>
      </c>
      <c r="C1217" s="198">
        <v>42129</v>
      </c>
      <c r="D1217" s="199">
        <v>2</v>
      </c>
      <c r="E1217" s="200" t="s">
        <v>93</v>
      </c>
      <c r="F1217" s="197" t="s">
        <v>1654</v>
      </c>
      <c r="G1217" s="200" t="s">
        <v>202</v>
      </c>
      <c r="H1217" s="201">
        <v>42131</v>
      </c>
      <c r="I1217" s="200" t="s">
        <v>187</v>
      </c>
      <c r="J1217" s="200" t="s">
        <v>103</v>
      </c>
      <c r="K1217" s="200" t="s">
        <v>4360</v>
      </c>
      <c r="L1217" s="201">
        <v>42131</v>
      </c>
      <c r="M1217" s="197" t="s">
        <v>1914</v>
      </c>
      <c r="N1217" s="202" t="s">
        <v>185</v>
      </c>
      <c r="O1217" s="201">
        <v>42132</v>
      </c>
      <c r="P1217" s="203">
        <f t="shared" si="706"/>
        <v>3</v>
      </c>
      <c r="Q1217" s="200" t="s">
        <v>4361</v>
      </c>
      <c r="R1217" s="202" t="s">
        <v>17</v>
      </c>
      <c r="S1217" s="197" t="s">
        <v>101</v>
      </c>
      <c r="T1217" s="197" t="s">
        <v>101</v>
      </c>
      <c r="U1217" s="201">
        <v>42135</v>
      </c>
      <c r="V1217" s="202" t="s">
        <v>186</v>
      </c>
      <c r="W1217" s="204">
        <f t="shared" si="707"/>
        <v>0</v>
      </c>
      <c r="X1217" s="204" t="str">
        <f t="shared" si="708"/>
        <v>Correcto</v>
      </c>
    </row>
    <row r="1218" spans="1:24" ht="18" customHeight="1" x14ac:dyDescent="0.25">
      <c r="A1218" s="205">
        <v>1209</v>
      </c>
      <c r="B1218" s="197" t="s">
        <v>4362</v>
      </c>
      <c r="C1218" s="198">
        <v>42129</v>
      </c>
      <c r="D1218" s="199">
        <v>2</v>
      </c>
      <c r="E1218" s="200" t="s">
        <v>93</v>
      </c>
      <c r="F1218" s="197" t="s">
        <v>1654</v>
      </c>
      <c r="G1218" s="200" t="s">
        <v>202</v>
      </c>
      <c r="H1218" s="201">
        <v>42135</v>
      </c>
      <c r="I1218" s="200" t="s">
        <v>187</v>
      </c>
      <c r="J1218" s="200" t="s">
        <v>103</v>
      </c>
      <c r="K1218" s="200" t="s">
        <v>4363</v>
      </c>
      <c r="L1218" s="201">
        <v>42135</v>
      </c>
      <c r="M1218" s="197" t="s">
        <v>1914</v>
      </c>
      <c r="N1218" s="202" t="s">
        <v>185</v>
      </c>
      <c r="O1218" s="201">
        <v>42136</v>
      </c>
      <c r="P1218" s="203">
        <f t="shared" si="706"/>
        <v>7</v>
      </c>
      <c r="Q1218" s="200" t="s">
        <v>4364</v>
      </c>
      <c r="R1218" s="202" t="s">
        <v>2438</v>
      </c>
      <c r="S1218" s="197" t="s">
        <v>101</v>
      </c>
      <c r="T1218" s="197" t="s">
        <v>4262</v>
      </c>
      <c r="U1218" s="201">
        <v>42137</v>
      </c>
      <c r="V1218" s="202" t="s">
        <v>186</v>
      </c>
      <c r="W1218" s="204">
        <f t="shared" si="707"/>
        <v>0</v>
      </c>
      <c r="X1218" s="204" t="str">
        <f t="shared" si="708"/>
        <v>Correcto</v>
      </c>
    </row>
    <row r="1219" spans="1:24" ht="18" customHeight="1" x14ac:dyDescent="0.25">
      <c r="A1219" s="205">
        <v>1210</v>
      </c>
      <c r="B1219" s="197" t="s">
        <v>4365</v>
      </c>
      <c r="C1219" s="198">
        <v>42129</v>
      </c>
      <c r="D1219" s="199">
        <v>2</v>
      </c>
      <c r="E1219" s="200" t="s">
        <v>93</v>
      </c>
      <c r="F1219" s="197" t="s">
        <v>1654</v>
      </c>
      <c r="G1219" s="200" t="s">
        <v>202</v>
      </c>
      <c r="H1219" s="201">
        <v>42135</v>
      </c>
      <c r="I1219" s="200" t="s">
        <v>187</v>
      </c>
      <c r="J1219" s="200" t="s">
        <v>103</v>
      </c>
      <c r="K1219" s="200" t="s">
        <v>4366</v>
      </c>
      <c r="L1219" s="201">
        <v>42135</v>
      </c>
      <c r="M1219" s="197" t="s">
        <v>1914</v>
      </c>
      <c r="N1219" s="202" t="s">
        <v>185</v>
      </c>
      <c r="O1219" s="201">
        <v>42136</v>
      </c>
      <c r="P1219" s="203">
        <f t="shared" si="706"/>
        <v>7</v>
      </c>
      <c r="Q1219" s="200" t="s">
        <v>4367</v>
      </c>
      <c r="R1219" s="202" t="s">
        <v>2438</v>
      </c>
      <c r="S1219" s="197" t="s">
        <v>101</v>
      </c>
      <c r="T1219" s="197" t="s">
        <v>4262</v>
      </c>
      <c r="U1219" s="201">
        <v>42137</v>
      </c>
      <c r="V1219" s="202" t="s">
        <v>186</v>
      </c>
      <c r="W1219" s="204">
        <f t="shared" si="707"/>
        <v>0</v>
      </c>
      <c r="X1219" s="204" t="str">
        <f t="shared" si="708"/>
        <v>Correcto</v>
      </c>
    </row>
    <row r="1220" spans="1:24" ht="18" customHeight="1" x14ac:dyDescent="0.25">
      <c r="A1220" s="205">
        <v>1211</v>
      </c>
      <c r="B1220" s="197" t="s">
        <v>4368</v>
      </c>
      <c r="C1220" s="198">
        <v>42129</v>
      </c>
      <c r="D1220" s="199">
        <v>2</v>
      </c>
      <c r="E1220" s="200" t="s">
        <v>93</v>
      </c>
      <c r="F1220" s="197" t="s">
        <v>825</v>
      </c>
      <c r="G1220" s="200" t="s">
        <v>202</v>
      </c>
      <c r="H1220" s="201">
        <v>42136</v>
      </c>
      <c r="I1220" s="200" t="s">
        <v>187</v>
      </c>
      <c r="J1220" s="200" t="s">
        <v>103</v>
      </c>
      <c r="K1220" s="200" t="s">
        <v>4369</v>
      </c>
      <c r="L1220" s="201">
        <v>42136</v>
      </c>
      <c r="M1220" s="197" t="s">
        <v>824</v>
      </c>
      <c r="N1220" s="202" t="s">
        <v>185</v>
      </c>
      <c r="O1220" s="201">
        <v>42136</v>
      </c>
      <c r="P1220" s="203">
        <f t="shared" si="706"/>
        <v>7</v>
      </c>
      <c r="Q1220" s="200" t="s">
        <v>4369</v>
      </c>
      <c r="R1220" s="202" t="s">
        <v>2438</v>
      </c>
      <c r="S1220" s="197" t="s">
        <v>101</v>
      </c>
      <c r="T1220" s="197" t="s">
        <v>4262</v>
      </c>
      <c r="U1220" s="201">
        <v>42137</v>
      </c>
      <c r="V1220" s="202" t="s">
        <v>186</v>
      </c>
      <c r="W1220" s="204">
        <f t="shared" si="707"/>
        <v>0</v>
      </c>
      <c r="X1220" s="204" t="str">
        <f t="shared" si="708"/>
        <v>Correcto</v>
      </c>
    </row>
    <row r="1221" spans="1:24" ht="18" customHeight="1" x14ac:dyDescent="0.25">
      <c r="A1221" s="205">
        <v>1212</v>
      </c>
      <c r="B1221" s="197" t="s">
        <v>4370</v>
      </c>
      <c r="C1221" s="198">
        <v>42129</v>
      </c>
      <c r="D1221" s="199">
        <v>2</v>
      </c>
      <c r="E1221" s="200" t="s">
        <v>93</v>
      </c>
      <c r="F1221" s="197" t="s">
        <v>1654</v>
      </c>
      <c r="G1221" s="200" t="s">
        <v>202</v>
      </c>
      <c r="H1221" s="201">
        <v>42135</v>
      </c>
      <c r="I1221" s="200" t="s">
        <v>187</v>
      </c>
      <c r="J1221" s="200" t="s">
        <v>103</v>
      </c>
      <c r="K1221" s="200" t="s">
        <v>4371</v>
      </c>
      <c r="L1221" s="201">
        <v>42135</v>
      </c>
      <c r="M1221" s="197" t="s">
        <v>1914</v>
      </c>
      <c r="N1221" s="202" t="s">
        <v>185</v>
      </c>
      <c r="O1221" s="201">
        <v>42136</v>
      </c>
      <c r="P1221" s="203">
        <f t="shared" si="706"/>
        <v>7</v>
      </c>
      <c r="Q1221" s="200" t="s">
        <v>4372</v>
      </c>
      <c r="R1221" s="202" t="s">
        <v>2438</v>
      </c>
      <c r="S1221" s="197" t="s">
        <v>101</v>
      </c>
      <c r="T1221" s="197" t="s">
        <v>4262</v>
      </c>
      <c r="U1221" s="201">
        <v>42137</v>
      </c>
      <c r="V1221" s="202" t="s">
        <v>186</v>
      </c>
      <c r="W1221" s="204">
        <f t="shared" si="707"/>
        <v>0</v>
      </c>
      <c r="X1221" s="204" t="str">
        <f t="shared" si="708"/>
        <v>Correcto</v>
      </c>
    </row>
    <row r="1222" spans="1:24" ht="18" customHeight="1" x14ac:dyDescent="0.25">
      <c r="A1222" s="205">
        <v>1213</v>
      </c>
      <c r="B1222" s="197" t="s">
        <v>4373</v>
      </c>
      <c r="C1222" s="198">
        <v>42129</v>
      </c>
      <c r="D1222" s="199">
        <v>2</v>
      </c>
      <c r="E1222" s="200" t="s">
        <v>93</v>
      </c>
      <c r="F1222" s="197" t="s">
        <v>1654</v>
      </c>
      <c r="G1222" s="200" t="s">
        <v>202</v>
      </c>
      <c r="H1222" s="201">
        <v>42135</v>
      </c>
      <c r="I1222" s="200" t="s">
        <v>187</v>
      </c>
      <c r="J1222" s="200" t="s">
        <v>103</v>
      </c>
      <c r="K1222" s="200" t="s">
        <v>4374</v>
      </c>
      <c r="L1222" s="201">
        <v>42135</v>
      </c>
      <c r="M1222" s="197" t="s">
        <v>1914</v>
      </c>
      <c r="N1222" s="202" t="s">
        <v>185</v>
      </c>
      <c r="O1222" s="201">
        <v>42136</v>
      </c>
      <c r="P1222" s="203">
        <f t="shared" si="706"/>
        <v>7</v>
      </c>
      <c r="Q1222" s="200" t="s">
        <v>4375</v>
      </c>
      <c r="R1222" s="202" t="s">
        <v>2438</v>
      </c>
      <c r="S1222" s="197" t="s">
        <v>101</v>
      </c>
      <c r="T1222" s="197" t="s">
        <v>4262</v>
      </c>
      <c r="U1222" s="201">
        <v>42137</v>
      </c>
      <c r="V1222" s="202" t="s">
        <v>186</v>
      </c>
      <c r="W1222" s="204">
        <f t="shared" si="707"/>
        <v>0</v>
      </c>
      <c r="X1222" s="204" t="str">
        <f t="shared" si="708"/>
        <v>Correcto</v>
      </c>
    </row>
    <row r="1223" spans="1:24" ht="18" customHeight="1" x14ac:dyDescent="0.25">
      <c r="A1223" s="205">
        <v>1214</v>
      </c>
      <c r="B1223" s="197" t="s">
        <v>4376</v>
      </c>
      <c r="C1223" s="198">
        <v>42129</v>
      </c>
      <c r="D1223" s="199">
        <v>2</v>
      </c>
      <c r="E1223" s="200" t="s">
        <v>93</v>
      </c>
      <c r="F1223" s="197" t="s">
        <v>1654</v>
      </c>
      <c r="G1223" s="200" t="s">
        <v>202</v>
      </c>
      <c r="H1223" s="201">
        <v>42130</v>
      </c>
      <c r="I1223" s="200" t="s">
        <v>187</v>
      </c>
      <c r="J1223" s="200" t="s">
        <v>103</v>
      </c>
      <c r="K1223" s="200" t="s">
        <v>4377</v>
      </c>
      <c r="L1223" s="201">
        <v>42130</v>
      </c>
      <c r="M1223" s="197" t="s">
        <v>1914</v>
      </c>
      <c r="N1223" s="202" t="s">
        <v>185</v>
      </c>
      <c r="O1223" s="201">
        <v>42130</v>
      </c>
      <c r="P1223" s="203">
        <f t="shared" si="706"/>
        <v>1</v>
      </c>
      <c r="Q1223" s="200" t="s">
        <v>4377</v>
      </c>
      <c r="R1223" s="202" t="s">
        <v>17</v>
      </c>
      <c r="S1223" s="197" t="s">
        <v>104</v>
      </c>
      <c r="T1223" s="197">
        <v>1102826045</v>
      </c>
      <c r="U1223" s="201">
        <v>42130</v>
      </c>
      <c r="V1223" s="202" t="s">
        <v>186</v>
      </c>
      <c r="W1223" s="204">
        <f t="shared" si="707"/>
        <v>0</v>
      </c>
      <c r="X1223" s="204" t="str">
        <f t="shared" si="708"/>
        <v>Correcto</v>
      </c>
    </row>
    <row r="1224" spans="1:24" ht="18" customHeight="1" x14ac:dyDescent="0.25">
      <c r="A1224" s="205">
        <v>1215</v>
      </c>
      <c r="B1224" s="197" t="s">
        <v>4378</v>
      </c>
      <c r="C1224" s="198">
        <v>42129</v>
      </c>
      <c r="D1224" s="199">
        <v>2</v>
      </c>
      <c r="E1224" s="200" t="s">
        <v>93</v>
      </c>
      <c r="F1224" s="197" t="s">
        <v>1654</v>
      </c>
      <c r="G1224" s="200" t="s">
        <v>202</v>
      </c>
      <c r="H1224" s="201">
        <v>42130</v>
      </c>
      <c r="I1224" s="200" t="s">
        <v>187</v>
      </c>
      <c r="J1224" s="200" t="s">
        <v>103</v>
      </c>
      <c r="K1224" s="200" t="s">
        <v>4379</v>
      </c>
      <c r="L1224" s="201">
        <v>42130</v>
      </c>
      <c r="M1224" s="197" t="s">
        <v>1914</v>
      </c>
      <c r="N1224" s="202" t="s">
        <v>185</v>
      </c>
      <c r="O1224" s="201">
        <v>42130</v>
      </c>
      <c r="P1224" s="203">
        <f t="shared" si="706"/>
        <v>1</v>
      </c>
      <c r="Q1224" s="200" t="s">
        <v>4379</v>
      </c>
      <c r="R1224" s="202" t="s">
        <v>17</v>
      </c>
      <c r="S1224" s="197" t="s">
        <v>104</v>
      </c>
      <c r="T1224" s="197">
        <v>704326206</v>
      </c>
      <c r="U1224" s="201">
        <v>42131</v>
      </c>
      <c r="V1224" s="202" t="s">
        <v>186</v>
      </c>
      <c r="W1224" s="204">
        <f t="shared" si="707"/>
        <v>0</v>
      </c>
      <c r="X1224" s="204" t="str">
        <f t="shared" si="708"/>
        <v>Correcto</v>
      </c>
    </row>
    <row r="1225" spans="1:24" ht="18" customHeight="1" x14ac:dyDescent="0.25">
      <c r="A1225" s="205">
        <v>1216</v>
      </c>
      <c r="B1225" s="197" t="s">
        <v>4380</v>
      </c>
      <c r="C1225" s="198">
        <v>42129</v>
      </c>
      <c r="D1225" s="199">
        <v>2</v>
      </c>
      <c r="E1225" s="200" t="s">
        <v>93</v>
      </c>
      <c r="F1225" s="197" t="s">
        <v>1654</v>
      </c>
      <c r="G1225" s="200" t="s">
        <v>202</v>
      </c>
      <c r="H1225" s="201">
        <v>42130</v>
      </c>
      <c r="I1225" s="200" t="s">
        <v>187</v>
      </c>
      <c r="J1225" s="200" t="s">
        <v>103</v>
      </c>
      <c r="K1225" s="200" t="s">
        <v>4381</v>
      </c>
      <c r="L1225" s="201">
        <v>42130</v>
      </c>
      <c r="M1225" s="197" t="s">
        <v>1914</v>
      </c>
      <c r="N1225" s="202" t="s">
        <v>185</v>
      </c>
      <c r="O1225" s="201">
        <v>42130</v>
      </c>
      <c r="P1225" s="203">
        <f t="shared" si="706"/>
        <v>1</v>
      </c>
      <c r="Q1225" s="200" t="s">
        <v>4381</v>
      </c>
      <c r="R1225" s="202" t="s">
        <v>17</v>
      </c>
      <c r="S1225" s="197" t="s">
        <v>104</v>
      </c>
      <c r="T1225" s="197">
        <v>1104245442</v>
      </c>
      <c r="U1225" s="201">
        <v>42131</v>
      </c>
      <c r="V1225" s="202" t="s">
        <v>186</v>
      </c>
      <c r="W1225" s="204">
        <f t="shared" si="707"/>
        <v>0</v>
      </c>
      <c r="X1225" s="204" t="str">
        <f t="shared" si="708"/>
        <v>Correcto</v>
      </c>
    </row>
    <row r="1226" spans="1:24" ht="18" customHeight="1" x14ac:dyDescent="0.25">
      <c r="A1226" s="205">
        <v>1217</v>
      </c>
      <c r="B1226" s="197" t="s">
        <v>4382</v>
      </c>
      <c r="C1226" s="198">
        <v>42129</v>
      </c>
      <c r="D1226" s="199">
        <v>2</v>
      </c>
      <c r="E1226" s="200" t="s">
        <v>93</v>
      </c>
      <c r="F1226" s="197" t="s">
        <v>825</v>
      </c>
      <c r="G1226" s="200" t="s">
        <v>202</v>
      </c>
      <c r="H1226" s="201">
        <v>42136</v>
      </c>
      <c r="I1226" s="200" t="s">
        <v>187</v>
      </c>
      <c r="J1226" s="200" t="s">
        <v>103</v>
      </c>
      <c r="K1226" s="200" t="s">
        <v>4383</v>
      </c>
      <c r="L1226" s="201">
        <v>42136</v>
      </c>
      <c r="M1226" s="197" t="s">
        <v>824</v>
      </c>
      <c r="N1226" s="202" t="s">
        <v>185</v>
      </c>
      <c r="O1226" s="201">
        <v>42136</v>
      </c>
      <c r="P1226" s="203">
        <f t="shared" si="706"/>
        <v>7</v>
      </c>
      <c r="Q1226" s="200" t="s">
        <v>4383</v>
      </c>
      <c r="R1226" s="202" t="s">
        <v>2438</v>
      </c>
      <c r="S1226" s="197" t="s">
        <v>101</v>
      </c>
      <c r="T1226" s="197" t="s">
        <v>4262</v>
      </c>
      <c r="U1226" s="201">
        <v>42137</v>
      </c>
      <c r="V1226" s="202" t="s">
        <v>186</v>
      </c>
      <c r="W1226" s="204">
        <f t="shared" si="707"/>
        <v>0</v>
      </c>
      <c r="X1226" s="204" t="str">
        <f t="shared" si="708"/>
        <v>Correcto</v>
      </c>
    </row>
    <row r="1227" spans="1:24" ht="18" customHeight="1" x14ac:dyDescent="0.25">
      <c r="A1227" s="205">
        <v>1218</v>
      </c>
      <c r="B1227" s="197" t="s">
        <v>4384</v>
      </c>
      <c r="C1227" s="198">
        <v>42129</v>
      </c>
      <c r="D1227" s="199">
        <v>2</v>
      </c>
      <c r="E1227" s="200" t="s">
        <v>93</v>
      </c>
      <c r="F1227" s="197" t="s">
        <v>1654</v>
      </c>
      <c r="G1227" s="200" t="s">
        <v>202</v>
      </c>
      <c r="H1227" s="201">
        <v>42135</v>
      </c>
      <c r="I1227" s="200" t="s">
        <v>187</v>
      </c>
      <c r="J1227" s="200" t="s">
        <v>103</v>
      </c>
      <c r="K1227" s="200" t="s">
        <v>4385</v>
      </c>
      <c r="L1227" s="201">
        <v>42135</v>
      </c>
      <c r="M1227" s="197" t="s">
        <v>1914</v>
      </c>
      <c r="N1227" s="202" t="s">
        <v>185</v>
      </c>
      <c r="O1227" s="201">
        <v>42136</v>
      </c>
      <c r="P1227" s="203">
        <f t="shared" si="706"/>
        <v>7</v>
      </c>
      <c r="Q1227" s="200" t="s">
        <v>4386</v>
      </c>
      <c r="R1227" s="202" t="s">
        <v>2438</v>
      </c>
      <c r="S1227" s="197" t="s">
        <v>101</v>
      </c>
      <c r="T1227" s="197" t="s">
        <v>4262</v>
      </c>
      <c r="U1227" s="201">
        <v>42137</v>
      </c>
      <c r="V1227" s="202" t="s">
        <v>186</v>
      </c>
      <c r="W1227" s="204">
        <f t="shared" si="707"/>
        <v>0</v>
      </c>
      <c r="X1227" s="204" t="str">
        <f t="shared" si="708"/>
        <v>Correcto</v>
      </c>
    </row>
    <row r="1228" spans="1:24" ht="18" customHeight="1" x14ac:dyDescent="0.25">
      <c r="A1228" s="205">
        <v>1219</v>
      </c>
      <c r="B1228" s="197" t="s">
        <v>4387</v>
      </c>
      <c r="C1228" s="198">
        <v>42129</v>
      </c>
      <c r="D1228" s="199">
        <v>2</v>
      </c>
      <c r="E1228" s="200" t="s">
        <v>93</v>
      </c>
      <c r="F1228" s="197" t="s">
        <v>825</v>
      </c>
      <c r="G1228" s="200" t="s">
        <v>202</v>
      </c>
      <c r="H1228" s="201">
        <v>42136</v>
      </c>
      <c r="I1228" s="200" t="s">
        <v>187</v>
      </c>
      <c r="J1228" s="200" t="s">
        <v>103</v>
      </c>
      <c r="K1228" s="200" t="s">
        <v>4388</v>
      </c>
      <c r="L1228" s="201">
        <v>42136</v>
      </c>
      <c r="M1228" s="197" t="s">
        <v>824</v>
      </c>
      <c r="N1228" s="202" t="s">
        <v>185</v>
      </c>
      <c r="O1228" s="201">
        <v>42136</v>
      </c>
      <c r="P1228" s="203">
        <f t="shared" si="706"/>
        <v>7</v>
      </c>
      <c r="Q1228" s="200" t="s">
        <v>4388</v>
      </c>
      <c r="R1228" s="202" t="s">
        <v>2438</v>
      </c>
      <c r="S1228" s="197" t="s">
        <v>101</v>
      </c>
      <c r="T1228" s="197" t="s">
        <v>4262</v>
      </c>
      <c r="U1228" s="201">
        <v>42137</v>
      </c>
      <c r="V1228" s="202" t="s">
        <v>186</v>
      </c>
      <c r="W1228" s="204">
        <f t="shared" si="707"/>
        <v>0</v>
      </c>
      <c r="X1228" s="204" t="str">
        <f t="shared" si="708"/>
        <v>Correcto</v>
      </c>
    </row>
    <row r="1229" spans="1:24" ht="18" customHeight="1" x14ac:dyDescent="0.25">
      <c r="A1229" s="205">
        <v>1220</v>
      </c>
      <c r="B1229" s="197" t="s">
        <v>4389</v>
      </c>
      <c r="C1229" s="198">
        <v>42129</v>
      </c>
      <c r="D1229" s="199">
        <v>2</v>
      </c>
      <c r="E1229" s="200" t="s">
        <v>93</v>
      </c>
      <c r="F1229" s="197" t="s">
        <v>1654</v>
      </c>
      <c r="G1229" s="200" t="s">
        <v>202</v>
      </c>
      <c r="H1229" s="201">
        <v>42135</v>
      </c>
      <c r="I1229" s="200" t="s">
        <v>187</v>
      </c>
      <c r="J1229" s="200" t="s">
        <v>103</v>
      </c>
      <c r="K1229" s="200" t="s">
        <v>4390</v>
      </c>
      <c r="L1229" s="201">
        <v>42135</v>
      </c>
      <c r="M1229" s="197" t="s">
        <v>1914</v>
      </c>
      <c r="N1229" s="202" t="s">
        <v>185</v>
      </c>
      <c r="O1229" s="201">
        <v>42136</v>
      </c>
      <c r="P1229" s="203">
        <f t="shared" si="706"/>
        <v>7</v>
      </c>
      <c r="Q1229" s="200" t="s">
        <v>4391</v>
      </c>
      <c r="R1229" s="202" t="s">
        <v>2438</v>
      </c>
      <c r="S1229" s="197" t="s">
        <v>101</v>
      </c>
      <c r="T1229" s="197" t="s">
        <v>4262</v>
      </c>
      <c r="U1229" s="201">
        <v>42137</v>
      </c>
      <c r="V1229" s="202" t="s">
        <v>186</v>
      </c>
      <c r="W1229" s="204">
        <f t="shared" si="707"/>
        <v>0</v>
      </c>
      <c r="X1229" s="204" t="str">
        <f t="shared" si="708"/>
        <v>Correcto</v>
      </c>
    </row>
    <row r="1230" spans="1:24" ht="18" customHeight="1" x14ac:dyDescent="0.25">
      <c r="A1230" s="205">
        <v>1221</v>
      </c>
      <c r="B1230" s="197" t="s">
        <v>4392</v>
      </c>
      <c r="C1230" s="198">
        <v>42129</v>
      </c>
      <c r="D1230" s="199">
        <v>2</v>
      </c>
      <c r="E1230" s="200" t="s">
        <v>93</v>
      </c>
      <c r="F1230" s="197" t="s">
        <v>825</v>
      </c>
      <c r="G1230" s="200" t="s">
        <v>202</v>
      </c>
      <c r="H1230" s="201">
        <v>42136</v>
      </c>
      <c r="I1230" s="200" t="s">
        <v>187</v>
      </c>
      <c r="J1230" s="200" t="s">
        <v>103</v>
      </c>
      <c r="K1230" s="200" t="s">
        <v>4393</v>
      </c>
      <c r="L1230" s="201">
        <v>42136</v>
      </c>
      <c r="M1230" s="197" t="s">
        <v>824</v>
      </c>
      <c r="N1230" s="202" t="s">
        <v>185</v>
      </c>
      <c r="O1230" s="201">
        <v>42136</v>
      </c>
      <c r="P1230" s="203">
        <f t="shared" si="706"/>
        <v>7</v>
      </c>
      <c r="Q1230" s="200" t="s">
        <v>4393</v>
      </c>
      <c r="R1230" s="202" t="s">
        <v>2438</v>
      </c>
      <c r="S1230" s="197" t="s">
        <v>101</v>
      </c>
      <c r="T1230" s="197" t="s">
        <v>4262</v>
      </c>
      <c r="U1230" s="201">
        <v>42137</v>
      </c>
      <c r="V1230" s="202" t="s">
        <v>186</v>
      </c>
      <c r="W1230" s="204">
        <f t="shared" si="707"/>
        <v>0</v>
      </c>
      <c r="X1230" s="204" t="str">
        <f t="shared" si="708"/>
        <v>Correcto</v>
      </c>
    </row>
    <row r="1231" spans="1:24" ht="18" customHeight="1" x14ac:dyDescent="0.25">
      <c r="A1231" s="205">
        <v>1222</v>
      </c>
      <c r="B1231" s="197" t="s">
        <v>4394</v>
      </c>
      <c r="C1231" s="198">
        <v>42129</v>
      </c>
      <c r="D1231" s="199">
        <v>2</v>
      </c>
      <c r="E1231" s="200" t="s">
        <v>93</v>
      </c>
      <c r="F1231" s="197" t="s">
        <v>825</v>
      </c>
      <c r="G1231" s="200" t="s">
        <v>202</v>
      </c>
      <c r="H1231" s="201">
        <v>42135</v>
      </c>
      <c r="I1231" s="200" t="s">
        <v>187</v>
      </c>
      <c r="J1231" s="200" t="s">
        <v>103</v>
      </c>
      <c r="K1231" s="200" t="s">
        <v>4395</v>
      </c>
      <c r="L1231" s="201">
        <v>42135</v>
      </c>
      <c r="M1231" s="197" t="s">
        <v>1914</v>
      </c>
      <c r="N1231" s="202" t="s">
        <v>185</v>
      </c>
      <c r="O1231" s="201">
        <v>42136</v>
      </c>
      <c r="P1231" s="203">
        <f t="shared" si="706"/>
        <v>7</v>
      </c>
      <c r="Q1231" s="200" t="s">
        <v>4396</v>
      </c>
      <c r="R1231" s="202" t="s">
        <v>2438</v>
      </c>
      <c r="S1231" s="197" t="s">
        <v>101</v>
      </c>
      <c r="T1231" s="197" t="s">
        <v>4262</v>
      </c>
      <c r="U1231" s="201">
        <v>42137</v>
      </c>
      <c r="V1231" s="202" t="s">
        <v>186</v>
      </c>
      <c r="W1231" s="204">
        <f t="shared" si="707"/>
        <v>0</v>
      </c>
      <c r="X1231" s="204" t="str">
        <f t="shared" si="708"/>
        <v>Correcto</v>
      </c>
    </row>
    <row r="1232" spans="1:24" ht="18" customHeight="1" x14ac:dyDescent="0.25">
      <c r="A1232" s="205">
        <v>1223</v>
      </c>
      <c r="B1232" s="197" t="s">
        <v>4397</v>
      </c>
      <c r="C1232" s="198">
        <v>42129</v>
      </c>
      <c r="D1232" s="199">
        <v>2</v>
      </c>
      <c r="E1232" s="200" t="s">
        <v>93</v>
      </c>
      <c r="F1232" s="197" t="s">
        <v>825</v>
      </c>
      <c r="G1232" s="200" t="s">
        <v>202</v>
      </c>
      <c r="H1232" s="201">
        <v>42136</v>
      </c>
      <c r="I1232" s="200" t="s">
        <v>187</v>
      </c>
      <c r="J1232" s="200" t="s">
        <v>103</v>
      </c>
      <c r="K1232" s="200" t="s">
        <v>4398</v>
      </c>
      <c r="L1232" s="201">
        <v>42136</v>
      </c>
      <c r="M1232" s="197" t="s">
        <v>1914</v>
      </c>
      <c r="N1232" s="202" t="s">
        <v>185</v>
      </c>
      <c r="O1232" s="201">
        <v>42136</v>
      </c>
      <c r="P1232" s="203">
        <f t="shared" si="706"/>
        <v>7</v>
      </c>
      <c r="Q1232" s="200" t="s">
        <v>4398</v>
      </c>
      <c r="R1232" s="202" t="s">
        <v>2438</v>
      </c>
      <c r="S1232" s="197" t="s">
        <v>101</v>
      </c>
      <c r="T1232" s="197" t="s">
        <v>4262</v>
      </c>
      <c r="U1232" s="201">
        <v>42137</v>
      </c>
      <c r="V1232" s="202" t="s">
        <v>186</v>
      </c>
      <c r="W1232" s="204">
        <f t="shared" si="707"/>
        <v>0</v>
      </c>
      <c r="X1232" s="204" t="str">
        <f t="shared" si="708"/>
        <v>Correcto</v>
      </c>
    </row>
    <row r="1233" spans="1:24" ht="18" customHeight="1" x14ac:dyDescent="0.25">
      <c r="A1233" s="205">
        <v>1224</v>
      </c>
      <c r="B1233" s="197" t="s">
        <v>4399</v>
      </c>
      <c r="C1233" s="198">
        <v>42129</v>
      </c>
      <c r="D1233" s="199">
        <v>2</v>
      </c>
      <c r="E1233" s="200" t="s">
        <v>93</v>
      </c>
      <c r="F1233" s="197" t="s">
        <v>825</v>
      </c>
      <c r="G1233" s="200" t="s">
        <v>202</v>
      </c>
      <c r="H1233" s="201">
        <v>42135</v>
      </c>
      <c r="I1233" s="200" t="s">
        <v>187</v>
      </c>
      <c r="J1233" s="200" t="s">
        <v>103</v>
      </c>
      <c r="K1233" s="200" t="s">
        <v>4400</v>
      </c>
      <c r="L1233" s="201">
        <v>42135</v>
      </c>
      <c r="M1233" s="197" t="s">
        <v>1914</v>
      </c>
      <c r="N1233" s="202" t="s">
        <v>185</v>
      </c>
      <c r="O1233" s="201">
        <v>42136</v>
      </c>
      <c r="P1233" s="203">
        <f t="shared" si="706"/>
        <v>7</v>
      </c>
      <c r="Q1233" s="200" t="s">
        <v>4401</v>
      </c>
      <c r="R1233" s="202" t="s">
        <v>2438</v>
      </c>
      <c r="S1233" s="197" t="s">
        <v>101</v>
      </c>
      <c r="T1233" s="197" t="s">
        <v>4262</v>
      </c>
      <c r="U1233" s="201">
        <v>42137</v>
      </c>
      <c r="V1233" s="202" t="s">
        <v>186</v>
      </c>
      <c r="W1233" s="204">
        <f t="shared" si="707"/>
        <v>0</v>
      </c>
      <c r="X1233" s="204" t="str">
        <f t="shared" si="708"/>
        <v>Correcto</v>
      </c>
    </row>
    <row r="1234" spans="1:24" ht="18" customHeight="1" x14ac:dyDescent="0.25">
      <c r="A1234" s="205">
        <v>1225</v>
      </c>
      <c r="B1234" s="197" t="s">
        <v>4402</v>
      </c>
      <c r="C1234" s="198">
        <v>42129</v>
      </c>
      <c r="D1234" s="199">
        <v>2</v>
      </c>
      <c r="E1234" s="200" t="s">
        <v>93</v>
      </c>
      <c r="F1234" s="197" t="s">
        <v>825</v>
      </c>
      <c r="G1234" s="200" t="s">
        <v>202</v>
      </c>
      <c r="H1234" s="201">
        <v>42135</v>
      </c>
      <c r="I1234" s="200" t="s">
        <v>187</v>
      </c>
      <c r="J1234" s="200" t="s">
        <v>103</v>
      </c>
      <c r="K1234" s="200" t="s">
        <v>4403</v>
      </c>
      <c r="L1234" s="201">
        <v>42135</v>
      </c>
      <c r="M1234" s="197" t="s">
        <v>1914</v>
      </c>
      <c r="N1234" s="202" t="s">
        <v>185</v>
      </c>
      <c r="O1234" s="201">
        <v>42136</v>
      </c>
      <c r="P1234" s="203">
        <f t="shared" si="706"/>
        <v>7</v>
      </c>
      <c r="Q1234" s="200" t="s">
        <v>4404</v>
      </c>
      <c r="R1234" s="202" t="s">
        <v>2438</v>
      </c>
      <c r="S1234" s="197" t="s">
        <v>101</v>
      </c>
      <c r="T1234" s="197" t="s">
        <v>4262</v>
      </c>
      <c r="U1234" s="201">
        <v>42137</v>
      </c>
      <c r="V1234" s="202" t="s">
        <v>186</v>
      </c>
      <c r="W1234" s="204">
        <f t="shared" si="707"/>
        <v>0</v>
      </c>
      <c r="X1234" s="204" t="str">
        <f t="shared" si="708"/>
        <v>Correcto</v>
      </c>
    </row>
    <row r="1235" spans="1:24" ht="18" customHeight="1" x14ac:dyDescent="0.25">
      <c r="A1235" s="205">
        <v>1226</v>
      </c>
      <c r="B1235" s="197" t="s">
        <v>4405</v>
      </c>
      <c r="C1235" s="198">
        <v>42129</v>
      </c>
      <c r="D1235" s="199">
        <v>2</v>
      </c>
      <c r="E1235" s="200" t="s">
        <v>93</v>
      </c>
      <c r="F1235" s="197" t="s">
        <v>825</v>
      </c>
      <c r="G1235" s="200" t="s">
        <v>202</v>
      </c>
      <c r="H1235" s="201">
        <v>42132</v>
      </c>
      <c r="I1235" s="200" t="s">
        <v>187</v>
      </c>
      <c r="J1235" s="200" t="s">
        <v>103</v>
      </c>
      <c r="K1235" s="200" t="s">
        <v>4406</v>
      </c>
      <c r="L1235" s="201">
        <v>42132</v>
      </c>
      <c r="M1235" s="197" t="s">
        <v>824</v>
      </c>
      <c r="N1235" s="202" t="s">
        <v>185</v>
      </c>
      <c r="O1235" s="201">
        <v>42132</v>
      </c>
      <c r="P1235" s="203">
        <f t="shared" si="706"/>
        <v>3</v>
      </c>
      <c r="Q1235" s="200" t="s">
        <v>4406</v>
      </c>
      <c r="R1235" s="202" t="s">
        <v>17</v>
      </c>
      <c r="S1235" s="197" t="s">
        <v>4407</v>
      </c>
      <c r="T1235" s="197" t="s">
        <v>4407</v>
      </c>
      <c r="U1235" s="201">
        <v>42135</v>
      </c>
      <c r="V1235" s="202" t="s">
        <v>186</v>
      </c>
      <c r="W1235" s="204">
        <f t="shared" si="707"/>
        <v>0</v>
      </c>
      <c r="X1235" s="204" t="str">
        <f t="shared" si="708"/>
        <v>Correcto</v>
      </c>
    </row>
    <row r="1236" spans="1:24" ht="18" customHeight="1" x14ac:dyDescent="0.25">
      <c r="A1236" s="205">
        <v>1227</v>
      </c>
      <c r="B1236" s="197" t="s">
        <v>4408</v>
      </c>
      <c r="C1236" s="198">
        <v>42129</v>
      </c>
      <c r="D1236" s="199">
        <v>2</v>
      </c>
      <c r="E1236" s="200" t="s">
        <v>93</v>
      </c>
      <c r="F1236" s="197" t="s">
        <v>1654</v>
      </c>
      <c r="G1236" s="200" t="s">
        <v>202</v>
      </c>
      <c r="H1236" s="201">
        <v>42131</v>
      </c>
      <c r="I1236" s="200" t="s">
        <v>187</v>
      </c>
      <c r="J1236" s="200" t="s">
        <v>103</v>
      </c>
      <c r="K1236" s="200" t="s">
        <v>4409</v>
      </c>
      <c r="L1236" s="201">
        <v>42131</v>
      </c>
      <c r="M1236" s="197" t="s">
        <v>1914</v>
      </c>
      <c r="N1236" s="202" t="s">
        <v>185</v>
      </c>
      <c r="O1236" s="201">
        <v>42132</v>
      </c>
      <c r="P1236" s="203">
        <f t="shared" si="706"/>
        <v>3</v>
      </c>
      <c r="Q1236" s="200" t="s">
        <v>4410</v>
      </c>
      <c r="R1236" s="202" t="s">
        <v>17</v>
      </c>
      <c r="S1236" s="197" t="s">
        <v>101</v>
      </c>
      <c r="T1236" s="197" t="s">
        <v>101</v>
      </c>
      <c r="U1236" s="201">
        <v>42135</v>
      </c>
      <c r="V1236" s="202" t="s">
        <v>186</v>
      </c>
      <c r="W1236" s="204">
        <f t="shared" si="707"/>
        <v>0</v>
      </c>
      <c r="X1236" s="204" t="str">
        <f t="shared" si="708"/>
        <v>Correcto</v>
      </c>
    </row>
    <row r="1237" spans="1:24" ht="18" customHeight="1" x14ac:dyDescent="0.25">
      <c r="A1237" s="205">
        <v>1228</v>
      </c>
      <c r="B1237" s="197" t="s">
        <v>4411</v>
      </c>
      <c r="C1237" s="198">
        <v>42129</v>
      </c>
      <c r="D1237" s="199">
        <v>2</v>
      </c>
      <c r="E1237" s="200" t="s">
        <v>93</v>
      </c>
      <c r="F1237" s="197" t="s">
        <v>1654</v>
      </c>
      <c r="G1237" s="200" t="s">
        <v>202</v>
      </c>
      <c r="H1237" s="201">
        <v>42131</v>
      </c>
      <c r="I1237" s="200" t="s">
        <v>187</v>
      </c>
      <c r="J1237" s="200" t="s">
        <v>103</v>
      </c>
      <c r="K1237" s="200" t="s">
        <v>4412</v>
      </c>
      <c r="L1237" s="201">
        <v>42131</v>
      </c>
      <c r="M1237" s="197" t="s">
        <v>1914</v>
      </c>
      <c r="N1237" s="202" t="s">
        <v>185</v>
      </c>
      <c r="O1237" s="201">
        <v>42132</v>
      </c>
      <c r="P1237" s="203">
        <f t="shared" si="706"/>
        <v>3</v>
      </c>
      <c r="Q1237" s="200" t="s">
        <v>4413</v>
      </c>
      <c r="R1237" s="202" t="s">
        <v>17</v>
      </c>
      <c r="S1237" s="197" t="s">
        <v>101</v>
      </c>
      <c r="T1237" s="197" t="s">
        <v>101</v>
      </c>
      <c r="U1237" s="201">
        <v>42135</v>
      </c>
      <c r="V1237" s="202" t="s">
        <v>186</v>
      </c>
      <c r="W1237" s="204">
        <f t="shared" si="707"/>
        <v>0</v>
      </c>
      <c r="X1237" s="204" t="str">
        <f t="shared" si="708"/>
        <v>Correcto</v>
      </c>
    </row>
    <row r="1238" spans="1:24" ht="18" customHeight="1" x14ac:dyDescent="0.25">
      <c r="A1238" s="205">
        <v>1229</v>
      </c>
      <c r="B1238" s="197" t="s">
        <v>4414</v>
      </c>
      <c r="C1238" s="198">
        <v>42129</v>
      </c>
      <c r="D1238" s="199">
        <v>2</v>
      </c>
      <c r="E1238" s="200" t="s">
        <v>93</v>
      </c>
      <c r="F1238" s="197" t="s">
        <v>1654</v>
      </c>
      <c r="G1238" s="200" t="s">
        <v>202</v>
      </c>
      <c r="H1238" s="201">
        <v>42131</v>
      </c>
      <c r="I1238" s="200" t="s">
        <v>187</v>
      </c>
      <c r="J1238" s="200" t="s">
        <v>103</v>
      </c>
      <c r="K1238" s="200" t="s">
        <v>4415</v>
      </c>
      <c r="L1238" s="201">
        <v>42131</v>
      </c>
      <c r="M1238" s="197" t="s">
        <v>1914</v>
      </c>
      <c r="N1238" s="202" t="s">
        <v>185</v>
      </c>
      <c r="O1238" s="201">
        <v>42132</v>
      </c>
      <c r="P1238" s="203">
        <f t="shared" si="706"/>
        <v>3</v>
      </c>
      <c r="Q1238" s="200" t="s">
        <v>4416</v>
      </c>
      <c r="R1238" s="202" t="s">
        <v>17</v>
      </c>
      <c r="S1238" s="197" t="s">
        <v>101</v>
      </c>
      <c r="T1238" s="197" t="s">
        <v>101</v>
      </c>
      <c r="U1238" s="201">
        <v>42135</v>
      </c>
      <c r="V1238" s="202" t="s">
        <v>186</v>
      </c>
      <c r="W1238" s="204">
        <f t="shared" si="707"/>
        <v>0</v>
      </c>
      <c r="X1238" s="204" t="str">
        <f t="shared" si="708"/>
        <v>Correcto</v>
      </c>
    </row>
    <row r="1239" spans="1:24" ht="18" customHeight="1" x14ac:dyDescent="0.25">
      <c r="A1239" s="205">
        <v>1230</v>
      </c>
      <c r="B1239" s="197" t="s">
        <v>4417</v>
      </c>
      <c r="C1239" s="198">
        <v>42129</v>
      </c>
      <c r="D1239" s="199">
        <v>2</v>
      </c>
      <c r="E1239" s="200" t="s">
        <v>93</v>
      </c>
      <c r="F1239" s="197" t="s">
        <v>1654</v>
      </c>
      <c r="G1239" s="200" t="s">
        <v>202</v>
      </c>
      <c r="H1239" s="201">
        <v>42131</v>
      </c>
      <c r="I1239" s="200" t="s">
        <v>187</v>
      </c>
      <c r="J1239" s="200" t="s">
        <v>103</v>
      </c>
      <c r="K1239" s="200" t="s">
        <v>4418</v>
      </c>
      <c r="L1239" s="201">
        <v>42131</v>
      </c>
      <c r="M1239" s="197" t="s">
        <v>1914</v>
      </c>
      <c r="N1239" s="202" t="s">
        <v>185</v>
      </c>
      <c r="O1239" s="201">
        <v>42132</v>
      </c>
      <c r="P1239" s="203">
        <f t="shared" si="706"/>
        <v>3</v>
      </c>
      <c r="Q1239" s="200" t="s">
        <v>4419</v>
      </c>
      <c r="R1239" s="202" t="s">
        <v>17</v>
      </c>
      <c r="S1239" s="197" t="s">
        <v>101</v>
      </c>
      <c r="T1239" s="197" t="s">
        <v>101</v>
      </c>
      <c r="U1239" s="201">
        <v>42135</v>
      </c>
      <c r="V1239" s="202" t="s">
        <v>186</v>
      </c>
      <c r="W1239" s="204">
        <f t="shared" si="707"/>
        <v>0</v>
      </c>
      <c r="X1239" s="204" t="str">
        <f t="shared" si="708"/>
        <v>Correcto</v>
      </c>
    </row>
    <row r="1240" spans="1:24" ht="18" customHeight="1" x14ac:dyDescent="0.25">
      <c r="A1240" s="205">
        <v>1231</v>
      </c>
      <c r="B1240" s="197" t="s">
        <v>4420</v>
      </c>
      <c r="C1240" s="198">
        <v>42129</v>
      </c>
      <c r="D1240" s="199">
        <v>2</v>
      </c>
      <c r="E1240" s="200" t="s">
        <v>93</v>
      </c>
      <c r="F1240" s="197" t="s">
        <v>1654</v>
      </c>
      <c r="G1240" s="200" t="s">
        <v>202</v>
      </c>
      <c r="H1240" s="201">
        <v>42131</v>
      </c>
      <c r="I1240" s="200" t="s">
        <v>187</v>
      </c>
      <c r="J1240" s="200" t="s">
        <v>103</v>
      </c>
      <c r="K1240" s="200" t="s">
        <v>4421</v>
      </c>
      <c r="L1240" s="201">
        <v>42131</v>
      </c>
      <c r="M1240" s="197" t="s">
        <v>1914</v>
      </c>
      <c r="N1240" s="202" t="s">
        <v>185</v>
      </c>
      <c r="O1240" s="201">
        <v>42131</v>
      </c>
      <c r="P1240" s="203">
        <f t="shared" si="706"/>
        <v>2</v>
      </c>
      <c r="Q1240" s="200" t="s">
        <v>4421</v>
      </c>
      <c r="R1240" s="202" t="s">
        <v>17</v>
      </c>
      <c r="S1240" s="197" t="s">
        <v>104</v>
      </c>
      <c r="T1240" s="197">
        <v>703543678</v>
      </c>
      <c r="U1240" s="201">
        <v>42131</v>
      </c>
      <c r="V1240" s="202" t="s">
        <v>186</v>
      </c>
      <c r="W1240" s="204">
        <f t="shared" si="707"/>
        <v>0</v>
      </c>
      <c r="X1240" s="204" t="str">
        <f t="shared" si="708"/>
        <v>Correcto</v>
      </c>
    </row>
    <row r="1241" spans="1:24" ht="18" customHeight="1" x14ac:dyDescent="0.25">
      <c r="A1241" s="205">
        <v>1232</v>
      </c>
      <c r="B1241" s="197" t="s">
        <v>4422</v>
      </c>
      <c r="C1241" s="198">
        <v>42129</v>
      </c>
      <c r="D1241" s="199">
        <v>2</v>
      </c>
      <c r="E1241" s="200" t="s">
        <v>93</v>
      </c>
      <c r="F1241" s="197" t="s">
        <v>1654</v>
      </c>
      <c r="G1241" s="200" t="s">
        <v>202</v>
      </c>
      <c r="H1241" s="201">
        <v>42131</v>
      </c>
      <c r="I1241" s="200" t="s">
        <v>187</v>
      </c>
      <c r="J1241" s="200" t="s">
        <v>103</v>
      </c>
      <c r="K1241" s="200" t="s">
        <v>4423</v>
      </c>
      <c r="L1241" s="201">
        <v>42131</v>
      </c>
      <c r="M1241" s="197" t="s">
        <v>1914</v>
      </c>
      <c r="N1241" s="202" t="s">
        <v>185</v>
      </c>
      <c r="O1241" s="201">
        <v>42131</v>
      </c>
      <c r="P1241" s="203">
        <f t="shared" si="706"/>
        <v>2</v>
      </c>
      <c r="Q1241" s="200" t="s">
        <v>4423</v>
      </c>
      <c r="R1241" s="202" t="s">
        <v>17</v>
      </c>
      <c r="S1241" s="197" t="s">
        <v>104</v>
      </c>
      <c r="T1241" s="197">
        <v>1105220154</v>
      </c>
      <c r="U1241" s="201">
        <v>42131</v>
      </c>
      <c r="V1241" s="202" t="s">
        <v>186</v>
      </c>
      <c r="W1241" s="204">
        <f t="shared" si="707"/>
        <v>0</v>
      </c>
      <c r="X1241" s="204" t="str">
        <f t="shared" si="708"/>
        <v>Correcto</v>
      </c>
    </row>
    <row r="1242" spans="1:24" ht="18" customHeight="1" x14ac:dyDescent="0.25">
      <c r="A1242" s="205">
        <v>1233</v>
      </c>
      <c r="B1242" s="197" t="s">
        <v>4424</v>
      </c>
      <c r="C1242" s="198">
        <v>42130</v>
      </c>
      <c r="D1242" s="199">
        <v>2</v>
      </c>
      <c r="E1242" s="200" t="s">
        <v>93</v>
      </c>
      <c r="F1242" s="197" t="s">
        <v>1654</v>
      </c>
      <c r="G1242" s="200" t="s">
        <v>202</v>
      </c>
      <c r="H1242" s="201">
        <v>42132</v>
      </c>
      <c r="I1242" s="200" t="s">
        <v>187</v>
      </c>
      <c r="J1242" s="200" t="s">
        <v>103</v>
      </c>
      <c r="K1242" s="200" t="s">
        <v>4425</v>
      </c>
      <c r="L1242" s="201">
        <v>42132</v>
      </c>
      <c r="M1242" s="197" t="s">
        <v>1914</v>
      </c>
      <c r="N1242" s="202" t="s">
        <v>185</v>
      </c>
      <c r="O1242" s="201">
        <v>42132</v>
      </c>
      <c r="P1242" s="203">
        <f t="shared" si="706"/>
        <v>2</v>
      </c>
      <c r="Q1242" s="200" t="s">
        <v>4426</v>
      </c>
      <c r="R1242" s="202" t="s">
        <v>17</v>
      </c>
      <c r="S1242" s="197" t="s">
        <v>101</v>
      </c>
      <c r="T1242" s="197" t="s">
        <v>101</v>
      </c>
      <c r="U1242" s="201">
        <v>42135</v>
      </c>
      <c r="V1242" s="202" t="s">
        <v>186</v>
      </c>
      <c r="W1242" s="204">
        <f t="shared" si="707"/>
        <v>0</v>
      </c>
      <c r="X1242" s="204" t="str">
        <f t="shared" si="708"/>
        <v>Correcto</v>
      </c>
    </row>
    <row r="1243" spans="1:24" ht="18" customHeight="1" x14ac:dyDescent="0.25">
      <c r="A1243" s="205">
        <v>1234</v>
      </c>
      <c r="B1243" s="197" t="s">
        <v>4427</v>
      </c>
      <c r="C1243" s="198">
        <v>42130</v>
      </c>
      <c r="D1243" s="199">
        <v>37</v>
      </c>
      <c r="E1243" s="200" t="s">
        <v>93</v>
      </c>
      <c r="F1243" s="197" t="s">
        <v>1654</v>
      </c>
      <c r="G1243" s="200" t="s">
        <v>202</v>
      </c>
      <c r="H1243" s="201">
        <v>42144</v>
      </c>
      <c r="I1243" s="200" t="s">
        <v>187</v>
      </c>
      <c r="J1243" s="200" t="s">
        <v>103</v>
      </c>
      <c r="K1243" s="200" t="s">
        <v>4428</v>
      </c>
      <c r="L1243" s="201">
        <v>42144</v>
      </c>
      <c r="M1243" s="197" t="s">
        <v>1914</v>
      </c>
      <c r="N1243" s="202" t="s">
        <v>185</v>
      </c>
      <c r="O1243" s="201">
        <v>42144</v>
      </c>
      <c r="P1243" s="203">
        <f t="shared" si="706"/>
        <v>14</v>
      </c>
      <c r="Q1243" s="200" t="s">
        <v>4428</v>
      </c>
      <c r="R1243" s="202" t="s">
        <v>17</v>
      </c>
      <c r="S1243" s="197" t="s">
        <v>104</v>
      </c>
      <c r="T1243" s="197">
        <v>1103820328</v>
      </c>
      <c r="U1243" s="201">
        <v>42126</v>
      </c>
      <c r="V1243" s="202" t="s">
        <v>186</v>
      </c>
      <c r="W1243" s="204">
        <f t="shared" si="707"/>
        <v>0</v>
      </c>
      <c r="X1243" s="204" t="str">
        <f t="shared" si="708"/>
        <v>Correcto</v>
      </c>
    </row>
    <row r="1244" spans="1:24" ht="18" customHeight="1" x14ac:dyDescent="0.25">
      <c r="A1244" s="205">
        <v>1235</v>
      </c>
      <c r="B1244" s="197" t="s">
        <v>4429</v>
      </c>
      <c r="C1244" s="198">
        <v>42130</v>
      </c>
      <c r="D1244" s="199">
        <v>3</v>
      </c>
      <c r="E1244" s="200" t="s">
        <v>93</v>
      </c>
      <c r="F1244" s="197" t="s">
        <v>1654</v>
      </c>
      <c r="G1244" s="200" t="s">
        <v>202</v>
      </c>
      <c r="H1244" s="201">
        <v>42144</v>
      </c>
      <c r="I1244" s="200" t="s">
        <v>187</v>
      </c>
      <c r="J1244" s="200" t="s">
        <v>103</v>
      </c>
      <c r="K1244" s="200" t="s">
        <v>4430</v>
      </c>
      <c r="L1244" s="201">
        <v>42144</v>
      </c>
      <c r="M1244" s="197" t="s">
        <v>1914</v>
      </c>
      <c r="N1244" s="202" t="s">
        <v>185</v>
      </c>
      <c r="O1244" s="201">
        <v>42144</v>
      </c>
      <c r="P1244" s="203">
        <f t="shared" si="706"/>
        <v>14</v>
      </c>
      <c r="Q1244" s="200" t="s">
        <v>4430</v>
      </c>
      <c r="R1244" s="202" t="s">
        <v>17</v>
      </c>
      <c r="S1244" s="197" t="s">
        <v>104</v>
      </c>
      <c r="T1244" s="197">
        <v>1104503311</v>
      </c>
      <c r="U1244" s="201">
        <v>42145</v>
      </c>
      <c r="V1244" s="202" t="s">
        <v>186</v>
      </c>
      <c r="W1244" s="204">
        <f t="shared" si="707"/>
        <v>0</v>
      </c>
      <c r="X1244" s="204" t="str">
        <f t="shared" si="708"/>
        <v>Correcto</v>
      </c>
    </row>
    <row r="1245" spans="1:24" ht="18" customHeight="1" x14ac:dyDescent="0.25">
      <c r="A1245" s="205">
        <v>1236</v>
      </c>
      <c r="B1245" s="197" t="s">
        <v>4431</v>
      </c>
      <c r="C1245" s="198">
        <v>42130</v>
      </c>
      <c r="D1245" s="199">
        <v>43</v>
      </c>
      <c r="E1245" s="200" t="s">
        <v>93</v>
      </c>
      <c r="F1245" s="197" t="s">
        <v>1654</v>
      </c>
      <c r="G1245" s="200" t="s">
        <v>202</v>
      </c>
      <c r="H1245" s="201">
        <v>42149</v>
      </c>
      <c r="I1245" s="200" t="s">
        <v>187</v>
      </c>
      <c r="J1245" s="200" t="s">
        <v>103</v>
      </c>
      <c r="K1245" s="200" t="s">
        <v>4432</v>
      </c>
      <c r="L1245" s="201">
        <v>42149</v>
      </c>
      <c r="M1245" s="197" t="s">
        <v>1914</v>
      </c>
      <c r="N1245" s="202" t="s">
        <v>185</v>
      </c>
      <c r="O1245" s="201">
        <v>42149</v>
      </c>
      <c r="P1245" s="203">
        <f t="shared" si="706"/>
        <v>19</v>
      </c>
      <c r="Q1245" s="200" t="s">
        <v>4432</v>
      </c>
      <c r="R1245" s="202" t="s">
        <v>17</v>
      </c>
      <c r="S1245" s="197" t="s">
        <v>104</v>
      </c>
      <c r="T1245" s="197">
        <v>1104351232</v>
      </c>
      <c r="U1245" s="201">
        <v>42149</v>
      </c>
      <c r="V1245" s="202" t="s">
        <v>186</v>
      </c>
      <c r="W1245" s="204">
        <f t="shared" si="707"/>
        <v>0</v>
      </c>
      <c r="X1245" s="204" t="str">
        <f t="shared" si="708"/>
        <v>Correcto</v>
      </c>
    </row>
    <row r="1246" spans="1:24" ht="18" customHeight="1" x14ac:dyDescent="0.25">
      <c r="A1246" s="205">
        <v>1237</v>
      </c>
      <c r="B1246" s="197" t="s">
        <v>4433</v>
      </c>
      <c r="C1246" s="198">
        <v>42130</v>
      </c>
      <c r="D1246" s="199">
        <v>110</v>
      </c>
      <c r="E1246" s="200" t="s">
        <v>93</v>
      </c>
      <c r="F1246" s="197" t="s">
        <v>1654</v>
      </c>
      <c r="G1246" s="200" t="s">
        <v>202</v>
      </c>
      <c r="H1246" s="201">
        <v>42144</v>
      </c>
      <c r="I1246" s="200" t="s">
        <v>187</v>
      </c>
      <c r="J1246" s="200" t="s">
        <v>103</v>
      </c>
      <c r="K1246" s="200" t="s">
        <v>4434</v>
      </c>
      <c r="L1246" s="201">
        <v>42144</v>
      </c>
      <c r="M1246" s="197" t="s">
        <v>1914</v>
      </c>
      <c r="N1246" s="202" t="s">
        <v>185</v>
      </c>
      <c r="O1246" s="201">
        <v>42144</v>
      </c>
      <c r="P1246" s="203">
        <f t="shared" si="706"/>
        <v>14</v>
      </c>
      <c r="Q1246" s="200" t="s">
        <v>4434</v>
      </c>
      <c r="R1246" s="202" t="s">
        <v>17</v>
      </c>
      <c r="S1246" s="197" t="s">
        <v>104</v>
      </c>
      <c r="T1246" s="197" t="s">
        <v>104</v>
      </c>
      <c r="U1246" s="201">
        <v>42145</v>
      </c>
      <c r="V1246" s="202" t="s">
        <v>186</v>
      </c>
      <c r="W1246" s="204">
        <f t="shared" si="707"/>
        <v>0</v>
      </c>
      <c r="X1246" s="204" t="str">
        <f t="shared" si="708"/>
        <v>Correcto</v>
      </c>
    </row>
    <row r="1247" spans="1:24" ht="18" customHeight="1" x14ac:dyDescent="0.25">
      <c r="A1247" s="205">
        <v>1238</v>
      </c>
      <c r="B1247" s="197" t="s">
        <v>4435</v>
      </c>
      <c r="C1247" s="198">
        <v>42130</v>
      </c>
      <c r="D1247" s="199">
        <v>2</v>
      </c>
      <c r="E1247" s="200" t="s">
        <v>93</v>
      </c>
      <c r="F1247" s="197" t="s">
        <v>1654</v>
      </c>
      <c r="G1247" s="200" t="s">
        <v>202</v>
      </c>
      <c r="H1247" s="201">
        <v>42135</v>
      </c>
      <c r="I1247" s="200" t="s">
        <v>187</v>
      </c>
      <c r="J1247" s="200" t="s">
        <v>103</v>
      </c>
      <c r="K1247" s="200" t="s">
        <v>4436</v>
      </c>
      <c r="L1247" s="201">
        <v>42135</v>
      </c>
      <c r="M1247" s="197" t="s">
        <v>1914</v>
      </c>
      <c r="N1247" s="202" t="s">
        <v>185</v>
      </c>
      <c r="O1247" s="201">
        <v>42136</v>
      </c>
      <c r="P1247" s="203">
        <f t="shared" si="706"/>
        <v>6</v>
      </c>
      <c r="Q1247" s="200" t="s">
        <v>4437</v>
      </c>
      <c r="R1247" s="202" t="s">
        <v>17</v>
      </c>
      <c r="S1247" s="197" t="s">
        <v>101</v>
      </c>
      <c r="T1247" s="197" t="s">
        <v>101</v>
      </c>
      <c r="U1247" s="201">
        <v>42138</v>
      </c>
      <c r="V1247" s="202" t="s">
        <v>186</v>
      </c>
      <c r="W1247" s="204">
        <f t="shared" si="707"/>
        <v>0</v>
      </c>
      <c r="X1247" s="204" t="str">
        <f t="shared" si="708"/>
        <v>Correcto</v>
      </c>
    </row>
    <row r="1248" spans="1:24" ht="18" customHeight="1" x14ac:dyDescent="0.25">
      <c r="A1248" s="205">
        <v>1239</v>
      </c>
      <c r="B1248" s="197" t="s">
        <v>4438</v>
      </c>
      <c r="C1248" s="198">
        <v>42130</v>
      </c>
      <c r="D1248" s="199">
        <v>2</v>
      </c>
      <c r="E1248" s="200" t="s">
        <v>93</v>
      </c>
      <c r="F1248" s="197" t="s">
        <v>1654</v>
      </c>
      <c r="G1248" s="200" t="s">
        <v>202</v>
      </c>
      <c r="H1248" s="201">
        <v>42132</v>
      </c>
      <c r="I1248" s="200" t="s">
        <v>187</v>
      </c>
      <c r="J1248" s="200" t="s">
        <v>103</v>
      </c>
      <c r="K1248" s="200" t="s">
        <v>4439</v>
      </c>
      <c r="L1248" s="201">
        <v>42132</v>
      </c>
      <c r="M1248" s="197" t="s">
        <v>1914</v>
      </c>
      <c r="N1248" s="202" t="s">
        <v>185</v>
      </c>
      <c r="O1248" s="201">
        <v>42132</v>
      </c>
      <c r="P1248" s="203">
        <f t="shared" si="706"/>
        <v>2</v>
      </c>
      <c r="Q1248" s="200" t="s">
        <v>4439</v>
      </c>
      <c r="R1248" s="202" t="s">
        <v>17</v>
      </c>
      <c r="S1248" s="197" t="s">
        <v>104</v>
      </c>
      <c r="T1248" s="197">
        <v>1102042510</v>
      </c>
      <c r="U1248" s="201">
        <v>42138</v>
      </c>
      <c r="V1248" s="202" t="s">
        <v>186</v>
      </c>
      <c r="W1248" s="204">
        <f t="shared" si="707"/>
        <v>0</v>
      </c>
      <c r="X1248" s="204" t="str">
        <f t="shared" si="708"/>
        <v>Correcto</v>
      </c>
    </row>
    <row r="1249" spans="1:24" ht="18" customHeight="1" x14ac:dyDescent="0.25">
      <c r="A1249" s="205">
        <v>1240</v>
      </c>
      <c r="B1249" s="197" t="s">
        <v>4440</v>
      </c>
      <c r="C1249" s="198">
        <v>42131</v>
      </c>
      <c r="D1249" s="199">
        <v>2</v>
      </c>
      <c r="E1249" s="200" t="s">
        <v>93</v>
      </c>
      <c r="F1249" s="197" t="s">
        <v>1654</v>
      </c>
      <c r="G1249" s="200" t="s">
        <v>202</v>
      </c>
      <c r="H1249" s="201">
        <v>42132</v>
      </c>
      <c r="I1249" s="200" t="s">
        <v>187</v>
      </c>
      <c r="J1249" s="200" t="s">
        <v>103</v>
      </c>
      <c r="K1249" s="200" t="s">
        <v>4441</v>
      </c>
      <c r="L1249" s="201">
        <v>42132</v>
      </c>
      <c r="M1249" s="197" t="s">
        <v>1914</v>
      </c>
      <c r="N1249" s="202" t="s">
        <v>185</v>
      </c>
      <c r="O1249" s="201">
        <v>42132</v>
      </c>
      <c r="P1249" s="203">
        <f t="shared" si="706"/>
        <v>1</v>
      </c>
      <c r="Q1249" s="200" t="s">
        <v>4441</v>
      </c>
      <c r="R1249" s="202" t="s">
        <v>17</v>
      </c>
      <c r="S1249" s="197" t="s">
        <v>104</v>
      </c>
      <c r="T1249" s="197">
        <v>1104741515</v>
      </c>
      <c r="U1249" s="201">
        <v>42132</v>
      </c>
      <c r="V1249" s="202" t="s">
        <v>186</v>
      </c>
      <c r="W1249" s="204">
        <f t="shared" si="707"/>
        <v>0</v>
      </c>
      <c r="X1249" s="204" t="str">
        <f t="shared" si="708"/>
        <v>Correcto</v>
      </c>
    </row>
    <row r="1250" spans="1:24" ht="18" customHeight="1" x14ac:dyDescent="0.25">
      <c r="A1250" s="205">
        <v>1241</v>
      </c>
      <c r="B1250" s="197" t="s">
        <v>4442</v>
      </c>
      <c r="C1250" s="198">
        <v>42131</v>
      </c>
      <c r="D1250" s="199">
        <v>2</v>
      </c>
      <c r="E1250" s="200" t="s">
        <v>93</v>
      </c>
      <c r="F1250" s="197" t="s">
        <v>1654</v>
      </c>
      <c r="G1250" s="200" t="s">
        <v>202</v>
      </c>
      <c r="H1250" s="201">
        <v>42132</v>
      </c>
      <c r="I1250" s="200" t="s">
        <v>187</v>
      </c>
      <c r="J1250" s="200" t="s">
        <v>103</v>
      </c>
      <c r="K1250" s="200" t="s">
        <v>4443</v>
      </c>
      <c r="L1250" s="201">
        <v>42132</v>
      </c>
      <c r="M1250" s="197" t="s">
        <v>1914</v>
      </c>
      <c r="N1250" s="202" t="s">
        <v>185</v>
      </c>
      <c r="O1250" s="201">
        <v>42132</v>
      </c>
      <c r="P1250" s="203">
        <f t="shared" si="706"/>
        <v>1</v>
      </c>
      <c r="Q1250" s="200" t="s">
        <v>4443</v>
      </c>
      <c r="R1250" s="202" t="s">
        <v>17</v>
      </c>
      <c r="S1250" s="197" t="s">
        <v>104</v>
      </c>
      <c r="T1250" s="197">
        <v>1104720766</v>
      </c>
      <c r="U1250" s="201">
        <v>42132</v>
      </c>
      <c r="V1250" s="202" t="s">
        <v>186</v>
      </c>
      <c r="W1250" s="204">
        <f t="shared" si="707"/>
        <v>0</v>
      </c>
      <c r="X1250" s="204" t="str">
        <f t="shared" si="708"/>
        <v>Correcto</v>
      </c>
    </row>
    <row r="1251" spans="1:24" ht="18" customHeight="1" x14ac:dyDescent="0.25">
      <c r="A1251" s="205">
        <v>1242</v>
      </c>
      <c r="B1251" s="197" t="s">
        <v>4444</v>
      </c>
      <c r="C1251" s="198">
        <v>42131</v>
      </c>
      <c r="D1251" s="199">
        <v>3</v>
      </c>
      <c r="E1251" s="200" t="s">
        <v>93</v>
      </c>
      <c r="F1251" s="197" t="s">
        <v>1654</v>
      </c>
      <c r="G1251" s="200" t="s">
        <v>202</v>
      </c>
      <c r="H1251" s="201">
        <v>42137</v>
      </c>
      <c r="I1251" s="200" t="s">
        <v>187</v>
      </c>
      <c r="J1251" s="200" t="s">
        <v>103</v>
      </c>
      <c r="K1251" s="200" t="s">
        <v>4445</v>
      </c>
      <c r="L1251" s="201">
        <v>42137</v>
      </c>
      <c r="M1251" s="197" t="s">
        <v>1914</v>
      </c>
      <c r="N1251" s="202" t="s">
        <v>185</v>
      </c>
      <c r="O1251" s="201">
        <v>42138</v>
      </c>
      <c r="P1251" s="203">
        <f t="shared" si="706"/>
        <v>7</v>
      </c>
      <c r="Q1251" s="200" t="s">
        <v>4446</v>
      </c>
      <c r="R1251" s="202" t="s">
        <v>17</v>
      </c>
      <c r="S1251" s="197" t="s">
        <v>101</v>
      </c>
      <c r="T1251" s="197" t="s">
        <v>101</v>
      </c>
      <c r="U1251" s="201">
        <v>42142</v>
      </c>
      <c r="V1251" s="202" t="s">
        <v>186</v>
      </c>
      <c r="W1251" s="204">
        <f t="shared" si="707"/>
        <v>0</v>
      </c>
      <c r="X1251" s="204" t="str">
        <f t="shared" si="708"/>
        <v>Correcto</v>
      </c>
    </row>
    <row r="1252" spans="1:24" ht="18" customHeight="1" x14ac:dyDescent="0.25">
      <c r="A1252" s="205">
        <v>1243</v>
      </c>
      <c r="B1252" s="197" t="s">
        <v>4447</v>
      </c>
      <c r="C1252" s="198">
        <v>42131</v>
      </c>
      <c r="D1252" s="199">
        <v>2</v>
      </c>
      <c r="E1252" s="200" t="s">
        <v>93</v>
      </c>
      <c r="F1252" s="197" t="s">
        <v>1654</v>
      </c>
      <c r="G1252" s="200" t="s">
        <v>202</v>
      </c>
      <c r="H1252" s="201">
        <v>42137</v>
      </c>
      <c r="I1252" s="200" t="s">
        <v>187</v>
      </c>
      <c r="J1252" s="200" t="s">
        <v>103</v>
      </c>
      <c r="K1252" s="200" t="s">
        <v>4448</v>
      </c>
      <c r="L1252" s="201">
        <v>42137</v>
      </c>
      <c r="M1252" s="197" t="s">
        <v>1914</v>
      </c>
      <c r="N1252" s="202" t="s">
        <v>185</v>
      </c>
      <c r="O1252" s="201">
        <v>42138</v>
      </c>
      <c r="P1252" s="203">
        <f t="shared" si="706"/>
        <v>7</v>
      </c>
      <c r="Q1252" s="200" t="s">
        <v>4449</v>
      </c>
      <c r="R1252" s="202" t="s">
        <v>1027</v>
      </c>
      <c r="S1252" s="197" t="s">
        <v>101</v>
      </c>
      <c r="T1252" s="197" t="s">
        <v>4450</v>
      </c>
      <c r="U1252" s="201">
        <v>42139</v>
      </c>
      <c r="V1252" s="202" t="s">
        <v>186</v>
      </c>
      <c r="W1252" s="204">
        <f t="shared" si="707"/>
        <v>0</v>
      </c>
      <c r="X1252" s="204" t="str">
        <f t="shared" si="708"/>
        <v>Correcto</v>
      </c>
    </row>
    <row r="1253" spans="1:24" ht="18" customHeight="1" x14ac:dyDescent="0.25">
      <c r="A1253" s="205">
        <v>1244</v>
      </c>
      <c r="B1253" s="197" t="s">
        <v>4451</v>
      </c>
      <c r="C1253" s="198">
        <v>42131</v>
      </c>
      <c r="D1253" s="199">
        <v>16</v>
      </c>
      <c r="E1253" s="200" t="s">
        <v>93</v>
      </c>
      <c r="F1253" s="197" t="s">
        <v>1654</v>
      </c>
      <c r="G1253" s="200" t="s">
        <v>202</v>
      </c>
      <c r="H1253" s="201">
        <v>42146</v>
      </c>
      <c r="I1253" s="200" t="s">
        <v>187</v>
      </c>
      <c r="J1253" s="200" t="s">
        <v>103</v>
      </c>
      <c r="K1253" s="200" t="s">
        <v>4452</v>
      </c>
      <c r="L1253" s="201">
        <v>42146</v>
      </c>
      <c r="M1253" s="197" t="s">
        <v>1914</v>
      </c>
      <c r="N1253" s="202" t="s">
        <v>185</v>
      </c>
      <c r="O1253" s="201">
        <v>42150</v>
      </c>
      <c r="P1253" s="203">
        <f t="shared" si="706"/>
        <v>19</v>
      </c>
      <c r="Q1253" s="200" t="s">
        <v>4453</v>
      </c>
      <c r="R1253" s="202" t="s">
        <v>17</v>
      </c>
      <c r="S1253" s="197" t="s">
        <v>101</v>
      </c>
      <c r="T1253" s="197" t="s">
        <v>101</v>
      </c>
      <c r="U1253" s="201">
        <v>42151</v>
      </c>
      <c r="V1253" s="202" t="s">
        <v>186</v>
      </c>
      <c r="W1253" s="204">
        <f t="shared" si="707"/>
        <v>0</v>
      </c>
      <c r="X1253" s="204" t="str">
        <f t="shared" si="708"/>
        <v>Correcto</v>
      </c>
    </row>
    <row r="1254" spans="1:24" ht="18" customHeight="1" x14ac:dyDescent="0.25">
      <c r="A1254" s="205">
        <v>1245</v>
      </c>
      <c r="B1254" s="197" t="s">
        <v>4454</v>
      </c>
      <c r="C1254" s="198">
        <v>42131</v>
      </c>
      <c r="D1254" s="199">
        <v>2</v>
      </c>
      <c r="E1254" s="200" t="s">
        <v>93</v>
      </c>
      <c r="F1254" s="197" t="s">
        <v>1654</v>
      </c>
      <c r="G1254" s="200" t="s">
        <v>202</v>
      </c>
      <c r="H1254" s="201">
        <v>42132</v>
      </c>
      <c r="I1254" s="200" t="s">
        <v>187</v>
      </c>
      <c r="J1254" s="200" t="s">
        <v>103</v>
      </c>
      <c r="K1254" s="200" t="s">
        <v>4455</v>
      </c>
      <c r="L1254" s="201">
        <v>42132</v>
      </c>
      <c r="M1254" s="197" t="s">
        <v>1914</v>
      </c>
      <c r="N1254" s="202" t="s">
        <v>185</v>
      </c>
      <c r="O1254" s="201">
        <v>42132</v>
      </c>
      <c r="P1254" s="203">
        <f t="shared" si="706"/>
        <v>1</v>
      </c>
      <c r="Q1254" s="200" t="s">
        <v>4456</v>
      </c>
      <c r="R1254" s="202" t="s">
        <v>17</v>
      </c>
      <c r="S1254" s="197" t="s">
        <v>101</v>
      </c>
      <c r="T1254" s="197" t="s">
        <v>101</v>
      </c>
      <c r="U1254" s="201">
        <v>42135</v>
      </c>
      <c r="V1254" s="202" t="s">
        <v>186</v>
      </c>
      <c r="W1254" s="204">
        <f t="shared" si="707"/>
        <v>0</v>
      </c>
      <c r="X1254" s="204" t="str">
        <f t="shared" si="708"/>
        <v>Correcto</v>
      </c>
    </row>
    <row r="1255" spans="1:24" ht="18" customHeight="1" x14ac:dyDescent="0.25">
      <c r="A1255" s="205">
        <v>1246</v>
      </c>
      <c r="B1255" s="197" t="s">
        <v>4457</v>
      </c>
      <c r="C1255" s="198">
        <v>42131</v>
      </c>
      <c r="D1255" s="199">
        <v>2</v>
      </c>
      <c r="E1255" s="200" t="s">
        <v>93</v>
      </c>
      <c r="F1255" s="197" t="s">
        <v>1654</v>
      </c>
      <c r="G1255" s="200" t="s">
        <v>202</v>
      </c>
      <c r="H1255" s="201">
        <v>42132</v>
      </c>
      <c r="I1255" s="200" t="s">
        <v>187</v>
      </c>
      <c r="J1255" s="200" t="s">
        <v>103</v>
      </c>
      <c r="K1255" s="200" t="s">
        <v>4458</v>
      </c>
      <c r="L1255" s="201">
        <v>42132</v>
      </c>
      <c r="M1255" s="197" t="s">
        <v>1914</v>
      </c>
      <c r="N1255" s="202" t="s">
        <v>185</v>
      </c>
      <c r="O1255" s="201">
        <v>42132</v>
      </c>
      <c r="P1255" s="203">
        <f t="shared" si="706"/>
        <v>1</v>
      </c>
      <c r="Q1255" s="200" t="s">
        <v>4459</v>
      </c>
      <c r="R1255" s="202" t="s">
        <v>17</v>
      </c>
      <c r="S1255" s="197" t="s">
        <v>101</v>
      </c>
      <c r="T1255" s="197" t="s">
        <v>101</v>
      </c>
      <c r="U1255" s="201">
        <v>42135</v>
      </c>
      <c r="V1255" s="202" t="s">
        <v>186</v>
      </c>
      <c r="W1255" s="204">
        <f t="shared" si="707"/>
        <v>0</v>
      </c>
      <c r="X1255" s="204" t="str">
        <f t="shared" si="708"/>
        <v>Correcto</v>
      </c>
    </row>
    <row r="1256" spans="1:24" ht="18" customHeight="1" x14ac:dyDescent="0.25">
      <c r="A1256" s="205">
        <v>1247</v>
      </c>
      <c r="B1256" s="197" t="s">
        <v>4460</v>
      </c>
      <c r="C1256" s="198">
        <v>42131</v>
      </c>
      <c r="D1256" s="199">
        <v>2</v>
      </c>
      <c r="E1256" s="200" t="s">
        <v>93</v>
      </c>
      <c r="F1256" s="197" t="s">
        <v>1654</v>
      </c>
      <c r="G1256" s="200" t="s">
        <v>202</v>
      </c>
      <c r="H1256" s="201">
        <v>42132</v>
      </c>
      <c r="I1256" s="200" t="s">
        <v>187</v>
      </c>
      <c r="J1256" s="200" t="s">
        <v>103</v>
      </c>
      <c r="K1256" s="200" t="s">
        <v>4461</v>
      </c>
      <c r="L1256" s="201">
        <v>42132</v>
      </c>
      <c r="M1256" s="197" t="s">
        <v>1914</v>
      </c>
      <c r="N1256" s="202" t="s">
        <v>185</v>
      </c>
      <c r="O1256" s="201">
        <v>42132</v>
      </c>
      <c r="P1256" s="203">
        <f t="shared" si="706"/>
        <v>1</v>
      </c>
      <c r="Q1256" s="200" t="s">
        <v>4462</v>
      </c>
      <c r="R1256" s="202" t="s">
        <v>17</v>
      </c>
      <c r="S1256" s="197" t="s">
        <v>101</v>
      </c>
      <c r="T1256" s="197" t="s">
        <v>101</v>
      </c>
      <c r="U1256" s="201">
        <v>42135</v>
      </c>
      <c r="V1256" s="202" t="s">
        <v>186</v>
      </c>
      <c r="W1256" s="204">
        <f t="shared" si="707"/>
        <v>0</v>
      </c>
      <c r="X1256" s="204" t="str">
        <f t="shared" si="708"/>
        <v>Correcto</v>
      </c>
    </row>
    <row r="1257" spans="1:24" ht="18" customHeight="1" x14ac:dyDescent="0.25">
      <c r="A1257" s="205">
        <v>1248</v>
      </c>
      <c r="B1257" s="197" t="s">
        <v>4463</v>
      </c>
      <c r="C1257" s="198">
        <v>42131</v>
      </c>
      <c r="D1257" s="199">
        <v>2</v>
      </c>
      <c r="E1257" s="200" t="s">
        <v>93</v>
      </c>
      <c r="F1257" s="197" t="s">
        <v>1654</v>
      </c>
      <c r="G1257" s="200" t="s">
        <v>202</v>
      </c>
      <c r="H1257" s="201">
        <v>42132</v>
      </c>
      <c r="I1257" s="200" t="s">
        <v>187</v>
      </c>
      <c r="J1257" s="200" t="s">
        <v>103</v>
      </c>
      <c r="K1257" s="200" t="s">
        <v>4464</v>
      </c>
      <c r="L1257" s="201">
        <v>42132</v>
      </c>
      <c r="M1257" s="197" t="s">
        <v>1914</v>
      </c>
      <c r="N1257" s="202" t="s">
        <v>185</v>
      </c>
      <c r="O1257" s="201">
        <v>42132</v>
      </c>
      <c r="P1257" s="203">
        <f t="shared" si="706"/>
        <v>1</v>
      </c>
      <c r="Q1257" s="200" t="s">
        <v>4465</v>
      </c>
      <c r="R1257" s="202" t="s">
        <v>17</v>
      </c>
      <c r="S1257" s="197" t="s">
        <v>101</v>
      </c>
      <c r="T1257" s="197" t="s">
        <v>101</v>
      </c>
      <c r="U1257" s="201">
        <v>42135</v>
      </c>
      <c r="V1257" s="202" t="s">
        <v>186</v>
      </c>
      <c r="W1257" s="204">
        <f t="shared" si="707"/>
        <v>0</v>
      </c>
      <c r="X1257" s="204" t="str">
        <f t="shared" si="708"/>
        <v>Correcto</v>
      </c>
    </row>
    <row r="1258" spans="1:24" ht="18" customHeight="1" x14ac:dyDescent="0.25">
      <c r="A1258" s="205">
        <v>1249</v>
      </c>
      <c r="B1258" s="197" t="s">
        <v>4466</v>
      </c>
      <c r="C1258" s="198">
        <v>42131</v>
      </c>
      <c r="D1258" s="199">
        <v>2</v>
      </c>
      <c r="E1258" s="200" t="s">
        <v>93</v>
      </c>
      <c r="F1258" s="197" t="s">
        <v>1654</v>
      </c>
      <c r="G1258" s="200" t="s">
        <v>202</v>
      </c>
      <c r="H1258" s="201">
        <v>42132</v>
      </c>
      <c r="I1258" s="200" t="s">
        <v>187</v>
      </c>
      <c r="J1258" s="200" t="s">
        <v>103</v>
      </c>
      <c r="K1258" s="200" t="s">
        <v>4467</v>
      </c>
      <c r="L1258" s="201">
        <v>42132</v>
      </c>
      <c r="M1258" s="197" t="s">
        <v>1914</v>
      </c>
      <c r="N1258" s="202" t="s">
        <v>185</v>
      </c>
      <c r="O1258" s="201">
        <v>42132</v>
      </c>
      <c r="P1258" s="203">
        <f t="shared" si="706"/>
        <v>1</v>
      </c>
      <c r="Q1258" s="200" t="s">
        <v>4468</v>
      </c>
      <c r="R1258" s="202" t="s">
        <v>17</v>
      </c>
      <c r="S1258" s="197" t="s">
        <v>101</v>
      </c>
      <c r="T1258" s="197" t="s">
        <v>101</v>
      </c>
      <c r="U1258" s="201">
        <v>42135</v>
      </c>
      <c r="V1258" s="202" t="s">
        <v>186</v>
      </c>
      <c r="W1258" s="204">
        <f t="shared" si="707"/>
        <v>0</v>
      </c>
      <c r="X1258" s="204" t="str">
        <f t="shared" si="708"/>
        <v>Correcto</v>
      </c>
    </row>
    <row r="1259" spans="1:24" ht="18" customHeight="1" x14ac:dyDescent="0.25">
      <c r="A1259" s="205">
        <v>1250</v>
      </c>
      <c r="B1259" s="197" t="s">
        <v>4469</v>
      </c>
      <c r="C1259" s="198">
        <v>42131</v>
      </c>
      <c r="D1259" s="199">
        <v>2</v>
      </c>
      <c r="E1259" s="200" t="s">
        <v>93</v>
      </c>
      <c r="F1259" s="197" t="s">
        <v>1654</v>
      </c>
      <c r="G1259" s="200" t="s">
        <v>202</v>
      </c>
      <c r="H1259" s="201">
        <v>42132</v>
      </c>
      <c r="I1259" s="200" t="s">
        <v>187</v>
      </c>
      <c r="J1259" s="200" t="s">
        <v>103</v>
      </c>
      <c r="K1259" s="200" t="s">
        <v>4470</v>
      </c>
      <c r="L1259" s="201">
        <v>42132</v>
      </c>
      <c r="M1259" s="197" t="s">
        <v>1914</v>
      </c>
      <c r="N1259" s="202" t="s">
        <v>185</v>
      </c>
      <c r="O1259" s="201">
        <v>42132</v>
      </c>
      <c r="P1259" s="203">
        <f t="shared" si="706"/>
        <v>1</v>
      </c>
      <c r="Q1259" s="200" t="s">
        <v>4471</v>
      </c>
      <c r="R1259" s="202" t="s">
        <v>17</v>
      </c>
      <c r="S1259" s="197" t="s">
        <v>101</v>
      </c>
      <c r="T1259" s="197" t="s">
        <v>101</v>
      </c>
      <c r="U1259" s="201">
        <v>42135</v>
      </c>
      <c r="V1259" s="202" t="s">
        <v>186</v>
      </c>
      <c r="W1259" s="204">
        <f t="shared" si="707"/>
        <v>0</v>
      </c>
      <c r="X1259" s="204" t="str">
        <f t="shared" si="708"/>
        <v>Correcto</v>
      </c>
    </row>
    <row r="1260" spans="1:24" ht="18" customHeight="1" x14ac:dyDescent="0.25">
      <c r="A1260" s="205">
        <v>1251</v>
      </c>
      <c r="B1260" s="197" t="s">
        <v>4472</v>
      </c>
      <c r="C1260" s="198">
        <v>42131</v>
      </c>
      <c r="D1260" s="199">
        <v>2</v>
      </c>
      <c r="E1260" s="200" t="s">
        <v>93</v>
      </c>
      <c r="F1260" s="197" t="s">
        <v>1654</v>
      </c>
      <c r="G1260" s="200" t="s">
        <v>202</v>
      </c>
      <c r="H1260" s="201">
        <v>42132</v>
      </c>
      <c r="I1260" s="200" t="s">
        <v>187</v>
      </c>
      <c r="J1260" s="200" t="s">
        <v>103</v>
      </c>
      <c r="K1260" s="200" t="s">
        <v>4473</v>
      </c>
      <c r="L1260" s="201">
        <v>42132</v>
      </c>
      <c r="M1260" s="197" t="s">
        <v>1914</v>
      </c>
      <c r="N1260" s="202" t="s">
        <v>185</v>
      </c>
      <c r="O1260" s="201">
        <v>42132</v>
      </c>
      <c r="P1260" s="203">
        <f t="shared" si="706"/>
        <v>1</v>
      </c>
      <c r="Q1260" s="200" t="s">
        <v>4474</v>
      </c>
      <c r="R1260" s="202" t="s">
        <v>17</v>
      </c>
      <c r="S1260" s="197" t="s">
        <v>101</v>
      </c>
      <c r="T1260" s="197" t="s">
        <v>101</v>
      </c>
      <c r="U1260" s="201">
        <v>42135</v>
      </c>
      <c r="V1260" s="202" t="s">
        <v>186</v>
      </c>
      <c r="W1260" s="204">
        <f t="shared" si="707"/>
        <v>0</v>
      </c>
      <c r="X1260" s="204" t="str">
        <f t="shared" si="708"/>
        <v>Correcto</v>
      </c>
    </row>
    <row r="1261" spans="1:24" ht="18" customHeight="1" x14ac:dyDescent="0.25">
      <c r="A1261" s="205">
        <v>1252</v>
      </c>
      <c r="B1261" s="197" t="s">
        <v>4475</v>
      </c>
      <c r="C1261" s="198">
        <v>42131</v>
      </c>
      <c r="D1261" s="199">
        <v>2</v>
      </c>
      <c r="E1261" s="200" t="s">
        <v>93</v>
      </c>
      <c r="F1261" s="197" t="s">
        <v>1654</v>
      </c>
      <c r="G1261" s="200" t="s">
        <v>202</v>
      </c>
      <c r="H1261" s="201">
        <v>42132</v>
      </c>
      <c r="I1261" s="200" t="s">
        <v>187</v>
      </c>
      <c r="J1261" s="200" t="s">
        <v>103</v>
      </c>
      <c r="K1261" s="200" t="s">
        <v>4476</v>
      </c>
      <c r="L1261" s="201">
        <v>42132</v>
      </c>
      <c r="M1261" s="197" t="s">
        <v>1914</v>
      </c>
      <c r="N1261" s="202" t="s">
        <v>185</v>
      </c>
      <c r="O1261" s="201">
        <v>42132</v>
      </c>
      <c r="P1261" s="203">
        <f t="shared" si="706"/>
        <v>1</v>
      </c>
      <c r="Q1261" s="200" t="s">
        <v>4477</v>
      </c>
      <c r="R1261" s="202" t="s">
        <v>17</v>
      </c>
      <c r="S1261" s="197" t="s">
        <v>101</v>
      </c>
      <c r="T1261" s="197" t="s">
        <v>101</v>
      </c>
      <c r="U1261" s="201">
        <v>42135</v>
      </c>
      <c r="V1261" s="202" t="s">
        <v>186</v>
      </c>
      <c r="W1261" s="204">
        <f t="shared" si="707"/>
        <v>0</v>
      </c>
      <c r="X1261" s="204" t="str">
        <f t="shared" si="708"/>
        <v>Correcto</v>
      </c>
    </row>
    <row r="1262" spans="1:24" ht="18" customHeight="1" x14ac:dyDescent="0.25">
      <c r="A1262" s="205">
        <v>1253</v>
      </c>
      <c r="B1262" s="197" t="s">
        <v>4478</v>
      </c>
      <c r="C1262" s="198">
        <v>42131</v>
      </c>
      <c r="D1262" s="199">
        <v>2</v>
      </c>
      <c r="E1262" s="200" t="s">
        <v>93</v>
      </c>
      <c r="F1262" s="197" t="s">
        <v>1654</v>
      </c>
      <c r="G1262" s="200" t="s">
        <v>202</v>
      </c>
      <c r="H1262" s="201">
        <v>42132</v>
      </c>
      <c r="I1262" s="200" t="s">
        <v>187</v>
      </c>
      <c r="J1262" s="200" t="s">
        <v>103</v>
      </c>
      <c r="K1262" s="200" t="s">
        <v>4479</v>
      </c>
      <c r="L1262" s="201">
        <v>42132</v>
      </c>
      <c r="M1262" s="197" t="s">
        <v>1914</v>
      </c>
      <c r="N1262" s="202" t="s">
        <v>185</v>
      </c>
      <c r="O1262" s="201">
        <v>42132</v>
      </c>
      <c r="P1262" s="203">
        <f t="shared" si="706"/>
        <v>1</v>
      </c>
      <c r="Q1262" s="200" t="s">
        <v>4480</v>
      </c>
      <c r="R1262" s="202" t="s">
        <v>17</v>
      </c>
      <c r="S1262" s="197" t="s">
        <v>101</v>
      </c>
      <c r="T1262" s="197" t="s">
        <v>101</v>
      </c>
      <c r="U1262" s="201">
        <v>42135</v>
      </c>
      <c r="V1262" s="202" t="s">
        <v>186</v>
      </c>
      <c r="W1262" s="204">
        <f t="shared" si="707"/>
        <v>0</v>
      </c>
      <c r="X1262" s="204" t="str">
        <f t="shared" si="708"/>
        <v>Correcto</v>
      </c>
    </row>
    <row r="1263" spans="1:24" ht="18" customHeight="1" x14ac:dyDescent="0.25">
      <c r="A1263" s="205">
        <v>1254</v>
      </c>
      <c r="B1263" s="197" t="s">
        <v>4481</v>
      </c>
      <c r="C1263" s="198">
        <v>42131</v>
      </c>
      <c r="D1263" s="199">
        <v>2</v>
      </c>
      <c r="E1263" s="200" t="s">
        <v>93</v>
      </c>
      <c r="F1263" s="197" t="s">
        <v>1654</v>
      </c>
      <c r="G1263" s="200" t="s">
        <v>202</v>
      </c>
      <c r="H1263" s="201">
        <v>42132</v>
      </c>
      <c r="I1263" s="200" t="s">
        <v>187</v>
      </c>
      <c r="J1263" s="200" t="s">
        <v>103</v>
      </c>
      <c r="K1263" s="200" t="s">
        <v>4482</v>
      </c>
      <c r="L1263" s="201">
        <v>42132</v>
      </c>
      <c r="M1263" s="197" t="s">
        <v>1914</v>
      </c>
      <c r="N1263" s="202" t="s">
        <v>185</v>
      </c>
      <c r="O1263" s="201">
        <v>42132</v>
      </c>
      <c r="P1263" s="203">
        <f t="shared" si="706"/>
        <v>1</v>
      </c>
      <c r="Q1263" s="200" t="s">
        <v>4483</v>
      </c>
      <c r="R1263" s="202" t="s">
        <v>17</v>
      </c>
      <c r="S1263" s="197" t="s">
        <v>101</v>
      </c>
      <c r="T1263" s="197" t="s">
        <v>101</v>
      </c>
      <c r="U1263" s="201">
        <v>42135</v>
      </c>
      <c r="V1263" s="202" t="s">
        <v>186</v>
      </c>
      <c r="W1263" s="204">
        <f t="shared" si="707"/>
        <v>0</v>
      </c>
      <c r="X1263" s="204" t="str">
        <f t="shared" si="708"/>
        <v>Correcto</v>
      </c>
    </row>
    <row r="1264" spans="1:24" ht="18" customHeight="1" x14ac:dyDescent="0.25">
      <c r="A1264" s="205">
        <v>1255</v>
      </c>
      <c r="B1264" s="197" t="s">
        <v>4484</v>
      </c>
      <c r="C1264" s="198">
        <v>42131</v>
      </c>
      <c r="D1264" s="199">
        <v>2</v>
      </c>
      <c r="E1264" s="200" t="s">
        <v>93</v>
      </c>
      <c r="F1264" s="197" t="s">
        <v>1654</v>
      </c>
      <c r="G1264" s="200" t="s">
        <v>202</v>
      </c>
      <c r="H1264" s="201">
        <v>42135</v>
      </c>
      <c r="I1264" s="200" t="s">
        <v>187</v>
      </c>
      <c r="J1264" s="200" t="s">
        <v>103</v>
      </c>
      <c r="K1264" s="200" t="s">
        <v>4485</v>
      </c>
      <c r="L1264" s="201">
        <v>42135</v>
      </c>
      <c r="M1264" s="197" t="s">
        <v>1914</v>
      </c>
      <c r="N1264" s="202" t="s">
        <v>185</v>
      </c>
      <c r="O1264" s="201">
        <v>42135</v>
      </c>
      <c r="P1264" s="203">
        <f t="shared" si="706"/>
        <v>4</v>
      </c>
      <c r="Q1264" s="200" t="s">
        <v>4485</v>
      </c>
      <c r="R1264" s="202" t="s">
        <v>17</v>
      </c>
      <c r="S1264" s="197" t="s">
        <v>104</v>
      </c>
      <c r="T1264" s="197">
        <v>1105132821</v>
      </c>
      <c r="U1264" s="201">
        <v>42135</v>
      </c>
      <c r="V1264" s="202" t="s">
        <v>186</v>
      </c>
      <c r="W1264" s="204">
        <f t="shared" si="707"/>
        <v>0</v>
      </c>
      <c r="X1264" s="204" t="str">
        <f t="shared" si="708"/>
        <v>Correcto</v>
      </c>
    </row>
    <row r="1265" spans="1:24" ht="18" customHeight="1" x14ac:dyDescent="0.25">
      <c r="A1265" s="205">
        <v>1256</v>
      </c>
      <c r="B1265" s="197" t="s">
        <v>4486</v>
      </c>
      <c r="C1265" s="198">
        <v>42132</v>
      </c>
      <c r="D1265" s="199">
        <v>2</v>
      </c>
      <c r="E1265" s="200" t="s">
        <v>93</v>
      </c>
      <c r="F1265" s="197" t="s">
        <v>1654</v>
      </c>
      <c r="G1265" s="200" t="s">
        <v>202</v>
      </c>
      <c r="H1265" s="201">
        <v>42135</v>
      </c>
      <c r="I1265" s="200" t="s">
        <v>187</v>
      </c>
      <c r="J1265" s="200" t="s">
        <v>103</v>
      </c>
      <c r="K1265" s="200" t="s">
        <v>4487</v>
      </c>
      <c r="L1265" s="201">
        <v>42135</v>
      </c>
      <c r="M1265" s="197" t="s">
        <v>1914</v>
      </c>
      <c r="N1265" s="202" t="s">
        <v>185</v>
      </c>
      <c r="O1265" s="201">
        <v>42137</v>
      </c>
      <c r="P1265" s="203">
        <f t="shared" si="706"/>
        <v>5</v>
      </c>
      <c r="Q1265" s="200" t="s">
        <v>4488</v>
      </c>
      <c r="R1265" s="202" t="s">
        <v>17</v>
      </c>
      <c r="S1265" s="197" t="s">
        <v>101</v>
      </c>
      <c r="T1265" s="197" t="s">
        <v>101</v>
      </c>
      <c r="U1265" s="201">
        <v>42138</v>
      </c>
      <c r="V1265" s="202" t="s">
        <v>186</v>
      </c>
      <c r="W1265" s="204">
        <f t="shared" si="707"/>
        <v>0</v>
      </c>
      <c r="X1265" s="204" t="str">
        <f t="shared" si="708"/>
        <v>Correcto</v>
      </c>
    </row>
    <row r="1266" spans="1:24" ht="18" customHeight="1" x14ac:dyDescent="0.25">
      <c r="A1266" s="205">
        <v>1257</v>
      </c>
      <c r="B1266" s="197" t="s">
        <v>4489</v>
      </c>
      <c r="C1266" s="198">
        <v>42132</v>
      </c>
      <c r="D1266" s="199">
        <v>2</v>
      </c>
      <c r="E1266" s="200" t="s">
        <v>93</v>
      </c>
      <c r="F1266" s="197" t="s">
        <v>1654</v>
      </c>
      <c r="G1266" s="200" t="s">
        <v>202</v>
      </c>
      <c r="H1266" s="201">
        <v>42135</v>
      </c>
      <c r="I1266" s="200" t="s">
        <v>187</v>
      </c>
      <c r="J1266" s="200" t="s">
        <v>103</v>
      </c>
      <c r="K1266" s="200" t="s">
        <v>4490</v>
      </c>
      <c r="L1266" s="201">
        <v>42135</v>
      </c>
      <c r="M1266" s="197" t="s">
        <v>1914</v>
      </c>
      <c r="N1266" s="202" t="s">
        <v>185</v>
      </c>
      <c r="O1266" s="201">
        <v>42136</v>
      </c>
      <c r="P1266" s="203">
        <f t="shared" ref="P1266:P1329" si="709">O1266-C1266</f>
        <v>4</v>
      </c>
      <c r="Q1266" s="200" t="s">
        <v>4491</v>
      </c>
      <c r="R1266" s="202" t="s">
        <v>17</v>
      </c>
      <c r="S1266" s="197" t="s">
        <v>101</v>
      </c>
      <c r="T1266" s="197" t="s">
        <v>101</v>
      </c>
      <c r="U1266" s="201">
        <v>42138</v>
      </c>
      <c r="V1266" s="202" t="s">
        <v>186</v>
      </c>
      <c r="W1266" s="204">
        <f t="shared" ref="W1266:W1329" si="710">COUNTBLANK(C1266:V1266)</f>
        <v>0</v>
      </c>
      <c r="X1266" s="204" t="str">
        <f t="shared" ref="X1266:X1329" si="711">IF(W1266=0,"Correcto","Incorrecto")</f>
        <v>Correcto</v>
      </c>
    </row>
    <row r="1267" spans="1:24" ht="18" customHeight="1" x14ac:dyDescent="0.25">
      <c r="A1267" s="205">
        <v>1258</v>
      </c>
      <c r="B1267" s="197" t="s">
        <v>4492</v>
      </c>
      <c r="C1267" s="198">
        <v>42132</v>
      </c>
      <c r="D1267" s="199">
        <v>2</v>
      </c>
      <c r="E1267" s="200" t="s">
        <v>93</v>
      </c>
      <c r="F1267" s="197" t="s">
        <v>1654</v>
      </c>
      <c r="G1267" s="200" t="s">
        <v>202</v>
      </c>
      <c r="H1267" s="201">
        <v>42135</v>
      </c>
      <c r="I1267" s="200" t="s">
        <v>187</v>
      </c>
      <c r="J1267" s="200" t="s">
        <v>103</v>
      </c>
      <c r="K1267" s="200" t="s">
        <v>4493</v>
      </c>
      <c r="L1267" s="201">
        <v>42135</v>
      </c>
      <c r="M1267" s="197" t="s">
        <v>1914</v>
      </c>
      <c r="N1267" s="202" t="s">
        <v>185</v>
      </c>
      <c r="O1267" s="201">
        <v>42135</v>
      </c>
      <c r="P1267" s="203">
        <f t="shared" si="709"/>
        <v>3</v>
      </c>
      <c r="Q1267" s="200" t="s">
        <v>4493</v>
      </c>
      <c r="R1267" s="202" t="s">
        <v>17</v>
      </c>
      <c r="S1267" s="197" t="s">
        <v>104</v>
      </c>
      <c r="T1267" s="197">
        <v>1102857628</v>
      </c>
      <c r="U1267" s="201">
        <v>42135</v>
      </c>
      <c r="V1267" s="202" t="s">
        <v>186</v>
      </c>
      <c r="W1267" s="204">
        <f t="shared" si="710"/>
        <v>0</v>
      </c>
      <c r="X1267" s="204" t="str">
        <f t="shared" si="711"/>
        <v>Correcto</v>
      </c>
    </row>
    <row r="1268" spans="1:24" ht="18" customHeight="1" x14ac:dyDescent="0.25">
      <c r="A1268" s="205">
        <v>1259</v>
      </c>
      <c r="B1268" s="197" t="s">
        <v>4494</v>
      </c>
      <c r="C1268" s="198">
        <v>42132</v>
      </c>
      <c r="D1268" s="199">
        <v>3</v>
      </c>
      <c r="E1268" s="200" t="s">
        <v>93</v>
      </c>
      <c r="F1268" s="197" t="s">
        <v>825</v>
      </c>
      <c r="G1268" s="200" t="s">
        <v>202</v>
      </c>
      <c r="H1268" s="201">
        <v>42135</v>
      </c>
      <c r="I1268" s="200" t="s">
        <v>187</v>
      </c>
      <c r="J1268" s="200" t="s">
        <v>103</v>
      </c>
      <c r="K1268" s="200" t="s">
        <v>4495</v>
      </c>
      <c r="L1268" s="201">
        <v>42135</v>
      </c>
      <c r="M1268" s="197" t="s">
        <v>1914</v>
      </c>
      <c r="N1268" s="202" t="s">
        <v>185</v>
      </c>
      <c r="O1268" s="201">
        <v>42136</v>
      </c>
      <c r="P1268" s="203">
        <f t="shared" si="709"/>
        <v>4</v>
      </c>
      <c r="Q1268" s="200" t="s">
        <v>4496</v>
      </c>
      <c r="R1268" s="202" t="s">
        <v>2438</v>
      </c>
      <c r="S1268" s="197" t="s">
        <v>101</v>
      </c>
      <c r="T1268" s="197" t="s">
        <v>4262</v>
      </c>
      <c r="U1268" s="201">
        <v>42137</v>
      </c>
      <c r="V1268" s="202" t="s">
        <v>186</v>
      </c>
      <c r="W1268" s="204">
        <f t="shared" si="710"/>
        <v>0</v>
      </c>
      <c r="X1268" s="204" t="str">
        <f t="shared" si="711"/>
        <v>Correcto</v>
      </c>
    </row>
    <row r="1269" spans="1:24" ht="18" customHeight="1" x14ac:dyDescent="0.25">
      <c r="A1269" s="205">
        <v>1260</v>
      </c>
      <c r="B1269" s="197" t="s">
        <v>4497</v>
      </c>
      <c r="C1269" s="198">
        <v>42132</v>
      </c>
      <c r="D1269" s="199">
        <v>140</v>
      </c>
      <c r="E1269" s="200" t="s">
        <v>93</v>
      </c>
      <c r="F1269" s="197" t="s">
        <v>825</v>
      </c>
      <c r="G1269" s="200" t="s">
        <v>202</v>
      </c>
      <c r="H1269" s="201">
        <v>42137</v>
      </c>
      <c r="I1269" s="200" t="s">
        <v>187</v>
      </c>
      <c r="J1269" s="200" t="s">
        <v>103</v>
      </c>
      <c r="K1269" s="200" t="s">
        <v>4498</v>
      </c>
      <c r="L1269" s="201">
        <v>42137</v>
      </c>
      <c r="M1269" s="197" t="s">
        <v>1914</v>
      </c>
      <c r="N1269" s="202" t="s">
        <v>185</v>
      </c>
      <c r="O1269" s="201">
        <v>42137</v>
      </c>
      <c r="P1269" s="203">
        <f t="shared" si="709"/>
        <v>5</v>
      </c>
      <c r="Q1269" s="200" t="s">
        <v>4499</v>
      </c>
      <c r="R1269" s="202" t="s">
        <v>2438</v>
      </c>
      <c r="S1269" s="197" t="s">
        <v>101</v>
      </c>
      <c r="T1269" s="197" t="s">
        <v>4262</v>
      </c>
      <c r="U1269" s="201">
        <v>42137</v>
      </c>
      <c r="V1269" s="202" t="s">
        <v>186</v>
      </c>
      <c r="W1269" s="204">
        <f t="shared" si="710"/>
        <v>0</v>
      </c>
      <c r="X1269" s="204" t="str">
        <f t="shared" si="711"/>
        <v>Correcto</v>
      </c>
    </row>
    <row r="1270" spans="1:24" ht="18" customHeight="1" x14ac:dyDescent="0.25">
      <c r="A1270" s="205">
        <v>1261</v>
      </c>
      <c r="B1270" s="197" t="s">
        <v>4500</v>
      </c>
      <c r="C1270" s="198">
        <v>42132</v>
      </c>
      <c r="D1270" s="199">
        <v>3</v>
      </c>
      <c r="E1270" s="200" t="s">
        <v>93</v>
      </c>
      <c r="F1270" s="197" t="s">
        <v>825</v>
      </c>
      <c r="G1270" s="200" t="s">
        <v>202</v>
      </c>
      <c r="H1270" s="201">
        <v>42136</v>
      </c>
      <c r="I1270" s="200" t="s">
        <v>187</v>
      </c>
      <c r="J1270" s="200" t="s">
        <v>103</v>
      </c>
      <c r="K1270" s="200" t="s">
        <v>4501</v>
      </c>
      <c r="L1270" s="201">
        <v>42136</v>
      </c>
      <c r="M1270" s="197" t="s">
        <v>1914</v>
      </c>
      <c r="N1270" s="202" t="s">
        <v>185</v>
      </c>
      <c r="O1270" s="201">
        <v>42136</v>
      </c>
      <c r="P1270" s="203">
        <f t="shared" si="709"/>
        <v>4</v>
      </c>
      <c r="Q1270" s="200" t="s">
        <v>4501</v>
      </c>
      <c r="R1270" s="202" t="s">
        <v>2438</v>
      </c>
      <c r="S1270" s="197" t="s">
        <v>101</v>
      </c>
      <c r="T1270" s="197" t="s">
        <v>4262</v>
      </c>
      <c r="U1270" s="201">
        <v>42137</v>
      </c>
      <c r="V1270" s="202" t="s">
        <v>186</v>
      </c>
      <c r="W1270" s="204">
        <f t="shared" si="710"/>
        <v>0</v>
      </c>
      <c r="X1270" s="204" t="str">
        <f t="shared" si="711"/>
        <v>Correcto</v>
      </c>
    </row>
    <row r="1271" spans="1:24" ht="18" customHeight="1" x14ac:dyDescent="0.25">
      <c r="A1271" s="205">
        <v>1262</v>
      </c>
      <c r="B1271" s="197" t="s">
        <v>4502</v>
      </c>
      <c r="C1271" s="198">
        <v>42132</v>
      </c>
      <c r="D1271" s="199">
        <v>4</v>
      </c>
      <c r="E1271" s="200" t="s">
        <v>93</v>
      </c>
      <c r="F1271" s="197" t="s">
        <v>1654</v>
      </c>
      <c r="G1271" s="200" t="s">
        <v>202</v>
      </c>
      <c r="H1271" s="201">
        <v>42136</v>
      </c>
      <c r="I1271" s="200" t="s">
        <v>187</v>
      </c>
      <c r="J1271" s="200" t="s">
        <v>103</v>
      </c>
      <c r="K1271" s="200" t="s">
        <v>4503</v>
      </c>
      <c r="L1271" s="201">
        <v>42136</v>
      </c>
      <c r="M1271" s="197" t="s">
        <v>1914</v>
      </c>
      <c r="N1271" s="202" t="s">
        <v>185</v>
      </c>
      <c r="O1271" s="201">
        <v>42136</v>
      </c>
      <c r="P1271" s="203">
        <f t="shared" si="709"/>
        <v>4</v>
      </c>
      <c r="Q1271" s="200" t="s">
        <v>4503</v>
      </c>
      <c r="R1271" s="202" t="s">
        <v>17</v>
      </c>
      <c r="S1271" s="197" t="s">
        <v>104</v>
      </c>
      <c r="T1271" s="197">
        <v>701639924</v>
      </c>
      <c r="U1271" s="201">
        <v>42136</v>
      </c>
      <c r="V1271" s="202" t="s">
        <v>186</v>
      </c>
      <c r="W1271" s="204">
        <f t="shared" si="710"/>
        <v>0</v>
      </c>
      <c r="X1271" s="204" t="str">
        <f t="shared" si="711"/>
        <v>Correcto</v>
      </c>
    </row>
    <row r="1272" spans="1:24" ht="18" customHeight="1" x14ac:dyDescent="0.25">
      <c r="A1272" s="205">
        <v>1263</v>
      </c>
      <c r="B1272" s="197" t="s">
        <v>4504</v>
      </c>
      <c r="C1272" s="198">
        <v>42132</v>
      </c>
      <c r="D1272" s="199">
        <v>140</v>
      </c>
      <c r="E1272" s="200" t="s">
        <v>93</v>
      </c>
      <c r="F1272" s="197" t="s">
        <v>825</v>
      </c>
      <c r="G1272" s="200" t="s">
        <v>202</v>
      </c>
      <c r="H1272" s="201">
        <v>42135</v>
      </c>
      <c r="I1272" s="200" t="s">
        <v>187</v>
      </c>
      <c r="J1272" s="200" t="s">
        <v>103</v>
      </c>
      <c r="K1272" s="200" t="s">
        <v>4505</v>
      </c>
      <c r="L1272" s="201">
        <v>42135</v>
      </c>
      <c r="M1272" s="197" t="s">
        <v>1914</v>
      </c>
      <c r="N1272" s="202" t="s">
        <v>185</v>
      </c>
      <c r="O1272" s="201">
        <v>42137</v>
      </c>
      <c r="P1272" s="203">
        <f t="shared" si="709"/>
        <v>5</v>
      </c>
      <c r="Q1272" s="200" t="s">
        <v>4506</v>
      </c>
      <c r="R1272" s="202" t="s">
        <v>2438</v>
      </c>
      <c r="S1272" s="197" t="s">
        <v>101</v>
      </c>
      <c r="T1272" s="197" t="s">
        <v>4262</v>
      </c>
      <c r="U1272" s="201">
        <v>42137</v>
      </c>
      <c r="V1272" s="202" t="s">
        <v>186</v>
      </c>
      <c r="W1272" s="204">
        <f t="shared" si="710"/>
        <v>0</v>
      </c>
      <c r="X1272" s="204" t="str">
        <f t="shared" si="711"/>
        <v>Correcto</v>
      </c>
    </row>
    <row r="1273" spans="1:24" ht="18" customHeight="1" x14ac:dyDescent="0.25">
      <c r="A1273" s="205">
        <v>1264</v>
      </c>
      <c r="B1273" s="197" t="s">
        <v>4507</v>
      </c>
      <c r="C1273" s="198">
        <v>42132</v>
      </c>
      <c r="D1273" s="199">
        <v>2</v>
      </c>
      <c r="E1273" s="200" t="s">
        <v>93</v>
      </c>
      <c r="F1273" s="197" t="s">
        <v>1654</v>
      </c>
      <c r="G1273" s="200" t="s">
        <v>202</v>
      </c>
      <c r="H1273" s="201">
        <v>42135</v>
      </c>
      <c r="I1273" s="200" t="s">
        <v>187</v>
      </c>
      <c r="J1273" s="200" t="s">
        <v>103</v>
      </c>
      <c r="K1273" s="200" t="s">
        <v>4508</v>
      </c>
      <c r="L1273" s="201">
        <v>42135</v>
      </c>
      <c r="M1273" s="197" t="s">
        <v>1914</v>
      </c>
      <c r="N1273" s="202" t="s">
        <v>185</v>
      </c>
      <c r="O1273" s="201">
        <v>42136</v>
      </c>
      <c r="P1273" s="203">
        <f t="shared" si="709"/>
        <v>4</v>
      </c>
      <c r="Q1273" s="200" t="s">
        <v>4509</v>
      </c>
      <c r="R1273" s="202" t="s">
        <v>17</v>
      </c>
      <c r="S1273" s="197" t="s">
        <v>101</v>
      </c>
      <c r="T1273" s="197" t="s">
        <v>101</v>
      </c>
      <c r="U1273" s="201">
        <v>42138</v>
      </c>
      <c r="V1273" s="202" t="s">
        <v>186</v>
      </c>
      <c r="W1273" s="204">
        <f t="shared" si="710"/>
        <v>0</v>
      </c>
      <c r="X1273" s="204" t="str">
        <f t="shared" si="711"/>
        <v>Correcto</v>
      </c>
    </row>
    <row r="1274" spans="1:24" ht="18" customHeight="1" x14ac:dyDescent="0.25">
      <c r="A1274" s="205">
        <v>1265</v>
      </c>
      <c r="B1274" s="197" t="s">
        <v>4510</v>
      </c>
      <c r="C1274" s="198">
        <v>42132</v>
      </c>
      <c r="D1274" s="199">
        <v>2</v>
      </c>
      <c r="E1274" s="200" t="s">
        <v>93</v>
      </c>
      <c r="F1274" s="197" t="s">
        <v>825</v>
      </c>
      <c r="G1274" s="200" t="s">
        <v>202</v>
      </c>
      <c r="H1274" s="201">
        <v>42135</v>
      </c>
      <c r="I1274" s="200" t="s">
        <v>187</v>
      </c>
      <c r="J1274" s="200" t="s">
        <v>103</v>
      </c>
      <c r="K1274" s="200" t="s">
        <v>4511</v>
      </c>
      <c r="L1274" s="201">
        <v>42135</v>
      </c>
      <c r="M1274" s="197" t="s">
        <v>1914</v>
      </c>
      <c r="N1274" s="202" t="s">
        <v>185</v>
      </c>
      <c r="O1274" s="201">
        <v>42136</v>
      </c>
      <c r="P1274" s="203">
        <f t="shared" si="709"/>
        <v>4</v>
      </c>
      <c r="Q1274" s="200" t="s">
        <v>4512</v>
      </c>
      <c r="R1274" s="202" t="s">
        <v>729</v>
      </c>
      <c r="S1274" s="197" t="s">
        <v>101</v>
      </c>
      <c r="T1274" s="197" t="s">
        <v>4513</v>
      </c>
      <c r="U1274" s="201">
        <v>42137</v>
      </c>
      <c r="V1274" s="202" t="s">
        <v>186</v>
      </c>
      <c r="W1274" s="204">
        <f t="shared" si="710"/>
        <v>0</v>
      </c>
      <c r="X1274" s="204" t="str">
        <f t="shared" si="711"/>
        <v>Correcto</v>
      </c>
    </row>
    <row r="1275" spans="1:24" ht="18" customHeight="1" x14ac:dyDescent="0.25">
      <c r="A1275" s="205">
        <v>1266</v>
      </c>
      <c r="B1275" s="197" t="s">
        <v>4514</v>
      </c>
      <c r="C1275" s="198">
        <v>42132</v>
      </c>
      <c r="D1275" s="199">
        <v>2</v>
      </c>
      <c r="E1275" s="200" t="s">
        <v>93</v>
      </c>
      <c r="F1275" s="197" t="s">
        <v>1654</v>
      </c>
      <c r="G1275" s="200" t="s">
        <v>202</v>
      </c>
      <c r="H1275" s="201">
        <v>42135</v>
      </c>
      <c r="I1275" s="200" t="s">
        <v>187</v>
      </c>
      <c r="J1275" s="200" t="s">
        <v>103</v>
      </c>
      <c r="K1275" s="200" t="s">
        <v>4515</v>
      </c>
      <c r="L1275" s="201">
        <v>42135</v>
      </c>
      <c r="M1275" s="197" t="s">
        <v>1914</v>
      </c>
      <c r="N1275" s="202" t="s">
        <v>185</v>
      </c>
      <c r="O1275" s="201">
        <v>42135</v>
      </c>
      <c r="P1275" s="203">
        <f t="shared" si="709"/>
        <v>3</v>
      </c>
      <c r="Q1275" s="200" t="s">
        <v>4515</v>
      </c>
      <c r="R1275" s="202" t="s">
        <v>17</v>
      </c>
      <c r="S1275" s="197" t="s">
        <v>104</v>
      </c>
      <c r="T1275" s="197">
        <v>1104282262</v>
      </c>
      <c r="U1275" s="201">
        <v>42137</v>
      </c>
      <c r="V1275" s="202" t="s">
        <v>186</v>
      </c>
      <c r="W1275" s="204">
        <f t="shared" si="710"/>
        <v>0</v>
      </c>
      <c r="X1275" s="204" t="str">
        <f t="shared" si="711"/>
        <v>Correcto</v>
      </c>
    </row>
    <row r="1276" spans="1:24" ht="18" customHeight="1" x14ac:dyDescent="0.25">
      <c r="A1276" s="205">
        <v>1267</v>
      </c>
      <c r="B1276" s="197" t="s">
        <v>4516</v>
      </c>
      <c r="C1276" s="198">
        <v>42132</v>
      </c>
      <c r="D1276" s="199">
        <v>2</v>
      </c>
      <c r="E1276" s="200" t="s">
        <v>93</v>
      </c>
      <c r="F1276" s="197" t="s">
        <v>1654</v>
      </c>
      <c r="G1276" s="200" t="s">
        <v>202</v>
      </c>
      <c r="H1276" s="201">
        <v>42135</v>
      </c>
      <c r="I1276" s="200" t="s">
        <v>187</v>
      </c>
      <c r="J1276" s="200" t="s">
        <v>103</v>
      </c>
      <c r="K1276" s="200" t="s">
        <v>4517</v>
      </c>
      <c r="L1276" s="201">
        <v>42135</v>
      </c>
      <c r="M1276" s="197" t="s">
        <v>1914</v>
      </c>
      <c r="N1276" s="202" t="s">
        <v>185</v>
      </c>
      <c r="O1276" s="201">
        <v>42136</v>
      </c>
      <c r="P1276" s="203">
        <f t="shared" si="709"/>
        <v>4</v>
      </c>
      <c r="Q1276" s="200" t="s">
        <v>4518</v>
      </c>
      <c r="R1276" s="202" t="s">
        <v>17</v>
      </c>
      <c r="S1276" s="197" t="s">
        <v>101</v>
      </c>
      <c r="T1276" s="197" t="s">
        <v>101</v>
      </c>
      <c r="U1276" s="201">
        <v>42138</v>
      </c>
      <c r="V1276" s="202" t="s">
        <v>186</v>
      </c>
      <c r="W1276" s="204">
        <f t="shared" si="710"/>
        <v>0</v>
      </c>
      <c r="X1276" s="204" t="str">
        <f t="shared" si="711"/>
        <v>Correcto</v>
      </c>
    </row>
    <row r="1277" spans="1:24" ht="18" customHeight="1" x14ac:dyDescent="0.25">
      <c r="A1277" s="205">
        <v>1268</v>
      </c>
      <c r="B1277" s="197" t="s">
        <v>4519</v>
      </c>
      <c r="C1277" s="198">
        <v>42132</v>
      </c>
      <c r="D1277" s="199">
        <v>2</v>
      </c>
      <c r="E1277" s="200" t="s">
        <v>93</v>
      </c>
      <c r="F1277" s="197" t="s">
        <v>1654</v>
      </c>
      <c r="G1277" s="200" t="s">
        <v>202</v>
      </c>
      <c r="H1277" s="201">
        <v>42135</v>
      </c>
      <c r="I1277" s="200" t="s">
        <v>187</v>
      </c>
      <c r="J1277" s="200" t="s">
        <v>103</v>
      </c>
      <c r="K1277" s="200" t="s">
        <v>4520</v>
      </c>
      <c r="L1277" s="201">
        <v>42135</v>
      </c>
      <c r="M1277" s="197" t="s">
        <v>1914</v>
      </c>
      <c r="N1277" s="202" t="s">
        <v>185</v>
      </c>
      <c r="O1277" s="201">
        <v>42136</v>
      </c>
      <c r="P1277" s="203">
        <f t="shared" si="709"/>
        <v>4</v>
      </c>
      <c r="Q1277" s="200" t="s">
        <v>4521</v>
      </c>
      <c r="R1277" s="202" t="s">
        <v>17</v>
      </c>
      <c r="S1277" s="197" t="s">
        <v>101</v>
      </c>
      <c r="T1277" s="197" t="s">
        <v>101</v>
      </c>
      <c r="U1277" s="201">
        <v>42138</v>
      </c>
      <c r="V1277" s="202" t="s">
        <v>186</v>
      </c>
      <c r="W1277" s="204">
        <f t="shared" si="710"/>
        <v>0</v>
      </c>
      <c r="X1277" s="204" t="str">
        <f t="shared" si="711"/>
        <v>Correcto</v>
      </c>
    </row>
    <row r="1278" spans="1:24" ht="18" customHeight="1" x14ac:dyDescent="0.25">
      <c r="A1278" s="205">
        <v>1269</v>
      </c>
      <c r="B1278" s="197" t="s">
        <v>4522</v>
      </c>
      <c r="C1278" s="198">
        <v>42132</v>
      </c>
      <c r="D1278" s="199">
        <v>3</v>
      </c>
      <c r="E1278" s="200" t="s">
        <v>93</v>
      </c>
      <c r="F1278" s="197" t="s">
        <v>1654</v>
      </c>
      <c r="G1278" s="200" t="s">
        <v>202</v>
      </c>
      <c r="H1278" s="201">
        <v>42138</v>
      </c>
      <c r="I1278" s="200" t="s">
        <v>187</v>
      </c>
      <c r="J1278" s="200" t="s">
        <v>103</v>
      </c>
      <c r="K1278" s="200" t="s">
        <v>4523</v>
      </c>
      <c r="L1278" s="201">
        <v>42138</v>
      </c>
      <c r="M1278" s="197" t="s">
        <v>1914</v>
      </c>
      <c r="N1278" s="202" t="s">
        <v>185</v>
      </c>
      <c r="O1278" s="201">
        <v>42138</v>
      </c>
      <c r="P1278" s="203">
        <f t="shared" si="709"/>
        <v>6</v>
      </c>
      <c r="Q1278" s="200" t="s">
        <v>4524</v>
      </c>
      <c r="R1278" s="202" t="s">
        <v>17</v>
      </c>
      <c r="S1278" s="197" t="s">
        <v>101</v>
      </c>
      <c r="T1278" s="197" t="s">
        <v>101</v>
      </c>
      <c r="U1278" s="201">
        <v>42142</v>
      </c>
      <c r="V1278" s="202" t="s">
        <v>186</v>
      </c>
      <c r="W1278" s="204">
        <f t="shared" si="710"/>
        <v>0</v>
      </c>
      <c r="X1278" s="204" t="str">
        <f t="shared" si="711"/>
        <v>Correcto</v>
      </c>
    </row>
    <row r="1279" spans="1:24" ht="18" customHeight="1" x14ac:dyDescent="0.25">
      <c r="A1279" s="205">
        <v>1270</v>
      </c>
      <c r="B1279" s="197" t="s">
        <v>4525</v>
      </c>
      <c r="C1279" s="198">
        <v>42135</v>
      </c>
      <c r="D1279" s="199">
        <v>2</v>
      </c>
      <c r="E1279" s="200" t="s">
        <v>93</v>
      </c>
      <c r="F1279" s="197" t="s">
        <v>825</v>
      </c>
      <c r="G1279" s="200" t="s">
        <v>202</v>
      </c>
      <c r="H1279" s="201">
        <v>42136</v>
      </c>
      <c r="I1279" s="200" t="s">
        <v>187</v>
      </c>
      <c r="J1279" s="200" t="s">
        <v>103</v>
      </c>
      <c r="K1279" s="200" t="s">
        <v>4526</v>
      </c>
      <c r="L1279" s="201">
        <v>42136</v>
      </c>
      <c r="M1279" s="197" t="s">
        <v>824</v>
      </c>
      <c r="N1279" s="202" t="s">
        <v>185</v>
      </c>
      <c r="O1279" s="201">
        <v>42136</v>
      </c>
      <c r="P1279" s="203">
        <f t="shared" si="709"/>
        <v>1</v>
      </c>
      <c r="Q1279" s="200" t="s">
        <v>4526</v>
      </c>
      <c r="R1279" s="202" t="s">
        <v>17</v>
      </c>
      <c r="S1279" s="197" t="s">
        <v>101</v>
      </c>
      <c r="T1279" s="197" t="s">
        <v>101</v>
      </c>
      <c r="U1279" s="201">
        <v>42138</v>
      </c>
      <c r="V1279" s="202" t="s">
        <v>186</v>
      </c>
      <c r="W1279" s="204">
        <f t="shared" si="710"/>
        <v>0</v>
      </c>
      <c r="X1279" s="204" t="str">
        <f t="shared" si="711"/>
        <v>Correcto</v>
      </c>
    </row>
    <row r="1280" spans="1:24" ht="18" customHeight="1" x14ac:dyDescent="0.25">
      <c r="A1280" s="205">
        <v>1271</v>
      </c>
      <c r="B1280" s="197" t="s">
        <v>4527</v>
      </c>
      <c r="C1280" s="198">
        <v>42135</v>
      </c>
      <c r="D1280" s="199">
        <v>2</v>
      </c>
      <c r="E1280" s="200" t="s">
        <v>93</v>
      </c>
      <c r="F1280" s="197" t="s">
        <v>1654</v>
      </c>
      <c r="G1280" s="200" t="s">
        <v>202</v>
      </c>
      <c r="H1280" s="201">
        <v>42138</v>
      </c>
      <c r="I1280" s="200" t="s">
        <v>187</v>
      </c>
      <c r="J1280" s="200" t="s">
        <v>103</v>
      </c>
      <c r="K1280" s="200" t="s">
        <v>4528</v>
      </c>
      <c r="L1280" s="201">
        <v>42138</v>
      </c>
      <c r="M1280" s="197" t="s">
        <v>1914</v>
      </c>
      <c r="N1280" s="202" t="s">
        <v>185</v>
      </c>
      <c r="O1280" s="201">
        <v>42138</v>
      </c>
      <c r="P1280" s="203">
        <f t="shared" si="709"/>
        <v>3</v>
      </c>
      <c r="Q1280" s="200" t="s">
        <v>4529</v>
      </c>
      <c r="R1280" s="202" t="s">
        <v>17</v>
      </c>
      <c r="S1280" s="197" t="s">
        <v>101</v>
      </c>
      <c r="T1280" s="197" t="s">
        <v>101</v>
      </c>
      <c r="U1280" s="201">
        <v>42142</v>
      </c>
      <c r="V1280" s="202" t="s">
        <v>186</v>
      </c>
      <c r="W1280" s="204">
        <f t="shared" si="710"/>
        <v>0</v>
      </c>
      <c r="X1280" s="204" t="str">
        <f t="shared" si="711"/>
        <v>Correcto</v>
      </c>
    </row>
    <row r="1281" spans="1:24" ht="18" customHeight="1" x14ac:dyDescent="0.25">
      <c r="A1281" s="205">
        <v>1272</v>
      </c>
      <c r="B1281" s="197" t="s">
        <v>4530</v>
      </c>
      <c r="C1281" s="198">
        <v>42135</v>
      </c>
      <c r="D1281" s="199">
        <v>2</v>
      </c>
      <c r="E1281" s="200" t="s">
        <v>93</v>
      </c>
      <c r="F1281" s="197" t="s">
        <v>825</v>
      </c>
      <c r="G1281" s="200" t="s">
        <v>202</v>
      </c>
      <c r="H1281" s="201">
        <v>42136</v>
      </c>
      <c r="I1281" s="200" t="s">
        <v>187</v>
      </c>
      <c r="J1281" s="200" t="s">
        <v>103</v>
      </c>
      <c r="K1281" s="200" t="s">
        <v>4531</v>
      </c>
      <c r="L1281" s="201">
        <v>42136</v>
      </c>
      <c r="M1281" s="197" t="s">
        <v>824</v>
      </c>
      <c r="N1281" s="202" t="s">
        <v>185</v>
      </c>
      <c r="O1281" s="201">
        <v>42136</v>
      </c>
      <c r="P1281" s="203">
        <f t="shared" si="709"/>
        <v>1</v>
      </c>
      <c r="Q1281" s="200" t="s">
        <v>4531</v>
      </c>
      <c r="R1281" s="202" t="s">
        <v>729</v>
      </c>
      <c r="S1281" s="197" t="s">
        <v>101</v>
      </c>
      <c r="T1281" s="197" t="s">
        <v>4513</v>
      </c>
      <c r="U1281" s="201">
        <v>42137</v>
      </c>
      <c r="V1281" s="202" t="s">
        <v>186</v>
      </c>
      <c r="W1281" s="204">
        <f t="shared" si="710"/>
        <v>0</v>
      </c>
      <c r="X1281" s="204" t="str">
        <f t="shared" si="711"/>
        <v>Correcto</v>
      </c>
    </row>
    <row r="1282" spans="1:24" ht="18" customHeight="1" x14ac:dyDescent="0.25">
      <c r="A1282" s="205">
        <v>1273</v>
      </c>
      <c r="B1282" s="197" t="s">
        <v>4532</v>
      </c>
      <c r="C1282" s="198">
        <v>42135</v>
      </c>
      <c r="D1282" s="199">
        <v>12</v>
      </c>
      <c r="E1282" s="200" t="s">
        <v>93</v>
      </c>
      <c r="F1282" s="197" t="s">
        <v>1654</v>
      </c>
      <c r="G1282" s="200" t="s">
        <v>202</v>
      </c>
      <c r="H1282" s="201">
        <v>42139</v>
      </c>
      <c r="I1282" s="200" t="s">
        <v>187</v>
      </c>
      <c r="J1282" s="200" t="s">
        <v>103</v>
      </c>
      <c r="K1282" s="200" t="s">
        <v>4533</v>
      </c>
      <c r="L1282" s="201">
        <v>42139</v>
      </c>
      <c r="M1282" s="197" t="s">
        <v>1914</v>
      </c>
      <c r="N1282" s="202" t="s">
        <v>185</v>
      </c>
      <c r="O1282" s="201">
        <v>42139</v>
      </c>
      <c r="P1282" s="203">
        <f t="shared" si="709"/>
        <v>4</v>
      </c>
      <c r="Q1282" s="200" t="s">
        <v>4534</v>
      </c>
      <c r="R1282" s="202" t="s">
        <v>17</v>
      </c>
      <c r="S1282" s="197" t="s">
        <v>101</v>
      </c>
      <c r="T1282" s="197" t="s">
        <v>101</v>
      </c>
      <c r="U1282" s="201">
        <v>42142</v>
      </c>
      <c r="V1282" s="202" t="s">
        <v>186</v>
      </c>
      <c r="W1282" s="204">
        <f t="shared" si="710"/>
        <v>0</v>
      </c>
      <c r="X1282" s="204" t="str">
        <f t="shared" si="711"/>
        <v>Correcto</v>
      </c>
    </row>
    <row r="1283" spans="1:24" ht="18" customHeight="1" x14ac:dyDescent="0.25">
      <c r="A1283" s="205">
        <v>1274</v>
      </c>
      <c r="B1283" s="197" t="s">
        <v>4535</v>
      </c>
      <c r="C1283" s="198">
        <v>42135</v>
      </c>
      <c r="D1283" s="199">
        <v>24</v>
      </c>
      <c r="E1283" s="200" t="s">
        <v>93</v>
      </c>
      <c r="F1283" s="197" t="s">
        <v>1654</v>
      </c>
      <c r="G1283" s="200" t="s">
        <v>202</v>
      </c>
      <c r="H1283" s="201">
        <v>42139</v>
      </c>
      <c r="I1283" s="200" t="s">
        <v>187</v>
      </c>
      <c r="J1283" s="200" t="s">
        <v>103</v>
      </c>
      <c r="K1283" s="200" t="s">
        <v>4536</v>
      </c>
      <c r="L1283" s="201">
        <v>42139</v>
      </c>
      <c r="M1283" s="197" t="s">
        <v>1914</v>
      </c>
      <c r="N1283" s="202" t="s">
        <v>185</v>
      </c>
      <c r="O1283" s="201">
        <v>42139</v>
      </c>
      <c r="P1283" s="203">
        <f t="shared" si="709"/>
        <v>4</v>
      </c>
      <c r="Q1283" s="200" t="s">
        <v>4537</v>
      </c>
      <c r="R1283" s="202" t="s">
        <v>17</v>
      </c>
      <c r="S1283" s="197" t="s">
        <v>101</v>
      </c>
      <c r="T1283" s="197" t="s">
        <v>101</v>
      </c>
      <c r="U1283" s="201">
        <v>42142</v>
      </c>
      <c r="V1283" s="202" t="s">
        <v>186</v>
      </c>
      <c r="W1283" s="204">
        <f t="shared" si="710"/>
        <v>0</v>
      </c>
      <c r="X1283" s="204" t="str">
        <f t="shared" si="711"/>
        <v>Correcto</v>
      </c>
    </row>
    <row r="1284" spans="1:24" ht="18" customHeight="1" x14ac:dyDescent="0.25">
      <c r="A1284" s="205">
        <v>1275</v>
      </c>
      <c r="B1284" s="197" t="s">
        <v>4538</v>
      </c>
      <c r="C1284" s="198">
        <v>42135</v>
      </c>
      <c r="D1284" s="199">
        <v>8</v>
      </c>
      <c r="E1284" s="200" t="s">
        <v>93</v>
      </c>
      <c r="F1284" s="197" t="s">
        <v>825</v>
      </c>
      <c r="G1284" s="200" t="s">
        <v>202</v>
      </c>
      <c r="H1284" s="201">
        <v>42150</v>
      </c>
      <c r="I1284" s="200" t="s">
        <v>187</v>
      </c>
      <c r="J1284" s="200" t="s">
        <v>103</v>
      </c>
      <c r="K1284" s="200" t="s">
        <v>4539</v>
      </c>
      <c r="L1284" s="201">
        <v>42150</v>
      </c>
      <c r="M1284" s="197" t="s">
        <v>100</v>
      </c>
      <c r="N1284" s="202" t="s">
        <v>1079</v>
      </c>
      <c r="O1284" s="201">
        <v>42150</v>
      </c>
      <c r="P1284" s="203">
        <f t="shared" si="709"/>
        <v>15</v>
      </c>
      <c r="Q1284" s="200" t="s">
        <v>4540</v>
      </c>
      <c r="R1284" s="202" t="s">
        <v>17</v>
      </c>
      <c r="S1284" s="197" t="s">
        <v>101</v>
      </c>
      <c r="T1284" s="197" t="s">
        <v>101</v>
      </c>
      <c r="U1284" s="201">
        <v>42151</v>
      </c>
      <c r="V1284" s="202" t="s">
        <v>186</v>
      </c>
      <c r="W1284" s="204">
        <f t="shared" si="710"/>
        <v>0</v>
      </c>
      <c r="X1284" s="204" t="str">
        <f t="shared" si="711"/>
        <v>Correcto</v>
      </c>
    </row>
    <row r="1285" spans="1:24" ht="18" customHeight="1" x14ac:dyDescent="0.25">
      <c r="A1285" s="205">
        <v>1276</v>
      </c>
      <c r="B1285" s="197" t="s">
        <v>4541</v>
      </c>
      <c r="C1285" s="198">
        <v>42135</v>
      </c>
      <c r="D1285" s="199">
        <v>2</v>
      </c>
      <c r="E1285" s="200" t="s">
        <v>93</v>
      </c>
      <c r="F1285" s="197" t="s">
        <v>1654</v>
      </c>
      <c r="G1285" s="200" t="s">
        <v>202</v>
      </c>
      <c r="H1285" s="201">
        <v>42139</v>
      </c>
      <c r="I1285" s="200" t="s">
        <v>187</v>
      </c>
      <c r="J1285" s="200" t="s">
        <v>103</v>
      </c>
      <c r="K1285" s="200" t="s">
        <v>4542</v>
      </c>
      <c r="L1285" s="201">
        <v>42139</v>
      </c>
      <c r="M1285" s="197" t="s">
        <v>1914</v>
      </c>
      <c r="N1285" s="202" t="s">
        <v>185</v>
      </c>
      <c r="O1285" s="201">
        <v>42139</v>
      </c>
      <c r="P1285" s="203">
        <f t="shared" si="709"/>
        <v>4</v>
      </c>
      <c r="Q1285" s="200" t="s">
        <v>4543</v>
      </c>
      <c r="R1285" s="202" t="s">
        <v>17</v>
      </c>
      <c r="S1285" s="197" t="s">
        <v>101</v>
      </c>
      <c r="T1285" s="197" t="s">
        <v>101</v>
      </c>
      <c r="U1285" s="201">
        <v>42142</v>
      </c>
      <c r="V1285" s="202" t="s">
        <v>186</v>
      </c>
      <c r="W1285" s="204">
        <f t="shared" si="710"/>
        <v>0</v>
      </c>
      <c r="X1285" s="204" t="str">
        <f t="shared" si="711"/>
        <v>Correcto</v>
      </c>
    </row>
    <row r="1286" spans="1:24" ht="18" customHeight="1" x14ac:dyDescent="0.25">
      <c r="A1286" s="205">
        <v>1277</v>
      </c>
      <c r="B1286" s="197" t="s">
        <v>4544</v>
      </c>
      <c r="C1286" s="198">
        <v>42135</v>
      </c>
      <c r="D1286" s="199">
        <v>2</v>
      </c>
      <c r="E1286" s="200" t="s">
        <v>93</v>
      </c>
      <c r="F1286" s="197" t="s">
        <v>1654</v>
      </c>
      <c r="G1286" s="200" t="s">
        <v>202</v>
      </c>
      <c r="H1286" s="201">
        <v>42139</v>
      </c>
      <c r="I1286" s="200" t="s">
        <v>187</v>
      </c>
      <c r="J1286" s="200" t="s">
        <v>103</v>
      </c>
      <c r="K1286" s="200" t="s">
        <v>4545</v>
      </c>
      <c r="L1286" s="201">
        <v>42139</v>
      </c>
      <c r="M1286" s="197" t="s">
        <v>1914</v>
      </c>
      <c r="N1286" s="202" t="s">
        <v>185</v>
      </c>
      <c r="O1286" s="201">
        <v>42139</v>
      </c>
      <c r="P1286" s="203">
        <f t="shared" si="709"/>
        <v>4</v>
      </c>
      <c r="Q1286" s="200" t="s">
        <v>4546</v>
      </c>
      <c r="R1286" s="202" t="s">
        <v>17</v>
      </c>
      <c r="S1286" s="197" t="s">
        <v>101</v>
      </c>
      <c r="T1286" s="197" t="s">
        <v>101</v>
      </c>
      <c r="U1286" s="201">
        <v>42142</v>
      </c>
      <c r="V1286" s="202" t="s">
        <v>186</v>
      </c>
      <c r="W1286" s="204">
        <f t="shared" si="710"/>
        <v>0</v>
      </c>
      <c r="X1286" s="204" t="str">
        <f t="shared" si="711"/>
        <v>Correcto</v>
      </c>
    </row>
    <row r="1287" spans="1:24" ht="18" customHeight="1" x14ac:dyDescent="0.25">
      <c r="A1287" s="205">
        <v>1278</v>
      </c>
      <c r="B1287" s="197" t="s">
        <v>4547</v>
      </c>
      <c r="C1287" s="198">
        <v>42135</v>
      </c>
      <c r="D1287" s="199">
        <v>2</v>
      </c>
      <c r="E1287" s="200" t="s">
        <v>93</v>
      </c>
      <c r="F1287" s="197" t="s">
        <v>1654</v>
      </c>
      <c r="G1287" s="200" t="s">
        <v>202</v>
      </c>
      <c r="H1287" s="201">
        <v>42136</v>
      </c>
      <c r="I1287" s="200" t="s">
        <v>187</v>
      </c>
      <c r="J1287" s="200" t="s">
        <v>103</v>
      </c>
      <c r="K1287" s="200" t="s">
        <v>4548</v>
      </c>
      <c r="L1287" s="201">
        <v>42136</v>
      </c>
      <c r="M1287" s="197" t="s">
        <v>1914</v>
      </c>
      <c r="N1287" s="202" t="s">
        <v>185</v>
      </c>
      <c r="O1287" s="201">
        <v>42136</v>
      </c>
      <c r="P1287" s="203">
        <f t="shared" si="709"/>
        <v>1</v>
      </c>
      <c r="Q1287" s="200" t="s">
        <v>4548</v>
      </c>
      <c r="R1287" s="202" t="s">
        <v>17</v>
      </c>
      <c r="S1287" s="197" t="s">
        <v>104</v>
      </c>
      <c r="T1287" s="197">
        <v>1105817470</v>
      </c>
      <c r="U1287" s="201">
        <v>42137</v>
      </c>
      <c r="V1287" s="202" t="s">
        <v>186</v>
      </c>
      <c r="W1287" s="204">
        <f t="shared" si="710"/>
        <v>0</v>
      </c>
      <c r="X1287" s="204" t="str">
        <f t="shared" si="711"/>
        <v>Correcto</v>
      </c>
    </row>
    <row r="1288" spans="1:24" ht="18" customHeight="1" x14ac:dyDescent="0.25">
      <c r="A1288" s="205">
        <v>1279</v>
      </c>
      <c r="B1288" s="197" t="s">
        <v>4549</v>
      </c>
      <c r="C1288" s="198">
        <v>42135</v>
      </c>
      <c r="D1288" s="199">
        <v>2</v>
      </c>
      <c r="E1288" s="200" t="s">
        <v>93</v>
      </c>
      <c r="F1288" s="197" t="s">
        <v>1654</v>
      </c>
      <c r="G1288" s="200" t="s">
        <v>202</v>
      </c>
      <c r="H1288" s="201">
        <v>42136</v>
      </c>
      <c r="I1288" s="200" t="s">
        <v>187</v>
      </c>
      <c r="J1288" s="200" t="s">
        <v>103</v>
      </c>
      <c r="K1288" s="200" t="s">
        <v>4550</v>
      </c>
      <c r="L1288" s="201">
        <v>42136</v>
      </c>
      <c r="M1288" s="197" t="s">
        <v>1914</v>
      </c>
      <c r="N1288" s="202" t="s">
        <v>185</v>
      </c>
      <c r="O1288" s="201">
        <v>42136</v>
      </c>
      <c r="P1288" s="203">
        <f t="shared" si="709"/>
        <v>1</v>
      </c>
      <c r="Q1288" s="200" t="s">
        <v>4550</v>
      </c>
      <c r="R1288" s="202" t="s">
        <v>17</v>
      </c>
      <c r="S1288" s="197" t="s">
        <v>104</v>
      </c>
      <c r="T1288" s="197">
        <v>1105685216</v>
      </c>
      <c r="U1288" s="201">
        <v>42137</v>
      </c>
      <c r="V1288" s="202" t="s">
        <v>186</v>
      </c>
      <c r="W1288" s="204">
        <f t="shared" si="710"/>
        <v>0</v>
      </c>
      <c r="X1288" s="204" t="str">
        <f t="shared" si="711"/>
        <v>Correcto</v>
      </c>
    </row>
    <row r="1289" spans="1:24" ht="18" customHeight="1" x14ac:dyDescent="0.25">
      <c r="A1289" s="205">
        <v>1280</v>
      </c>
      <c r="B1289" s="197" t="s">
        <v>4551</v>
      </c>
      <c r="C1289" s="198">
        <v>42135</v>
      </c>
      <c r="D1289" s="199">
        <v>2</v>
      </c>
      <c r="E1289" s="200" t="s">
        <v>93</v>
      </c>
      <c r="F1289" s="197" t="s">
        <v>1654</v>
      </c>
      <c r="G1289" s="200" t="s">
        <v>202</v>
      </c>
      <c r="H1289" s="201">
        <v>42136</v>
      </c>
      <c r="I1289" s="200" t="s">
        <v>187</v>
      </c>
      <c r="J1289" s="200" t="s">
        <v>103</v>
      </c>
      <c r="K1289" s="200" t="s">
        <v>4552</v>
      </c>
      <c r="L1289" s="201">
        <v>42136</v>
      </c>
      <c r="M1289" s="197" t="s">
        <v>1914</v>
      </c>
      <c r="N1289" s="202" t="s">
        <v>185</v>
      </c>
      <c r="O1289" s="201">
        <v>42136</v>
      </c>
      <c r="P1289" s="203">
        <f t="shared" si="709"/>
        <v>1</v>
      </c>
      <c r="Q1289" s="200" t="s">
        <v>4552</v>
      </c>
      <c r="R1289" s="202" t="s">
        <v>17</v>
      </c>
      <c r="S1289" s="197" t="s">
        <v>104</v>
      </c>
      <c r="T1289" s="197">
        <v>1900552011</v>
      </c>
      <c r="U1289" s="201">
        <v>42137</v>
      </c>
      <c r="V1289" s="202" t="s">
        <v>186</v>
      </c>
      <c r="W1289" s="204">
        <f t="shared" si="710"/>
        <v>0</v>
      </c>
      <c r="X1289" s="204" t="str">
        <f t="shared" si="711"/>
        <v>Correcto</v>
      </c>
    </row>
    <row r="1290" spans="1:24" ht="18" customHeight="1" x14ac:dyDescent="0.25">
      <c r="A1290" s="205">
        <v>1281</v>
      </c>
      <c r="B1290" s="197" t="s">
        <v>4553</v>
      </c>
      <c r="C1290" s="198">
        <v>42135</v>
      </c>
      <c r="D1290" s="199">
        <v>2</v>
      </c>
      <c r="E1290" s="200" t="s">
        <v>93</v>
      </c>
      <c r="F1290" s="197" t="s">
        <v>825</v>
      </c>
      <c r="G1290" s="200" t="s">
        <v>202</v>
      </c>
      <c r="H1290" s="201">
        <v>42139</v>
      </c>
      <c r="I1290" s="200" t="s">
        <v>187</v>
      </c>
      <c r="J1290" s="200" t="s">
        <v>103</v>
      </c>
      <c r="K1290" s="200" t="s">
        <v>4554</v>
      </c>
      <c r="L1290" s="201">
        <v>42139</v>
      </c>
      <c r="M1290" s="197" t="s">
        <v>1914</v>
      </c>
      <c r="N1290" s="202" t="s">
        <v>185</v>
      </c>
      <c r="O1290" s="201">
        <v>42139</v>
      </c>
      <c r="P1290" s="203">
        <f t="shared" si="709"/>
        <v>4</v>
      </c>
      <c r="Q1290" s="200" t="s">
        <v>4555</v>
      </c>
      <c r="R1290" s="202" t="s">
        <v>17</v>
      </c>
      <c r="S1290" s="197" t="s">
        <v>101</v>
      </c>
      <c r="T1290" s="197" t="s">
        <v>101</v>
      </c>
      <c r="U1290" s="201">
        <v>42142</v>
      </c>
      <c r="V1290" s="202" t="s">
        <v>186</v>
      </c>
      <c r="W1290" s="204">
        <f t="shared" si="710"/>
        <v>0</v>
      </c>
      <c r="X1290" s="204" t="str">
        <f t="shared" si="711"/>
        <v>Correcto</v>
      </c>
    </row>
    <row r="1291" spans="1:24" ht="18" customHeight="1" x14ac:dyDescent="0.25">
      <c r="A1291" s="205">
        <v>1282</v>
      </c>
      <c r="B1291" s="197" t="s">
        <v>4556</v>
      </c>
      <c r="C1291" s="198">
        <v>42135</v>
      </c>
      <c r="D1291" s="199">
        <v>2</v>
      </c>
      <c r="E1291" s="200" t="s">
        <v>93</v>
      </c>
      <c r="F1291" s="197" t="s">
        <v>1654</v>
      </c>
      <c r="G1291" s="200" t="s">
        <v>202</v>
      </c>
      <c r="H1291" s="201">
        <v>42139</v>
      </c>
      <c r="I1291" s="200" t="s">
        <v>187</v>
      </c>
      <c r="J1291" s="200" t="s">
        <v>103</v>
      </c>
      <c r="K1291" s="200" t="s">
        <v>4557</v>
      </c>
      <c r="L1291" s="201">
        <v>42139</v>
      </c>
      <c r="M1291" s="197" t="s">
        <v>1914</v>
      </c>
      <c r="N1291" s="202" t="s">
        <v>185</v>
      </c>
      <c r="O1291" s="201">
        <v>42139</v>
      </c>
      <c r="P1291" s="203">
        <f t="shared" si="709"/>
        <v>4</v>
      </c>
      <c r="Q1291" s="200" t="s">
        <v>4558</v>
      </c>
      <c r="R1291" s="202" t="s">
        <v>17</v>
      </c>
      <c r="S1291" s="197" t="s">
        <v>101</v>
      </c>
      <c r="T1291" s="197" t="s">
        <v>101</v>
      </c>
      <c r="U1291" s="201">
        <v>42142</v>
      </c>
      <c r="V1291" s="202" t="s">
        <v>186</v>
      </c>
      <c r="W1291" s="204">
        <f t="shared" si="710"/>
        <v>0</v>
      </c>
      <c r="X1291" s="204" t="str">
        <f t="shared" si="711"/>
        <v>Correcto</v>
      </c>
    </row>
    <row r="1292" spans="1:24" ht="18" customHeight="1" x14ac:dyDescent="0.25">
      <c r="A1292" s="205">
        <v>1283</v>
      </c>
      <c r="B1292" s="197" t="s">
        <v>4559</v>
      </c>
      <c r="C1292" s="198">
        <v>42135</v>
      </c>
      <c r="D1292" s="199">
        <v>2</v>
      </c>
      <c r="E1292" s="200" t="s">
        <v>93</v>
      </c>
      <c r="F1292" s="197" t="s">
        <v>1654</v>
      </c>
      <c r="G1292" s="200" t="s">
        <v>202</v>
      </c>
      <c r="H1292" s="201">
        <v>42136</v>
      </c>
      <c r="I1292" s="200" t="s">
        <v>187</v>
      </c>
      <c r="J1292" s="200" t="s">
        <v>103</v>
      </c>
      <c r="K1292" s="200" t="s">
        <v>4560</v>
      </c>
      <c r="L1292" s="201">
        <v>42136</v>
      </c>
      <c r="M1292" s="197" t="s">
        <v>1914</v>
      </c>
      <c r="N1292" s="202" t="s">
        <v>185</v>
      </c>
      <c r="O1292" s="201">
        <v>42136</v>
      </c>
      <c r="P1292" s="203">
        <f t="shared" si="709"/>
        <v>1</v>
      </c>
      <c r="Q1292" s="200" t="s">
        <v>4560</v>
      </c>
      <c r="R1292" s="202" t="s">
        <v>17</v>
      </c>
      <c r="S1292" s="197" t="s">
        <v>104</v>
      </c>
      <c r="T1292" s="197">
        <v>1106029155</v>
      </c>
      <c r="U1292" s="201">
        <v>42137</v>
      </c>
      <c r="V1292" s="202" t="s">
        <v>186</v>
      </c>
      <c r="W1292" s="204">
        <f t="shared" si="710"/>
        <v>0</v>
      </c>
      <c r="X1292" s="204" t="str">
        <f t="shared" si="711"/>
        <v>Correcto</v>
      </c>
    </row>
    <row r="1293" spans="1:24" ht="18" customHeight="1" x14ac:dyDescent="0.25">
      <c r="A1293" s="205">
        <v>1284</v>
      </c>
      <c r="B1293" s="197" t="s">
        <v>4561</v>
      </c>
      <c r="C1293" s="198">
        <v>42135</v>
      </c>
      <c r="D1293" s="199">
        <v>2</v>
      </c>
      <c r="E1293" s="200" t="s">
        <v>93</v>
      </c>
      <c r="F1293" s="197" t="s">
        <v>1654</v>
      </c>
      <c r="G1293" s="200" t="s">
        <v>202</v>
      </c>
      <c r="H1293" s="201">
        <v>42139</v>
      </c>
      <c r="I1293" s="200" t="s">
        <v>187</v>
      </c>
      <c r="J1293" s="200" t="s">
        <v>103</v>
      </c>
      <c r="K1293" s="200" t="s">
        <v>4562</v>
      </c>
      <c r="L1293" s="201">
        <v>42139</v>
      </c>
      <c r="M1293" s="197" t="s">
        <v>1914</v>
      </c>
      <c r="N1293" s="202" t="s">
        <v>185</v>
      </c>
      <c r="O1293" s="201">
        <v>42139</v>
      </c>
      <c r="P1293" s="203">
        <f t="shared" si="709"/>
        <v>4</v>
      </c>
      <c r="Q1293" s="200" t="s">
        <v>4563</v>
      </c>
      <c r="R1293" s="202" t="s">
        <v>17</v>
      </c>
      <c r="S1293" s="197" t="s">
        <v>101</v>
      </c>
      <c r="T1293" s="197" t="s">
        <v>101</v>
      </c>
      <c r="U1293" s="201">
        <v>42142</v>
      </c>
      <c r="V1293" s="202" t="s">
        <v>186</v>
      </c>
      <c r="W1293" s="204">
        <f t="shared" si="710"/>
        <v>0</v>
      </c>
      <c r="X1293" s="204" t="str">
        <f t="shared" si="711"/>
        <v>Correcto</v>
      </c>
    </row>
    <row r="1294" spans="1:24" ht="18" customHeight="1" x14ac:dyDescent="0.25">
      <c r="A1294" s="205">
        <v>1285</v>
      </c>
      <c r="B1294" s="197" t="s">
        <v>4564</v>
      </c>
      <c r="C1294" s="198">
        <v>42135</v>
      </c>
      <c r="D1294" s="199">
        <v>2</v>
      </c>
      <c r="E1294" s="200" t="s">
        <v>93</v>
      </c>
      <c r="F1294" s="197" t="s">
        <v>1654</v>
      </c>
      <c r="G1294" s="200" t="s">
        <v>202</v>
      </c>
      <c r="H1294" s="201">
        <v>42136</v>
      </c>
      <c r="I1294" s="200" t="s">
        <v>187</v>
      </c>
      <c r="J1294" s="200" t="s">
        <v>103</v>
      </c>
      <c r="K1294" s="200" t="s">
        <v>4565</v>
      </c>
      <c r="L1294" s="201">
        <v>42136</v>
      </c>
      <c r="M1294" s="197" t="s">
        <v>1914</v>
      </c>
      <c r="N1294" s="202" t="s">
        <v>185</v>
      </c>
      <c r="O1294" s="201">
        <v>42136</v>
      </c>
      <c r="P1294" s="203">
        <f t="shared" si="709"/>
        <v>1</v>
      </c>
      <c r="Q1294" s="200" t="s">
        <v>4565</v>
      </c>
      <c r="R1294" s="202" t="s">
        <v>17</v>
      </c>
      <c r="S1294" s="197" t="s">
        <v>104</v>
      </c>
      <c r="T1294" s="197">
        <v>1103978035</v>
      </c>
      <c r="U1294" s="201">
        <v>42136</v>
      </c>
      <c r="V1294" s="202" t="s">
        <v>186</v>
      </c>
      <c r="W1294" s="204">
        <f t="shared" si="710"/>
        <v>0</v>
      </c>
      <c r="X1294" s="204" t="str">
        <f t="shared" si="711"/>
        <v>Correcto</v>
      </c>
    </row>
    <row r="1295" spans="1:24" ht="18" customHeight="1" x14ac:dyDescent="0.25">
      <c r="A1295" s="205">
        <v>1286</v>
      </c>
      <c r="B1295" s="197" t="s">
        <v>4566</v>
      </c>
      <c r="C1295" s="198">
        <v>42136</v>
      </c>
      <c r="D1295" s="199">
        <v>2</v>
      </c>
      <c r="E1295" s="200" t="s">
        <v>93</v>
      </c>
      <c r="F1295" s="197" t="s">
        <v>1654</v>
      </c>
      <c r="G1295" s="200" t="s">
        <v>202</v>
      </c>
      <c r="H1295" s="201">
        <v>42138</v>
      </c>
      <c r="I1295" s="200" t="s">
        <v>187</v>
      </c>
      <c r="J1295" s="200" t="s">
        <v>103</v>
      </c>
      <c r="K1295" s="200" t="s">
        <v>4567</v>
      </c>
      <c r="L1295" s="201">
        <v>42138</v>
      </c>
      <c r="M1295" s="197" t="s">
        <v>1914</v>
      </c>
      <c r="N1295" s="202" t="s">
        <v>185</v>
      </c>
      <c r="O1295" s="201">
        <v>42138</v>
      </c>
      <c r="P1295" s="203">
        <f t="shared" si="709"/>
        <v>2</v>
      </c>
      <c r="Q1295" s="200" t="s">
        <v>4567</v>
      </c>
      <c r="R1295" s="202" t="s">
        <v>17</v>
      </c>
      <c r="S1295" s="197" t="s">
        <v>104</v>
      </c>
      <c r="T1295" s="197">
        <v>1900242759</v>
      </c>
      <c r="U1295" s="201">
        <v>42136</v>
      </c>
      <c r="V1295" s="202" t="s">
        <v>186</v>
      </c>
      <c r="W1295" s="204">
        <f t="shared" si="710"/>
        <v>0</v>
      </c>
      <c r="X1295" s="204" t="str">
        <f t="shared" si="711"/>
        <v>Correcto</v>
      </c>
    </row>
    <row r="1296" spans="1:24" ht="18" customHeight="1" x14ac:dyDescent="0.25">
      <c r="A1296" s="205">
        <v>1287</v>
      </c>
      <c r="B1296" s="197" t="s">
        <v>4568</v>
      </c>
      <c r="C1296" s="198">
        <v>42136</v>
      </c>
      <c r="D1296" s="199">
        <v>2</v>
      </c>
      <c r="E1296" s="200" t="s">
        <v>93</v>
      </c>
      <c r="F1296" s="197" t="s">
        <v>1654</v>
      </c>
      <c r="G1296" s="200" t="s">
        <v>202</v>
      </c>
      <c r="H1296" s="201">
        <v>42138</v>
      </c>
      <c r="I1296" s="200" t="s">
        <v>187</v>
      </c>
      <c r="J1296" s="200" t="s">
        <v>103</v>
      </c>
      <c r="K1296" s="200" t="s">
        <v>4569</v>
      </c>
      <c r="L1296" s="201">
        <v>42138</v>
      </c>
      <c r="M1296" s="197" t="s">
        <v>1914</v>
      </c>
      <c r="N1296" s="202" t="s">
        <v>185</v>
      </c>
      <c r="O1296" s="201">
        <v>42138</v>
      </c>
      <c r="P1296" s="203">
        <f t="shared" si="709"/>
        <v>2</v>
      </c>
      <c r="Q1296" s="200" t="s">
        <v>4570</v>
      </c>
      <c r="R1296" s="202" t="s">
        <v>17</v>
      </c>
      <c r="S1296" s="197" t="s">
        <v>101</v>
      </c>
      <c r="T1296" s="197" t="s">
        <v>101</v>
      </c>
      <c r="U1296" s="201">
        <v>42142</v>
      </c>
      <c r="V1296" s="202" t="s">
        <v>186</v>
      </c>
      <c r="W1296" s="204">
        <f t="shared" si="710"/>
        <v>0</v>
      </c>
      <c r="X1296" s="204" t="str">
        <f t="shared" si="711"/>
        <v>Correcto</v>
      </c>
    </row>
    <row r="1297" spans="1:24" ht="18" customHeight="1" x14ac:dyDescent="0.25">
      <c r="A1297" s="205">
        <v>1288</v>
      </c>
      <c r="B1297" s="197" t="s">
        <v>4571</v>
      </c>
      <c r="C1297" s="198">
        <v>42136</v>
      </c>
      <c r="D1297" s="199">
        <v>2</v>
      </c>
      <c r="E1297" s="200" t="s">
        <v>93</v>
      </c>
      <c r="F1297" s="197" t="s">
        <v>1654</v>
      </c>
      <c r="G1297" s="200" t="s">
        <v>202</v>
      </c>
      <c r="H1297" s="201">
        <v>42138</v>
      </c>
      <c r="I1297" s="200" t="s">
        <v>187</v>
      </c>
      <c r="J1297" s="200" t="s">
        <v>103</v>
      </c>
      <c r="K1297" s="200" t="s">
        <v>4572</v>
      </c>
      <c r="L1297" s="201">
        <v>42138</v>
      </c>
      <c r="M1297" s="197" t="s">
        <v>1914</v>
      </c>
      <c r="N1297" s="202" t="s">
        <v>185</v>
      </c>
      <c r="O1297" s="201">
        <v>42138</v>
      </c>
      <c r="P1297" s="203">
        <f t="shared" si="709"/>
        <v>2</v>
      </c>
      <c r="Q1297" s="200" t="s">
        <v>4572</v>
      </c>
      <c r="R1297" s="202" t="s">
        <v>17</v>
      </c>
      <c r="S1297" s="197" t="s">
        <v>104</v>
      </c>
      <c r="T1297" s="197">
        <v>1102177838</v>
      </c>
      <c r="U1297" s="201">
        <v>42139</v>
      </c>
      <c r="V1297" s="202" t="s">
        <v>186</v>
      </c>
      <c r="W1297" s="204">
        <f t="shared" si="710"/>
        <v>0</v>
      </c>
      <c r="X1297" s="204" t="str">
        <f t="shared" si="711"/>
        <v>Correcto</v>
      </c>
    </row>
    <row r="1298" spans="1:24" ht="18" customHeight="1" x14ac:dyDescent="0.25">
      <c r="A1298" s="205">
        <v>1289</v>
      </c>
      <c r="B1298" s="197" t="s">
        <v>4573</v>
      </c>
      <c r="C1298" s="198">
        <v>42136</v>
      </c>
      <c r="D1298" s="199">
        <v>8</v>
      </c>
      <c r="E1298" s="200" t="s">
        <v>93</v>
      </c>
      <c r="F1298" s="197" t="s">
        <v>1654</v>
      </c>
      <c r="G1298" s="200" t="s">
        <v>202</v>
      </c>
      <c r="H1298" s="201">
        <v>42149</v>
      </c>
      <c r="I1298" s="200" t="s">
        <v>187</v>
      </c>
      <c r="J1298" s="200" t="s">
        <v>103</v>
      </c>
      <c r="K1298" s="200" t="s">
        <v>4574</v>
      </c>
      <c r="L1298" s="201">
        <v>42149</v>
      </c>
      <c r="M1298" s="197" t="s">
        <v>1914</v>
      </c>
      <c r="N1298" s="202" t="s">
        <v>185</v>
      </c>
      <c r="O1298" s="201">
        <v>42150</v>
      </c>
      <c r="P1298" s="203">
        <f t="shared" si="709"/>
        <v>14</v>
      </c>
      <c r="Q1298" s="200" t="s">
        <v>4575</v>
      </c>
      <c r="R1298" s="202" t="s">
        <v>1175</v>
      </c>
      <c r="S1298" s="197" t="s">
        <v>101</v>
      </c>
      <c r="T1298" s="197" t="s">
        <v>4576</v>
      </c>
      <c r="U1298" s="201">
        <v>42150</v>
      </c>
      <c r="V1298" s="202" t="s">
        <v>186</v>
      </c>
      <c r="W1298" s="204">
        <f t="shared" si="710"/>
        <v>0</v>
      </c>
      <c r="X1298" s="204" t="str">
        <f t="shared" si="711"/>
        <v>Correcto</v>
      </c>
    </row>
    <row r="1299" spans="1:24" ht="18" customHeight="1" x14ac:dyDescent="0.25">
      <c r="A1299" s="205">
        <v>1290</v>
      </c>
      <c r="B1299" s="197" t="s">
        <v>4577</v>
      </c>
      <c r="C1299" s="198">
        <v>42136</v>
      </c>
      <c r="D1299" s="199">
        <v>2</v>
      </c>
      <c r="E1299" s="200" t="s">
        <v>93</v>
      </c>
      <c r="F1299" s="197" t="s">
        <v>1654</v>
      </c>
      <c r="G1299" s="200" t="s">
        <v>202</v>
      </c>
      <c r="H1299" s="201">
        <v>42138</v>
      </c>
      <c r="I1299" s="200" t="s">
        <v>187</v>
      </c>
      <c r="J1299" s="200" t="s">
        <v>103</v>
      </c>
      <c r="K1299" s="200" t="s">
        <v>4578</v>
      </c>
      <c r="L1299" s="201">
        <v>42138</v>
      </c>
      <c r="M1299" s="197" t="s">
        <v>1914</v>
      </c>
      <c r="N1299" s="202" t="s">
        <v>185</v>
      </c>
      <c r="O1299" s="201">
        <v>42138</v>
      </c>
      <c r="P1299" s="203">
        <f t="shared" si="709"/>
        <v>2</v>
      </c>
      <c r="Q1299" s="200" t="s">
        <v>4578</v>
      </c>
      <c r="R1299" s="202" t="s">
        <v>17</v>
      </c>
      <c r="S1299" s="197" t="s">
        <v>104</v>
      </c>
      <c r="T1299" s="197">
        <v>1150078069</v>
      </c>
      <c r="U1299" s="201">
        <v>42139</v>
      </c>
      <c r="V1299" s="202" t="s">
        <v>186</v>
      </c>
      <c r="W1299" s="204">
        <f t="shared" si="710"/>
        <v>0</v>
      </c>
      <c r="X1299" s="204" t="str">
        <f t="shared" si="711"/>
        <v>Correcto</v>
      </c>
    </row>
    <row r="1300" spans="1:24" ht="18" customHeight="1" x14ac:dyDescent="0.25">
      <c r="A1300" s="205">
        <v>1291</v>
      </c>
      <c r="B1300" s="197" t="s">
        <v>4579</v>
      </c>
      <c r="C1300" s="198">
        <v>42136</v>
      </c>
      <c r="D1300" s="199">
        <v>2</v>
      </c>
      <c r="E1300" s="200" t="s">
        <v>93</v>
      </c>
      <c r="F1300" s="197" t="s">
        <v>1654</v>
      </c>
      <c r="G1300" s="200" t="s">
        <v>202</v>
      </c>
      <c r="H1300" s="201">
        <v>42138</v>
      </c>
      <c r="I1300" s="200" t="s">
        <v>187</v>
      </c>
      <c r="J1300" s="200" t="s">
        <v>103</v>
      </c>
      <c r="K1300" s="200" t="s">
        <v>4580</v>
      </c>
      <c r="L1300" s="201">
        <v>42138</v>
      </c>
      <c r="M1300" s="197" t="s">
        <v>1914</v>
      </c>
      <c r="N1300" s="202" t="s">
        <v>185</v>
      </c>
      <c r="O1300" s="201">
        <v>42138</v>
      </c>
      <c r="P1300" s="203">
        <f t="shared" si="709"/>
        <v>2</v>
      </c>
      <c r="Q1300" s="200" t="s">
        <v>4580</v>
      </c>
      <c r="R1300" s="202" t="s">
        <v>17</v>
      </c>
      <c r="S1300" s="197" t="s">
        <v>104</v>
      </c>
      <c r="T1300" s="197">
        <v>1104422298</v>
      </c>
      <c r="U1300" s="201">
        <v>42139</v>
      </c>
      <c r="V1300" s="202" t="s">
        <v>186</v>
      </c>
      <c r="W1300" s="204">
        <f t="shared" si="710"/>
        <v>0</v>
      </c>
      <c r="X1300" s="204" t="str">
        <f t="shared" si="711"/>
        <v>Correcto</v>
      </c>
    </row>
    <row r="1301" spans="1:24" ht="18" customHeight="1" x14ac:dyDescent="0.25">
      <c r="A1301" s="205">
        <v>1292</v>
      </c>
      <c r="B1301" s="197" t="s">
        <v>4581</v>
      </c>
      <c r="C1301" s="198">
        <v>42136</v>
      </c>
      <c r="D1301" s="199">
        <v>2</v>
      </c>
      <c r="E1301" s="200" t="s">
        <v>93</v>
      </c>
      <c r="F1301" s="197" t="s">
        <v>1654</v>
      </c>
      <c r="G1301" s="200" t="s">
        <v>202</v>
      </c>
      <c r="H1301" s="201">
        <v>42138</v>
      </c>
      <c r="I1301" s="200" t="s">
        <v>187</v>
      </c>
      <c r="J1301" s="200" t="s">
        <v>103</v>
      </c>
      <c r="K1301" s="200" t="s">
        <v>4582</v>
      </c>
      <c r="L1301" s="201">
        <v>42138</v>
      </c>
      <c r="M1301" s="197" t="s">
        <v>1914</v>
      </c>
      <c r="N1301" s="202" t="s">
        <v>185</v>
      </c>
      <c r="O1301" s="201">
        <v>42142</v>
      </c>
      <c r="P1301" s="203">
        <f t="shared" si="709"/>
        <v>6</v>
      </c>
      <c r="Q1301" s="200" t="s">
        <v>4583</v>
      </c>
      <c r="R1301" s="202" t="s">
        <v>17</v>
      </c>
      <c r="S1301" s="197" t="s">
        <v>101</v>
      </c>
      <c r="T1301" s="197" t="s">
        <v>101</v>
      </c>
      <c r="U1301" s="201">
        <v>42142</v>
      </c>
      <c r="V1301" s="202" t="s">
        <v>186</v>
      </c>
      <c r="W1301" s="204">
        <f t="shared" si="710"/>
        <v>0</v>
      </c>
      <c r="X1301" s="204" t="str">
        <f t="shared" si="711"/>
        <v>Correcto</v>
      </c>
    </row>
    <row r="1302" spans="1:24" ht="18" customHeight="1" x14ac:dyDescent="0.25">
      <c r="A1302" s="205">
        <v>1293</v>
      </c>
      <c r="B1302" s="197" t="s">
        <v>4584</v>
      </c>
      <c r="C1302" s="198">
        <v>42136</v>
      </c>
      <c r="D1302" s="199">
        <v>2</v>
      </c>
      <c r="E1302" s="200" t="s">
        <v>93</v>
      </c>
      <c r="F1302" s="197" t="s">
        <v>825</v>
      </c>
      <c r="G1302" s="200" t="s">
        <v>202</v>
      </c>
      <c r="H1302" s="201">
        <v>42142</v>
      </c>
      <c r="I1302" s="200" t="s">
        <v>187</v>
      </c>
      <c r="J1302" s="200" t="s">
        <v>103</v>
      </c>
      <c r="K1302" s="200" t="s">
        <v>4585</v>
      </c>
      <c r="L1302" s="201">
        <v>42142</v>
      </c>
      <c r="M1302" s="197" t="s">
        <v>1914</v>
      </c>
      <c r="N1302" s="202" t="s">
        <v>185</v>
      </c>
      <c r="O1302" s="201">
        <v>42145</v>
      </c>
      <c r="P1302" s="203">
        <f t="shared" si="709"/>
        <v>9</v>
      </c>
      <c r="Q1302" s="200" t="s">
        <v>4586</v>
      </c>
      <c r="R1302" s="202" t="s">
        <v>17</v>
      </c>
      <c r="S1302" s="197" t="s">
        <v>101</v>
      </c>
      <c r="T1302" s="197" t="s">
        <v>101</v>
      </c>
      <c r="U1302" s="201">
        <v>42149</v>
      </c>
      <c r="V1302" s="202" t="s">
        <v>186</v>
      </c>
      <c r="W1302" s="204">
        <f t="shared" si="710"/>
        <v>0</v>
      </c>
      <c r="X1302" s="204" t="str">
        <f t="shared" si="711"/>
        <v>Correcto</v>
      </c>
    </row>
    <row r="1303" spans="1:24" ht="18" customHeight="1" x14ac:dyDescent="0.25">
      <c r="A1303" s="205">
        <v>1294</v>
      </c>
      <c r="B1303" s="197" t="s">
        <v>4587</v>
      </c>
      <c r="C1303" s="198">
        <v>42136</v>
      </c>
      <c r="D1303" s="199">
        <v>2</v>
      </c>
      <c r="E1303" s="200" t="s">
        <v>93</v>
      </c>
      <c r="F1303" s="197" t="s">
        <v>825</v>
      </c>
      <c r="G1303" s="200" t="s">
        <v>202</v>
      </c>
      <c r="H1303" s="201">
        <v>42138</v>
      </c>
      <c r="I1303" s="200" t="s">
        <v>187</v>
      </c>
      <c r="J1303" s="200" t="s">
        <v>103</v>
      </c>
      <c r="K1303" s="200" t="s">
        <v>4588</v>
      </c>
      <c r="L1303" s="201">
        <v>42138</v>
      </c>
      <c r="M1303" s="197" t="s">
        <v>824</v>
      </c>
      <c r="N1303" s="202" t="s">
        <v>185</v>
      </c>
      <c r="O1303" s="201">
        <v>42138</v>
      </c>
      <c r="P1303" s="203">
        <f t="shared" si="709"/>
        <v>2</v>
      </c>
      <c r="Q1303" s="200" t="s">
        <v>4588</v>
      </c>
      <c r="R1303" s="202" t="s">
        <v>17</v>
      </c>
      <c r="S1303" s="197" t="s">
        <v>101</v>
      </c>
      <c r="T1303" s="197" t="s">
        <v>101</v>
      </c>
      <c r="U1303" s="201">
        <v>42142</v>
      </c>
      <c r="V1303" s="202" t="s">
        <v>186</v>
      </c>
      <c r="W1303" s="204">
        <f t="shared" si="710"/>
        <v>0</v>
      </c>
      <c r="X1303" s="204" t="str">
        <f t="shared" si="711"/>
        <v>Correcto</v>
      </c>
    </row>
    <row r="1304" spans="1:24" ht="18" customHeight="1" x14ac:dyDescent="0.25">
      <c r="A1304" s="205">
        <v>1295</v>
      </c>
      <c r="B1304" s="197" t="s">
        <v>4589</v>
      </c>
      <c r="C1304" s="198">
        <v>42136</v>
      </c>
      <c r="D1304" s="199">
        <v>2</v>
      </c>
      <c r="E1304" s="200" t="s">
        <v>93</v>
      </c>
      <c r="F1304" s="197" t="s">
        <v>1654</v>
      </c>
      <c r="G1304" s="200" t="s">
        <v>202</v>
      </c>
      <c r="H1304" s="201">
        <v>42138</v>
      </c>
      <c r="I1304" s="200" t="s">
        <v>187</v>
      </c>
      <c r="J1304" s="200" t="s">
        <v>103</v>
      </c>
      <c r="K1304" s="200" t="s">
        <v>4590</v>
      </c>
      <c r="L1304" s="201">
        <v>42138</v>
      </c>
      <c r="M1304" s="197" t="s">
        <v>1914</v>
      </c>
      <c r="N1304" s="202" t="s">
        <v>185</v>
      </c>
      <c r="O1304" s="201">
        <v>42138</v>
      </c>
      <c r="P1304" s="203">
        <f t="shared" si="709"/>
        <v>2</v>
      </c>
      <c r="Q1304" s="200" t="s">
        <v>4591</v>
      </c>
      <c r="R1304" s="202" t="s">
        <v>17</v>
      </c>
      <c r="S1304" s="197" t="s">
        <v>101</v>
      </c>
      <c r="T1304" s="197" t="s">
        <v>101</v>
      </c>
      <c r="U1304" s="201">
        <v>42142</v>
      </c>
      <c r="V1304" s="202" t="s">
        <v>186</v>
      </c>
      <c r="W1304" s="204">
        <f t="shared" si="710"/>
        <v>0</v>
      </c>
      <c r="X1304" s="204" t="str">
        <f t="shared" si="711"/>
        <v>Correcto</v>
      </c>
    </row>
    <row r="1305" spans="1:24" ht="18" customHeight="1" x14ac:dyDescent="0.25">
      <c r="A1305" s="205">
        <v>1296</v>
      </c>
      <c r="B1305" s="197" t="s">
        <v>4592</v>
      </c>
      <c r="C1305" s="198">
        <v>42136</v>
      </c>
      <c r="D1305" s="199">
        <v>2</v>
      </c>
      <c r="E1305" s="200" t="s">
        <v>93</v>
      </c>
      <c r="F1305" s="197" t="s">
        <v>1654</v>
      </c>
      <c r="G1305" s="200" t="s">
        <v>202</v>
      </c>
      <c r="H1305" s="201">
        <v>42138</v>
      </c>
      <c r="I1305" s="200" t="s">
        <v>187</v>
      </c>
      <c r="J1305" s="200" t="s">
        <v>103</v>
      </c>
      <c r="K1305" s="200" t="s">
        <v>4593</v>
      </c>
      <c r="L1305" s="201">
        <v>42138</v>
      </c>
      <c r="M1305" s="197" t="s">
        <v>1914</v>
      </c>
      <c r="N1305" s="202" t="s">
        <v>185</v>
      </c>
      <c r="O1305" s="201">
        <v>42138</v>
      </c>
      <c r="P1305" s="203">
        <f t="shared" si="709"/>
        <v>2</v>
      </c>
      <c r="Q1305" s="200" t="s">
        <v>4594</v>
      </c>
      <c r="R1305" s="202" t="s">
        <v>17</v>
      </c>
      <c r="S1305" s="197" t="s">
        <v>101</v>
      </c>
      <c r="T1305" s="197" t="s">
        <v>101</v>
      </c>
      <c r="U1305" s="201">
        <v>42142</v>
      </c>
      <c r="V1305" s="202" t="s">
        <v>186</v>
      </c>
      <c r="W1305" s="204">
        <f t="shared" si="710"/>
        <v>0</v>
      </c>
      <c r="X1305" s="204" t="str">
        <f t="shared" si="711"/>
        <v>Correcto</v>
      </c>
    </row>
    <row r="1306" spans="1:24" ht="18" customHeight="1" x14ac:dyDescent="0.25">
      <c r="A1306" s="205">
        <v>1297</v>
      </c>
      <c r="B1306" s="197" t="s">
        <v>4595</v>
      </c>
      <c r="C1306" s="198">
        <v>42136</v>
      </c>
      <c r="D1306" s="199">
        <v>2</v>
      </c>
      <c r="E1306" s="200" t="s">
        <v>93</v>
      </c>
      <c r="F1306" s="197" t="s">
        <v>1654</v>
      </c>
      <c r="G1306" s="200" t="s">
        <v>202</v>
      </c>
      <c r="H1306" s="201">
        <v>42138</v>
      </c>
      <c r="I1306" s="200" t="s">
        <v>187</v>
      </c>
      <c r="J1306" s="200" t="s">
        <v>103</v>
      </c>
      <c r="K1306" s="200" t="s">
        <v>4596</v>
      </c>
      <c r="L1306" s="201">
        <v>42138</v>
      </c>
      <c r="M1306" s="197" t="s">
        <v>1914</v>
      </c>
      <c r="N1306" s="202" t="s">
        <v>185</v>
      </c>
      <c r="O1306" s="201">
        <v>42138</v>
      </c>
      <c r="P1306" s="203">
        <f t="shared" si="709"/>
        <v>2</v>
      </c>
      <c r="Q1306" s="200" t="s">
        <v>4597</v>
      </c>
      <c r="R1306" s="202" t="s">
        <v>17</v>
      </c>
      <c r="S1306" s="197" t="s">
        <v>101</v>
      </c>
      <c r="T1306" s="197" t="s">
        <v>101</v>
      </c>
      <c r="U1306" s="201">
        <v>42142</v>
      </c>
      <c r="V1306" s="202" t="s">
        <v>186</v>
      </c>
      <c r="W1306" s="204">
        <f t="shared" si="710"/>
        <v>0</v>
      </c>
      <c r="X1306" s="204" t="str">
        <f t="shared" si="711"/>
        <v>Correcto</v>
      </c>
    </row>
    <row r="1307" spans="1:24" ht="18" customHeight="1" x14ac:dyDescent="0.25">
      <c r="A1307" s="205">
        <v>1298</v>
      </c>
      <c r="B1307" s="197" t="s">
        <v>4598</v>
      </c>
      <c r="C1307" s="198">
        <v>42136</v>
      </c>
      <c r="D1307" s="199">
        <v>2</v>
      </c>
      <c r="E1307" s="200" t="s">
        <v>93</v>
      </c>
      <c r="F1307" s="197" t="s">
        <v>1654</v>
      </c>
      <c r="G1307" s="200" t="s">
        <v>202</v>
      </c>
      <c r="H1307" s="201">
        <v>42142</v>
      </c>
      <c r="I1307" s="200" t="s">
        <v>187</v>
      </c>
      <c r="J1307" s="200" t="s">
        <v>103</v>
      </c>
      <c r="K1307" s="200" t="s">
        <v>4599</v>
      </c>
      <c r="L1307" s="201">
        <v>42142</v>
      </c>
      <c r="M1307" s="197" t="s">
        <v>1914</v>
      </c>
      <c r="N1307" s="202" t="s">
        <v>185</v>
      </c>
      <c r="O1307" s="201">
        <v>42145</v>
      </c>
      <c r="P1307" s="203">
        <f t="shared" si="709"/>
        <v>9</v>
      </c>
      <c r="Q1307" s="200" t="s">
        <v>4600</v>
      </c>
      <c r="R1307" s="202" t="s">
        <v>1027</v>
      </c>
      <c r="S1307" s="197" t="s">
        <v>101</v>
      </c>
      <c r="T1307" s="197" t="s">
        <v>4601</v>
      </c>
      <c r="U1307" s="201">
        <v>42146</v>
      </c>
      <c r="V1307" s="202" t="s">
        <v>186</v>
      </c>
      <c r="W1307" s="204">
        <f t="shared" si="710"/>
        <v>0</v>
      </c>
      <c r="X1307" s="204" t="str">
        <f t="shared" si="711"/>
        <v>Correcto</v>
      </c>
    </row>
    <row r="1308" spans="1:24" ht="18" customHeight="1" x14ac:dyDescent="0.25">
      <c r="A1308" s="205">
        <v>1299</v>
      </c>
      <c r="B1308" s="197" t="s">
        <v>4602</v>
      </c>
      <c r="C1308" s="198">
        <v>42136</v>
      </c>
      <c r="D1308" s="199">
        <v>2</v>
      </c>
      <c r="E1308" s="200" t="s">
        <v>93</v>
      </c>
      <c r="F1308" s="197" t="s">
        <v>825</v>
      </c>
      <c r="G1308" s="200" t="s">
        <v>202</v>
      </c>
      <c r="H1308" s="201">
        <v>42139</v>
      </c>
      <c r="I1308" s="200" t="s">
        <v>187</v>
      </c>
      <c r="J1308" s="200" t="s">
        <v>103</v>
      </c>
      <c r="K1308" s="200" t="s">
        <v>4603</v>
      </c>
      <c r="L1308" s="201">
        <v>42139</v>
      </c>
      <c r="M1308" s="197" t="s">
        <v>824</v>
      </c>
      <c r="N1308" s="202" t="s">
        <v>185</v>
      </c>
      <c r="O1308" s="201">
        <v>42139</v>
      </c>
      <c r="P1308" s="203">
        <f t="shared" si="709"/>
        <v>3</v>
      </c>
      <c r="Q1308" s="200" t="s">
        <v>4603</v>
      </c>
      <c r="R1308" s="202" t="s">
        <v>605</v>
      </c>
      <c r="S1308" s="197" t="s">
        <v>101</v>
      </c>
      <c r="T1308" s="197" t="s">
        <v>4604</v>
      </c>
      <c r="U1308" s="201">
        <v>42139</v>
      </c>
      <c r="V1308" s="202" t="s">
        <v>186</v>
      </c>
      <c r="W1308" s="204">
        <f t="shared" si="710"/>
        <v>0</v>
      </c>
      <c r="X1308" s="204" t="str">
        <f t="shared" si="711"/>
        <v>Correcto</v>
      </c>
    </row>
    <row r="1309" spans="1:24" ht="18" customHeight="1" x14ac:dyDescent="0.25">
      <c r="A1309" s="205">
        <v>1300</v>
      </c>
      <c r="B1309" s="197" t="s">
        <v>4605</v>
      </c>
      <c r="C1309" s="198">
        <v>42136</v>
      </c>
      <c r="D1309" s="199">
        <v>2</v>
      </c>
      <c r="E1309" s="200" t="s">
        <v>93</v>
      </c>
      <c r="F1309" s="197" t="s">
        <v>1654</v>
      </c>
      <c r="G1309" s="200" t="s">
        <v>202</v>
      </c>
      <c r="H1309" s="201">
        <v>42138</v>
      </c>
      <c r="I1309" s="200" t="s">
        <v>187</v>
      </c>
      <c r="J1309" s="200" t="s">
        <v>103</v>
      </c>
      <c r="K1309" s="200" t="s">
        <v>4606</v>
      </c>
      <c r="L1309" s="201">
        <v>42138</v>
      </c>
      <c r="M1309" s="197" t="s">
        <v>1914</v>
      </c>
      <c r="N1309" s="202" t="s">
        <v>185</v>
      </c>
      <c r="O1309" s="201">
        <v>42138</v>
      </c>
      <c r="P1309" s="203">
        <f t="shared" si="709"/>
        <v>2</v>
      </c>
      <c r="Q1309" s="200" t="s">
        <v>4606</v>
      </c>
      <c r="R1309" s="202" t="s">
        <v>17</v>
      </c>
      <c r="S1309" s="197" t="s">
        <v>104</v>
      </c>
      <c r="T1309" s="197">
        <v>1900242759</v>
      </c>
      <c r="U1309" s="201">
        <v>42139</v>
      </c>
      <c r="V1309" s="202" t="s">
        <v>186</v>
      </c>
      <c r="W1309" s="204">
        <f t="shared" si="710"/>
        <v>0</v>
      </c>
      <c r="X1309" s="204" t="str">
        <f t="shared" si="711"/>
        <v>Correcto</v>
      </c>
    </row>
    <row r="1310" spans="1:24" ht="18" customHeight="1" x14ac:dyDescent="0.25">
      <c r="A1310" s="205">
        <v>1301</v>
      </c>
      <c r="B1310" s="197" t="s">
        <v>4607</v>
      </c>
      <c r="C1310" s="198">
        <v>42136</v>
      </c>
      <c r="D1310" s="199">
        <v>2</v>
      </c>
      <c r="E1310" s="200" t="s">
        <v>93</v>
      </c>
      <c r="F1310" s="197" t="s">
        <v>1654</v>
      </c>
      <c r="G1310" s="200" t="s">
        <v>202</v>
      </c>
      <c r="H1310" s="201">
        <v>42142</v>
      </c>
      <c r="I1310" s="200" t="s">
        <v>187</v>
      </c>
      <c r="J1310" s="200" t="s">
        <v>103</v>
      </c>
      <c r="K1310" s="200" t="s">
        <v>4608</v>
      </c>
      <c r="L1310" s="201">
        <v>42142</v>
      </c>
      <c r="M1310" s="197" t="s">
        <v>1914</v>
      </c>
      <c r="N1310" s="202" t="s">
        <v>185</v>
      </c>
      <c r="O1310" s="201">
        <v>42145</v>
      </c>
      <c r="P1310" s="203">
        <f t="shared" si="709"/>
        <v>9</v>
      </c>
      <c r="Q1310" s="200" t="s">
        <v>4609</v>
      </c>
      <c r="R1310" s="202" t="s">
        <v>17</v>
      </c>
      <c r="S1310" s="197" t="s">
        <v>101</v>
      </c>
      <c r="T1310" s="197" t="s">
        <v>101</v>
      </c>
      <c r="U1310" s="201">
        <v>42149</v>
      </c>
      <c r="V1310" s="202" t="s">
        <v>186</v>
      </c>
      <c r="W1310" s="204">
        <f t="shared" si="710"/>
        <v>0</v>
      </c>
      <c r="X1310" s="204" t="str">
        <f t="shared" si="711"/>
        <v>Correcto</v>
      </c>
    </row>
    <row r="1311" spans="1:24" ht="18" customHeight="1" x14ac:dyDescent="0.25">
      <c r="A1311" s="205">
        <v>1302</v>
      </c>
      <c r="B1311" s="197" t="s">
        <v>4610</v>
      </c>
      <c r="C1311" s="198">
        <v>42136</v>
      </c>
      <c r="D1311" s="199">
        <v>75</v>
      </c>
      <c r="E1311" s="200" t="s">
        <v>93</v>
      </c>
      <c r="F1311" s="197" t="s">
        <v>1654</v>
      </c>
      <c r="G1311" s="200" t="s">
        <v>202</v>
      </c>
      <c r="H1311" s="201">
        <v>42144</v>
      </c>
      <c r="I1311" s="200" t="s">
        <v>187</v>
      </c>
      <c r="J1311" s="200" t="s">
        <v>103</v>
      </c>
      <c r="K1311" s="200" t="s">
        <v>4611</v>
      </c>
      <c r="L1311" s="201">
        <v>42144</v>
      </c>
      <c r="M1311" s="197" t="s">
        <v>1914</v>
      </c>
      <c r="N1311" s="202" t="s">
        <v>185</v>
      </c>
      <c r="O1311" s="201">
        <v>42144</v>
      </c>
      <c r="P1311" s="203">
        <f t="shared" si="709"/>
        <v>8</v>
      </c>
      <c r="Q1311" s="200" t="s">
        <v>4611</v>
      </c>
      <c r="R1311" s="202" t="s">
        <v>17</v>
      </c>
      <c r="S1311" s="197" t="s">
        <v>104</v>
      </c>
      <c r="T1311" s="197">
        <v>1104469364</v>
      </c>
      <c r="U1311" s="201">
        <v>42144</v>
      </c>
      <c r="V1311" s="202" t="s">
        <v>186</v>
      </c>
      <c r="W1311" s="204">
        <f t="shared" si="710"/>
        <v>0</v>
      </c>
      <c r="X1311" s="204" t="str">
        <f t="shared" si="711"/>
        <v>Correcto</v>
      </c>
    </row>
    <row r="1312" spans="1:24" ht="18" customHeight="1" x14ac:dyDescent="0.25">
      <c r="A1312" s="205">
        <v>1303</v>
      </c>
      <c r="B1312" s="197" t="s">
        <v>4612</v>
      </c>
      <c r="C1312" s="198">
        <v>42136</v>
      </c>
      <c r="D1312" s="199">
        <v>2</v>
      </c>
      <c r="E1312" s="200" t="s">
        <v>93</v>
      </c>
      <c r="F1312" s="197" t="s">
        <v>1654</v>
      </c>
      <c r="G1312" s="200" t="s">
        <v>202</v>
      </c>
      <c r="H1312" s="201">
        <v>42138</v>
      </c>
      <c r="I1312" s="200" t="s">
        <v>187</v>
      </c>
      <c r="J1312" s="200" t="s">
        <v>103</v>
      </c>
      <c r="K1312" s="200" t="s">
        <v>4613</v>
      </c>
      <c r="L1312" s="201">
        <v>42138</v>
      </c>
      <c r="M1312" s="197" t="s">
        <v>1914</v>
      </c>
      <c r="N1312" s="202" t="s">
        <v>185</v>
      </c>
      <c r="O1312" s="201">
        <v>42138</v>
      </c>
      <c r="P1312" s="203">
        <f t="shared" si="709"/>
        <v>2</v>
      </c>
      <c r="Q1312" s="200" t="s">
        <v>4613</v>
      </c>
      <c r="R1312" s="202" t="s">
        <v>17</v>
      </c>
      <c r="S1312" s="197" t="s">
        <v>104</v>
      </c>
      <c r="T1312" s="197">
        <v>1105160038</v>
      </c>
      <c r="U1312" s="201">
        <v>42139</v>
      </c>
      <c r="V1312" s="202" t="s">
        <v>186</v>
      </c>
      <c r="W1312" s="204">
        <f t="shared" si="710"/>
        <v>0</v>
      </c>
      <c r="X1312" s="204" t="str">
        <f t="shared" si="711"/>
        <v>Correcto</v>
      </c>
    </row>
    <row r="1313" spans="1:24" ht="18" customHeight="1" x14ac:dyDescent="0.25">
      <c r="A1313" s="205">
        <v>1304</v>
      </c>
      <c r="B1313" s="197" t="s">
        <v>4614</v>
      </c>
      <c r="C1313" s="198">
        <v>42136</v>
      </c>
      <c r="D1313" s="199">
        <v>2</v>
      </c>
      <c r="E1313" s="200" t="s">
        <v>93</v>
      </c>
      <c r="F1313" s="197" t="s">
        <v>1654</v>
      </c>
      <c r="G1313" s="200" t="s">
        <v>202</v>
      </c>
      <c r="H1313" s="201">
        <v>42138</v>
      </c>
      <c r="I1313" s="200" t="s">
        <v>187</v>
      </c>
      <c r="J1313" s="200" t="s">
        <v>103</v>
      </c>
      <c r="K1313" s="200" t="s">
        <v>4615</v>
      </c>
      <c r="L1313" s="201">
        <v>42138</v>
      </c>
      <c r="M1313" s="197" t="s">
        <v>1914</v>
      </c>
      <c r="N1313" s="202" t="s">
        <v>185</v>
      </c>
      <c r="O1313" s="201">
        <v>42138</v>
      </c>
      <c r="P1313" s="203">
        <f t="shared" si="709"/>
        <v>2</v>
      </c>
      <c r="Q1313" s="200" t="s">
        <v>4615</v>
      </c>
      <c r="R1313" s="202" t="s">
        <v>17</v>
      </c>
      <c r="S1313" s="197" t="s">
        <v>104</v>
      </c>
      <c r="T1313" s="197">
        <v>1103566236</v>
      </c>
      <c r="U1313" s="201">
        <v>42139</v>
      </c>
      <c r="V1313" s="202" t="s">
        <v>186</v>
      </c>
      <c r="W1313" s="204">
        <f t="shared" si="710"/>
        <v>0</v>
      </c>
      <c r="X1313" s="204" t="str">
        <f t="shared" si="711"/>
        <v>Correcto</v>
      </c>
    </row>
    <row r="1314" spans="1:24" ht="18" customHeight="1" x14ac:dyDescent="0.25">
      <c r="A1314" s="205">
        <v>1305</v>
      </c>
      <c r="B1314" s="197" t="s">
        <v>4616</v>
      </c>
      <c r="C1314" s="198">
        <v>42136</v>
      </c>
      <c r="D1314" s="199">
        <v>2</v>
      </c>
      <c r="E1314" s="200" t="s">
        <v>93</v>
      </c>
      <c r="F1314" s="197" t="s">
        <v>1654</v>
      </c>
      <c r="G1314" s="200" t="s">
        <v>202</v>
      </c>
      <c r="H1314" s="201">
        <v>42138</v>
      </c>
      <c r="I1314" s="200" t="s">
        <v>187</v>
      </c>
      <c r="J1314" s="200" t="s">
        <v>103</v>
      </c>
      <c r="K1314" s="200" t="s">
        <v>4617</v>
      </c>
      <c r="L1314" s="201">
        <v>42138</v>
      </c>
      <c r="M1314" s="197" t="s">
        <v>1914</v>
      </c>
      <c r="N1314" s="202" t="s">
        <v>185</v>
      </c>
      <c r="O1314" s="201">
        <v>42138</v>
      </c>
      <c r="P1314" s="203">
        <f t="shared" si="709"/>
        <v>2</v>
      </c>
      <c r="Q1314" s="200" t="s">
        <v>4617</v>
      </c>
      <c r="R1314" s="202" t="s">
        <v>17</v>
      </c>
      <c r="S1314" s="197" t="s">
        <v>104</v>
      </c>
      <c r="T1314" s="197">
        <v>1105026874</v>
      </c>
      <c r="U1314" s="201">
        <v>42139</v>
      </c>
      <c r="V1314" s="202" t="s">
        <v>186</v>
      </c>
      <c r="W1314" s="204">
        <f t="shared" si="710"/>
        <v>0</v>
      </c>
      <c r="X1314" s="204" t="str">
        <f t="shared" si="711"/>
        <v>Correcto</v>
      </c>
    </row>
    <row r="1315" spans="1:24" ht="18" customHeight="1" x14ac:dyDescent="0.25">
      <c r="A1315" s="205">
        <v>1306</v>
      </c>
      <c r="B1315" s="197" t="s">
        <v>4618</v>
      </c>
      <c r="C1315" s="198">
        <v>42137</v>
      </c>
      <c r="D1315" s="199">
        <v>2</v>
      </c>
      <c r="E1315" s="200" t="s">
        <v>93</v>
      </c>
      <c r="F1315" s="197" t="s">
        <v>1654</v>
      </c>
      <c r="G1315" s="200" t="s">
        <v>202</v>
      </c>
      <c r="H1315" s="201">
        <v>42142</v>
      </c>
      <c r="I1315" s="200" t="s">
        <v>187</v>
      </c>
      <c r="J1315" s="200" t="s">
        <v>103</v>
      </c>
      <c r="K1315" s="200" t="s">
        <v>4619</v>
      </c>
      <c r="L1315" s="201">
        <v>42142</v>
      </c>
      <c r="M1315" s="197" t="s">
        <v>1914</v>
      </c>
      <c r="N1315" s="202" t="s">
        <v>185</v>
      </c>
      <c r="O1315" s="201">
        <v>42145</v>
      </c>
      <c r="P1315" s="203">
        <f t="shared" si="709"/>
        <v>8</v>
      </c>
      <c r="Q1315" s="200" t="s">
        <v>4620</v>
      </c>
      <c r="R1315" s="202" t="s">
        <v>17</v>
      </c>
      <c r="S1315" s="197" t="s">
        <v>101</v>
      </c>
      <c r="T1315" s="197" t="s">
        <v>101</v>
      </c>
      <c r="U1315" s="201">
        <v>42149</v>
      </c>
      <c r="V1315" s="202" t="s">
        <v>186</v>
      </c>
      <c r="W1315" s="204">
        <f t="shared" si="710"/>
        <v>0</v>
      </c>
      <c r="X1315" s="204" t="str">
        <f t="shared" si="711"/>
        <v>Correcto</v>
      </c>
    </row>
    <row r="1316" spans="1:24" ht="18" customHeight="1" x14ac:dyDescent="0.25">
      <c r="A1316" s="205">
        <v>1307</v>
      </c>
      <c r="B1316" s="197" t="s">
        <v>4621</v>
      </c>
      <c r="C1316" s="198">
        <v>42137</v>
      </c>
      <c r="D1316" s="199">
        <v>2</v>
      </c>
      <c r="E1316" s="200" t="s">
        <v>93</v>
      </c>
      <c r="F1316" s="197" t="s">
        <v>1654</v>
      </c>
      <c r="G1316" s="200" t="s">
        <v>202</v>
      </c>
      <c r="H1316" s="201">
        <v>42142</v>
      </c>
      <c r="I1316" s="200" t="s">
        <v>187</v>
      </c>
      <c r="J1316" s="200" t="s">
        <v>103</v>
      </c>
      <c r="K1316" s="200" t="s">
        <v>4622</v>
      </c>
      <c r="L1316" s="201">
        <v>42142</v>
      </c>
      <c r="M1316" s="197" t="s">
        <v>1914</v>
      </c>
      <c r="N1316" s="202" t="s">
        <v>185</v>
      </c>
      <c r="O1316" s="201">
        <v>42145</v>
      </c>
      <c r="P1316" s="203">
        <f t="shared" si="709"/>
        <v>8</v>
      </c>
      <c r="Q1316" s="200" t="s">
        <v>4623</v>
      </c>
      <c r="R1316" s="202" t="s">
        <v>17</v>
      </c>
      <c r="S1316" s="197" t="s">
        <v>101</v>
      </c>
      <c r="T1316" s="197" t="s">
        <v>101</v>
      </c>
      <c r="U1316" s="201">
        <v>42149</v>
      </c>
      <c r="V1316" s="202" t="s">
        <v>186</v>
      </c>
      <c r="W1316" s="204">
        <f t="shared" si="710"/>
        <v>0</v>
      </c>
      <c r="X1316" s="204" t="str">
        <f t="shared" si="711"/>
        <v>Correcto</v>
      </c>
    </row>
    <row r="1317" spans="1:24" ht="18" customHeight="1" x14ac:dyDescent="0.25">
      <c r="A1317" s="205">
        <v>1308</v>
      </c>
      <c r="B1317" s="197" t="s">
        <v>4624</v>
      </c>
      <c r="C1317" s="198">
        <v>42137</v>
      </c>
      <c r="D1317" s="199">
        <v>2</v>
      </c>
      <c r="E1317" s="200" t="s">
        <v>93</v>
      </c>
      <c r="F1317" s="197" t="s">
        <v>1654</v>
      </c>
      <c r="G1317" s="200" t="s">
        <v>202</v>
      </c>
      <c r="H1317" s="201">
        <v>42142</v>
      </c>
      <c r="I1317" s="200" t="s">
        <v>187</v>
      </c>
      <c r="J1317" s="200" t="s">
        <v>103</v>
      </c>
      <c r="K1317" s="200" t="s">
        <v>4625</v>
      </c>
      <c r="L1317" s="201">
        <v>42142</v>
      </c>
      <c r="M1317" s="197" t="s">
        <v>1914</v>
      </c>
      <c r="N1317" s="202" t="s">
        <v>185</v>
      </c>
      <c r="O1317" s="201">
        <v>42145</v>
      </c>
      <c r="P1317" s="203">
        <f t="shared" si="709"/>
        <v>8</v>
      </c>
      <c r="Q1317" s="200" t="s">
        <v>4626</v>
      </c>
      <c r="R1317" s="202" t="s">
        <v>17</v>
      </c>
      <c r="S1317" s="197" t="s">
        <v>101</v>
      </c>
      <c r="T1317" s="197" t="s">
        <v>101</v>
      </c>
      <c r="U1317" s="201">
        <v>42149</v>
      </c>
      <c r="V1317" s="202" t="s">
        <v>186</v>
      </c>
      <c r="W1317" s="204">
        <f t="shared" si="710"/>
        <v>0</v>
      </c>
      <c r="X1317" s="204" t="str">
        <f t="shared" si="711"/>
        <v>Correcto</v>
      </c>
    </row>
    <row r="1318" spans="1:24" ht="18" customHeight="1" x14ac:dyDescent="0.25">
      <c r="A1318" s="205">
        <v>1309</v>
      </c>
      <c r="B1318" s="197" t="s">
        <v>4627</v>
      </c>
      <c r="C1318" s="198">
        <v>42137</v>
      </c>
      <c r="D1318" s="199">
        <v>2</v>
      </c>
      <c r="E1318" s="200" t="s">
        <v>93</v>
      </c>
      <c r="F1318" s="197" t="s">
        <v>1654</v>
      </c>
      <c r="G1318" s="200" t="s">
        <v>202</v>
      </c>
      <c r="H1318" s="201">
        <v>42142</v>
      </c>
      <c r="I1318" s="200" t="s">
        <v>187</v>
      </c>
      <c r="J1318" s="200" t="s">
        <v>103</v>
      </c>
      <c r="K1318" s="200" t="s">
        <v>4628</v>
      </c>
      <c r="L1318" s="201">
        <v>42142</v>
      </c>
      <c r="M1318" s="197" t="s">
        <v>1914</v>
      </c>
      <c r="N1318" s="202" t="s">
        <v>185</v>
      </c>
      <c r="O1318" s="201">
        <v>42145</v>
      </c>
      <c r="P1318" s="203">
        <f t="shared" si="709"/>
        <v>8</v>
      </c>
      <c r="Q1318" s="200" t="s">
        <v>4629</v>
      </c>
      <c r="R1318" s="202" t="s">
        <v>17</v>
      </c>
      <c r="S1318" s="197" t="s">
        <v>101</v>
      </c>
      <c r="T1318" s="197" t="s">
        <v>101</v>
      </c>
      <c r="U1318" s="201">
        <v>42149</v>
      </c>
      <c r="V1318" s="202" t="s">
        <v>186</v>
      </c>
      <c r="W1318" s="204">
        <f t="shared" si="710"/>
        <v>0</v>
      </c>
      <c r="X1318" s="204" t="str">
        <f t="shared" si="711"/>
        <v>Correcto</v>
      </c>
    </row>
    <row r="1319" spans="1:24" ht="18" customHeight="1" x14ac:dyDescent="0.25">
      <c r="A1319" s="205">
        <v>1310</v>
      </c>
      <c r="B1319" s="197" t="s">
        <v>4630</v>
      </c>
      <c r="C1319" s="198">
        <v>42137</v>
      </c>
      <c r="D1319" s="199">
        <v>2</v>
      </c>
      <c r="E1319" s="200" t="s">
        <v>93</v>
      </c>
      <c r="F1319" s="197" t="s">
        <v>1654</v>
      </c>
      <c r="G1319" s="200" t="s">
        <v>202</v>
      </c>
      <c r="H1319" s="201">
        <v>42143</v>
      </c>
      <c r="I1319" s="200" t="s">
        <v>187</v>
      </c>
      <c r="J1319" s="200" t="s">
        <v>103</v>
      </c>
      <c r="K1319" s="200" t="s">
        <v>4631</v>
      </c>
      <c r="L1319" s="201">
        <v>42143</v>
      </c>
      <c r="M1319" s="197" t="s">
        <v>1914</v>
      </c>
      <c r="N1319" s="202" t="s">
        <v>185</v>
      </c>
      <c r="O1319" s="201">
        <v>42143</v>
      </c>
      <c r="P1319" s="203">
        <f t="shared" si="709"/>
        <v>6</v>
      </c>
      <c r="Q1319" s="200" t="s">
        <v>4631</v>
      </c>
      <c r="R1319" s="202" t="s">
        <v>17</v>
      </c>
      <c r="S1319" s="197" t="s">
        <v>104</v>
      </c>
      <c r="T1319" s="197">
        <v>1102421367</v>
      </c>
      <c r="U1319" s="201">
        <v>42144</v>
      </c>
      <c r="V1319" s="202" t="s">
        <v>186</v>
      </c>
      <c r="W1319" s="204">
        <f t="shared" si="710"/>
        <v>0</v>
      </c>
      <c r="X1319" s="204" t="str">
        <f t="shared" si="711"/>
        <v>Correcto</v>
      </c>
    </row>
    <row r="1320" spans="1:24" ht="18" customHeight="1" x14ac:dyDescent="0.25">
      <c r="A1320" s="205">
        <v>1311</v>
      </c>
      <c r="B1320" s="197" t="s">
        <v>4632</v>
      </c>
      <c r="C1320" s="198">
        <v>42137</v>
      </c>
      <c r="D1320" s="199">
        <v>2</v>
      </c>
      <c r="E1320" s="200" t="s">
        <v>93</v>
      </c>
      <c r="F1320" s="197" t="s">
        <v>1654</v>
      </c>
      <c r="G1320" s="200" t="s">
        <v>202</v>
      </c>
      <c r="H1320" s="201">
        <v>42138</v>
      </c>
      <c r="I1320" s="200" t="s">
        <v>187</v>
      </c>
      <c r="J1320" s="200" t="s">
        <v>103</v>
      </c>
      <c r="K1320" s="200" t="s">
        <v>4633</v>
      </c>
      <c r="L1320" s="201">
        <v>42138</v>
      </c>
      <c r="M1320" s="197" t="s">
        <v>1914</v>
      </c>
      <c r="N1320" s="202" t="s">
        <v>185</v>
      </c>
      <c r="O1320" s="201">
        <v>42138</v>
      </c>
      <c r="P1320" s="203">
        <f t="shared" si="709"/>
        <v>1</v>
      </c>
      <c r="Q1320" s="200" t="s">
        <v>4633</v>
      </c>
      <c r="R1320" s="202" t="s">
        <v>17</v>
      </c>
      <c r="S1320" s="197" t="s">
        <v>104</v>
      </c>
      <c r="T1320" s="197">
        <v>1103307888</v>
      </c>
      <c r="U1320" s="201">
        <v>42139</v>
      </c>
      <c r="V1320" s="202" t="s">
        <v>186</v>
      </c>
      <c r="W1320" s="204">
        <f t="shared" si="710"/>
        <v>0</v>
      </c>
      <c r="X1320" s="204" t="str">
        <f t="shared" si="711"/>
        <v>Correcto</v>
      </c>
    </row>
    <row r="1321" spans="1:24" ht="18" customHeight="1" x14ac:dyDescent="0.25">
      <c r="A1321" s="205">
        <v>1312</v>
      </c>
      <c r="B1321" s="197" t="s">
        <v>4634</v>
      </c>
      <c r="C1321" s="198">
        <v>42137</v>
      </c>
      <c r="D1321" s="199">
        <v>2</v>
      </c>
      <c r="E1321" s="200" t="s">
        <v>93</v>
      </c>
      <c r="F1321" s="197" t="s">
        <v>825</v>
      </c>
      <c r="G1321" s="200" t="s">
        <v>202</v>
      </c>
      <c r="H1321" s="201">
        <v>42138</v>
      </c>
      <c r="I1321" s="200" t="s">
        <v>187</v>
      </c>
      <c r="J1321" s="200" t="s">
        <v>103</v>
      </c>
      <c r="K1321" s="200" t="s">
        <v>4635</v>
      </c>
      <c r="L1321" s="201">
        <v>42138</v>
      </c>
      <c r="M1321" s="197" t="s">
        <v>824</v>
      </c>
      <c r="N1321" s="202" t="s">
        <v>185</v>
      </c>
      <c r="O1321" s="201">
        <v>42138</v>
      </c>
      <c r="P1321" s="203">
        <f t="shared" si="709"/>
        <v>1</v>
      </c>
      <c r="Q1321" s="200" t="s">
        <v>4635</v>
      </c>
      <c r="R1321" s="202" t="s">
        <v>17</v>
      </c>
      <c r="S1321" s="197" t="s">
        <v>104</v>
      </c>
      <c r="T1321" s="197">
        <v>1103862643</v>
      </c>
      <c r="U1321" s="201">
        <v>42143</v>
      </c>
      <c r="V1321" s="202" t="s">
        <v>186</v>
      </c>
      <c r="W1321" s="204">
        <f t="shared" si="710"/>
        <v>0</v>
      </c>
      <c r="X1321" s="204" t="str">
        <f t="shared" si="711"/>
        <v>Correcto</v>
      </c>
    </row>
    <row r="1322" spans="1:24" ht="18" customHeight="1" x14ac:dyDescent="0.25">
      <c r="A1322" s="205">
        <v>1313</v>
      </c>
      <c r="B1322" s="197" t="s">
        <v>4636</v>
      </c>
      <c r="C1322" s="198">
        <v>42137</v>
      </c>
      <c r="D1322" s="199">
        <v>2</v>
      </c>
      <c r="E1322" s="200" t="s">
        <v>93</v>
      </c>
      <c r="F1322" s="197" t="s">
        <v>1654</v>
      </c>
      <c r="G1322" s="200" t="s">
        <v>202</v>
      </c>
      <c r="H1322" s="201">
        <v>42139</v>
      </c>
      <c r="I1322" s="200" t="s">
        <v>187</v>
      </c>
      <c r="J1322" s="200" t="s">
        <v>103</v>
      </c>
      <c r="K1322" s="200" t="s">
        <v>4637</v>
      </c>
      <c r="L1322" s="201">
        <v>42139</v>
      </c>
      <c r="M1322" s="197" t="s">
        <v>1914</v>
      </c>
      <c r="N1322" s="202" t="s">
        <v>185</v>
      </c>
      <c r="O1322" s="201">
        <v>42139</v>
      </c>
      <c r="P1322" s="203">
        <f t="shared" si="709"/>
        <v>2</v>
      </c>
      <c r="Q1322" s="200" t="s">
        <v>4637</v>
      </c>
      <c r="R1322" s="202" t="s">
        <v>17</v>
      </c>
      <c r="S1322" s="197" t="s">
        <v>104</v>
      </c>
      <c r="T1322" s="197">
        <v>1103677900</v>
      </c>
      <c r="U1322" s="201">
        <v>42139</v>
      </c>
      <c r="V1322" s="202" t="s">
        <v>186</v>
      </c>
      <c r="W1322" s="204">
        <f t="shared" si="710"/>
        <v>0</v>
      </c>
      <c r="X1322" s="204" t="str">
        <f t="shared" si="711"/>
        <v>Correcto</v>
      </c>
    </row>
    <row r="1323" spans="1:24" ht="18" customHeight="1" x14ac:dyDescent="0.25">
      <c r="A1323" s="205">
        <v>1314</v>
      </c>
      <c r="B1323" s="197" t="s">
        <v>4638</v>
      </c>
      <c r="C1323" s="198">
        <v>42137</v>
      </c>
      <c r="D1323" s="199">
        <v>2</v>
      </c>
      <c r="E1323" s="200" t="s">
        <v>93</v>
      </c>
      <c r="F1323" s="197" t="s">
        <v>1654</v>
      </c>
      <c r="G1323" s="200" t="s">
        <v>202</v>
      </c>
      <c r="H1323" s="201">
        <v>42139</v>
      </c>
      <c r="I1323" s="200" t="s">
        <v>187</v>
      </c>
      <c r="J1323" s="200" t="s">
        <v>103</v>
      </c>
      <c r="K1323" s="200" t="s">
        <v>4639</v>
      </c>
      <c r="L1323" s="201">
        <v>42139</v>
      </c>
      <c r="M1323" s="197" t="s">
        <v>1914</v>
      </c>
      <c r="N1323" s="202" t="s">
        <v>185</v>
      </c>
      <c r="O1323" s="201">
        <v>42139</v>
      </c>
      <c r="P1323" s="203">
        <f t="shared" si="709"/>
        <v>2</v>
      </c>
      <c r="Q1323" s="200" t="s">
        <v>4639</v>
      </c>
      <c r="R1323" s="202" t="s">
        <v>17</v>
      </c>
      <c r="S1323" s="197" t="s">
        <v>104</v>
      </c>
      <c r="T1323" s="197">
        <v>1104132210</v>
      </c>
      <c r="U1323" s="201">
        <v>42139</v>
      </c>
      <c r="V1323" s="202" t="s">
        <v>186</v>
      </c>
      <c r="W1323" s="204">
        <f t="shared" si="710"/>
        <v>0</v>
      </c>
      <c r="X1323" s="204" t="str">
        <f t="shared" si="711"/>
        <v>Correcto</v>
      </c>
    </row>
    <row r="1324" spans="1:24" ht="18" customHeight="1" x14ac:dyDescent="0.25">
      <c r="A1324" s="205">
        <v>1315</v>
      </c>
      <c r="B1324" s="197" t="s">
        <v>4640</v>
      </c>
      <c r="C1324" s="198">
        <v>42137</v>
      </c>
      <c r="D1324" s="199">
        <v>2</v>
      </c>
      <c r="E1324" s="200" t="s">
        <v>93</v>
      </c>
      <c r="F1324" s="197" t="s">
        <v>1654</v>
      </c>
      <c r="G1324" s="200" t="s">
        <v>202</v>
      </c>
      <c r="H1324" s="201">
        <v>42139</v>
      </c>
      <c r="I1324" s="200" t="s">
        <v>187</v>
      </c>
      <c r="J1324" s="200" t="s">
        <v>103</v>
      </c>
      <c r="K1324" s="200" t="s">
        <v>4641</v>
      </c>
      <c r="L1324" s="201">
        <v>42139</v>
      </c>
      <c r="M1324" s="197" t="s">
        <v>1914</v>
      </c>
      <c r="N1324" s="202" t="s">
        <v>185</v>
      </c>
      <c r="O1324" s="201">
        <v>42139</v>
      </c>
      <c r="P1324" s="203">
        <f t="shared" si="709"/>
        <v>2</v>
      </c>
      <c r="Q1324" s="200" t="s">
        <v>4641</v>
      </c>
      <c r="R1324" s="202" t="s">
        <v>17</v>
      </c>
      <c r="S1324" s="197" t="s">
        <v>104</v>
      </c>
      <c r="T1324" s="197">
        <v>1105882490</v>
      </c>
      <c r="U1324" s="201">
        <v>42139</v>
      </c>
      <c r="V1324" s="202" t="s">
        <v>186</v>
      </c>
      <c r="W1324" s="204">
        <f t="shared" si="710"/>
        <v>0</v>
      </c>
      <c r="X1324" s="204" t="str">
        <f t="shared" si="711"/>
        <v>Correcto</v>
      </c>
    </row>
    <row r="1325" spans="1:24" ht="18" customHeight="1" x14ac:dyDescent="0.25">
      <c r="A1325" s="205">
        <v>1316</v>
      </c>
      <c r="B1325" s="197" t="s">
        <v>4642</v>
      </c>
      <c r="C1325" s="198">
        <v>42137</v>
      </c>
      <c r="D1325" s="199">
        <v>2</v>
      </c>
      <c r="E1325" s="200" t="s">
        <v>93</v>
      </c>
      <c r="F1325" s="197" t="s">
        <v>1654</v>
      </c>
      <c r="G1325" s="200" t="s">
        <v>202</v>
      </c>
      <c r="H1325" s="201">
        <v>42138</v>
      </c>
      <c r="I1325" s="200" t="s">
        <v>187</v>
      </c>
      <c r="J1325" s="200" t="s">
        <v>103</v>
      </c>
      <c r="K1325" s="200" t="s">
        <v>4643</v>
      </c>
      <c r="L1325" s="201">
        <v>42138</v>
      </c>
      <c r="M1325" s="197" t="s">
        <v>1914</v>
      </c>
      <c r="N1325" s="202" t="s">
        <v>185</v>
      </c>
      <c r="O1325" s="201">
        <v>42138</v>
      </c>
      <c r="P1325" s="203">
        <f t="shared" si="709"/>
        <v>1</v>
      </c>
      <c r="Q1325" s="200" t="s">
        <v>4643</v>
      </c>
      <c r="R1325" s="202" t="s">
        <v>17</v>
      </c>
      <c r="S1325" s="197" t="s">
        <v>104</v>
      </c>
      <c r="T1325" s="197">
        <v>1103183909</v>
      </c>
      <c r="U1325" s="201">
        <v>42142</v>
      </c>
      <c r="V1325" s="202" t="s">
        <v>186</v>
      </c>
      <c r="W1325" s="204">
        <f t="shared" si="710"/>
        <v>0</v>
      </c>
      <c r="X1325" s="204" t="str">
        <f t="shared" si="711"/>
        <v>Correcto</v>
      </c>
    </row>
    <row r="1326" spans="1:24" ht="18" customHeight="1" x14ac:dyDescent="0.25">
      <c r="A1326" s="205">
        <v>1317</v>
      </c>
      <c r="B1326" s="197" t="s">
        <v>4644</v>
      </c>
      <c r="C1326" s="198">
        <v>42138</v>
      </c>
      <c r="D1326" s="199">
        <v>2</v>
      </c>
      <c r="E1326" s="200" t="s">
        <v>93</v>
      </c>
      <c r="F1326" s="197" t="s">
        <v>1654</v>
      </c>
      <c r="G1326" s="200" t="s">
        <v>202</v>
      </c>
      <c r="H1326" s="201">
        <v>42143</v>
      </c>
      <c r="I1326" s="200" t="s">
        <v>187</v>
      </c>
      <c r="J1326" s="200" t="s">
        <v>103</v>
      </c>
      <c r="K1326" s="200" t="s">
        <v>4645</v>
      </c>
      <c r="L1326" s="201">
        <v>42143</v>
      </c>
      <c r="M1326" s="197" t="s">
        <v>1914</v>
      </c>
      <c r="N1326" s="202" t="s">
        <v>185</v>
      </c>
      <c r="O1326" s="201">
        <v>42143</v>
      </c>
      <c r="P1326" s="203">
        <f t="shared" si="709"/>
        <v>5</v>
      </c>
      <c r="Q1326" s="200" t="s">
        <v>4645</v>
      </c>
      <c r="R1326" s="202" t="s">
        <v>17</v>
      </c>
      <c r="S1326" s="197" t="s">
        <v>104</v>
      </c>
      <c r="T1326" s="197">
        <v>1104928989</v>
      </c>
      <c r="U1326" s="201">
        <v>42143</v>
      </c>
      <c r="V1326" s="202" t="s">
        <v>186</v>
      </c>
      <c r="W1326" s="204">
        <f t="shared" si="710"/>
        <v>0</v>
      </c>
      <c r="X1326" s="204" t="str">
        <f t="shared" si="711"/>
        <v>Correcto</v>
      </c>
    </row>
    <row r="1327" spans="1:24" ht="18" customHeight="1" x14ac:dyDescent="0.25">
      <c r="A1327" s="205">
        <v>1318</v>
      </c>
      <c r="B1327" s="197" t="s">
        <v>4646</v>
      </c>
      <c r="C1327" s="198">
        <v>42138</v>
      </c>
      <c r="D1327" s="199">
        <v>2</v>
      </c>
      <c r="E1327" s="200" t="s">
        <v>93</v>
      </c>
      <c r="F1327" s="197" t="s">
        <v>1654</v>
      </c>
      <c r="G1327" s="200" t="s">
        <v>202</v>
      </c>
      <c r="H1327" s="201">
        <v>42143</v>
      </c>
      <c r="I1327" s="200" t="s">
        <v>187</v>
      </c>
      <c r="J1327" s="200" t="s">
        <v>103</v>
      </c>
      <c r="K1327" s="200" t="s">
        <v>4647</v>
      </c>
      <c r="L1327" s="201">
        <v>42143</v>
      </c>
      <c r="M1327" s="197" t="s">
        <v>1914</v>
      </c>
      <c r="N1327" s="202" t="s">
        <v>185</v>
      </c>
      <c r="O1327" s="201">
        <v>42143</v>
      </c>
      <c r="P1327" s="203">
        <f t="shared" si="709"/>
        <v>5</v>
      </c>
      <c r="Q1327" s="200" t="s">
        <v>4647</v>
      </c>
      <c r="R1327" s="202" t="s">
        <v>17</v>
      </c>
      <c r="S1327" s="197" t="s">
        <v>104</v>
      </c>
      <c r="T1327" s="197">
        <v>1100015955</v>
      </c>
      <c r="U1327" s="201">
        <v>42144</v>
      </c>
      <c r="V1327" s="202" t="s">
        <v>186</v>
      </c>
      <c r="W1327" s="204">
        <f t="shared" si="710"/>
        <v>0</v>
      </c>
      <c r="X1327" s="204" t="str">
        <f t="shared" si="711"/>
        <v>Correcto</v>
      </c>
    </row>
    <row r="1328" spans="1:24" ht="18" customHeight="1" x14ac:dyDescent="0.25">
      <c r="A1328" s="205">
        <v>1319</v>
      </c>
      <c r="B1328" s="197" t="s">
        <v>4648</v>
      </c>
      <c r="C1328" s="198">
        <v>42138</v>
      </c>
      <c r="D1328" s="199">
        <v>2</v>
      </c>
      <c r="E1328" s="200" t="s">
        <v>93</v>
      </c>
      <c r="F1328" s="197" t="s">
        <v>1654</v>
      </c>
      <c r="G1328" s="200" t="s">
        <v>202</v>
      </c>
      <c r="H1328" s="201">
        <v>42143</v>
      </c>
      <c r="I1328" s="200" t="s">
        <v>187</v>
      </c>
      <c r="J1328" s="200" t="s">
        <v>103</v>
      </c>
      <c r="K1328" s="200" t="s">
        <v>4649</v>
      </c>
      <c r="L1328" s="201">
        <v>42143</v>
      </c>
      <c r="M1328" s="197" t="s">
        <v>1914</v>
      </c>
      <c r="N1328" s="202" t="s">
        <v>185</v>
      </c>
      <c r="O1328" s="201">
        <v>42143</v>
      </c>
      <c r="P1328" s="203">
        <f t="shared" si="709"/>
        <v>5</v>
      </c>
      <c r="Q1328" s="200" t="s">
        <v>4649</v>
      </c>
      <c r="R1328" s="202" t="s">
        <v>17</v>
      </c>
      <c r="S1328" s="197" t="s">
        <v>104</v>
      </c>
      <c r="T1328" s="197">
        <v>1103013130</v>
      </c>
      <c r="U1328" s="201">
        <v>42144</v>
      </c>
      <c r="V1328" s="202" t="s">
        <v>186</v>
      </c>
      <c r="W1328" s="204">
        <f t="shared" si="710"/>
        <v>0</v>
      </c>
      <c r="X1328" s="204" t="str">
        <f t="shared" si="711"/>
        <v>Correcto</v>
      </c>
    </row>
    <row r="1329" spans="1:24" ht="18" customHeight="1" x14ac:dyDescent="0.25">
      <c r="A1329" s="205">
        <v>1320</v>
      </c>
      <c r="B1329" s="197" t="s">
        <v>4650</v>
      </c>
      <c r="C1329" s="198">
        <v>42138</v>
      </c>
      <c r="D1329" s="199">
        <v>2</v>
      </c>
      <c r="E1329" s="200" t="s">
        <v>93</v>
      </c>
      <c r="F1329" s="197" t="s">
        <v>1654</v>
      </c>
      <c r="G1329" s="200" t="s">
        <v>202</v>
      </c>
      <c r="H1329" s="201">
        <v>42143</v>
      </c>
      <c r="I1329" s="200" t="s">
        <v>187</v>
      </c>
      <c r="J1329" s="200" t="s">
        <v>103</v>
      </c>
      <c r="K1329" s="200" t="s">
        <v>4651</v>
      </c>
      <c r="L1329" s="201">
        <v>42143</v>
      </c>
      <c r="M1329" s="197" t="s">
        <v>1914</v>
      </c>
      <c r="N1329" s="202" t="s">
        <v>185</v>
      </c>
      <c r="O1329" s="201">
        <v>42143</v>
      </c>
      <c r="P1329" s="203">
        <f t="shared" si="709"/>
        <v>5</v>
      </c>
      <c r="Q1329" s="200" t="s">
        <v>4651</v>
      </c>
      <c r="R1329" s="202" t="s">
        <v>17</v>
      </c>
      <c r="S1329" s="197" t="s">
        <v>104</v>
      </c>
      <c r="T1329" s="197">
        <v>1103824427</v>
      </c>
      <c r="U1329" s="201">
        <v>42144</v>
      </c>
      <c r="V1329" s="202" t="s">
        <v>186</v>
      </c>
      <c r="W1329" s="204">
        <f t="shared" si="710"/>
        <v>0</v>
      </c>
      <c r="X1329" s="204" t="str">
        <f t="shared" si="711"/>
        <v>Correcto</v>
      </c>
    </row>
    <row r="1330" spans="1:24" ht="18" customHeight="1" x14ac:dyDescent="0.25">
      <c r="A1330" s="205">
        <v>1321</v>
      </c>
      <c r="B1330" s="197" t="s">
        <v>4652</v>
      </c>
      <c r="C1330" s="198">
        <v>42138</v>
      </c>
      <c r="D1330" s="199">
        <v>2</v>
      </c>
      <c r="E1330" s="200" t="s">
        <v>93</v>
      </c>
      <c r="F1330" s="197" t="s">
        <v>1654</v>
      </c>
      <c r="G1330" s="200" t="s">
        <v>202</v>
      </c>
      <c r="H1330" s="201">
        <v>42143</v>
      </c>
      <c r="I1330" s="200" t="s">
        <v>187</v>
      </c>
      <c r="J1330" s="200" t="s">
        <v>103</v>
      </c>
      <c r="K1330" s="200" t="s">
        <v>4653</v>
      </c>
      <c r="L1330" s="201">
        <v>42143</v>
      </c>
      <c r="M1330" s="197" t="s">
        <v>1914</v>
      </c>
      <c r="N1330" s="202" t="s">
        <v>185</v>
      </c>
      <c r="O1330" s="201">
        <v>42143</v>
      </c>
      <c r="P1330" s="203">
        <f t="shared" ref="P1330:P1393" si="712">O1330-C1330</f>
        <v>5</v>
      </c>
      <c r="Q1330" s="200" t="s">
        <v>4653</v>
      </c>
      <c r="R1330" s="202" t="s">
        <v>17</v>
      </c>
      <c r="S1330" s="197" t="s">
        <v>104</v>
      </c>
      <c r="T1330" s="197">
        <v>1102714103</v>
      </c>
      <c r="U1330" s="201">
        <v>42144</v>
      </c>
      <c r="V1330" s="202" t="s">
        <v>186</v>
      </c>
      <c r="W1330" s="204">
        <f t="shared" ref="W1330:W1393" si="713">COUNTBLANK(C1330:V1330)</f>
        <v>0</v>
      </c>
      <c r="X1330" s="204" t="str">
        <f t="shared" ref="X1330:X1393" si="714">IF(W1330=0,"Correcto","Incorrecto")</f>
        <v>Correcto</v>
      </c>
    </row>
    <row r="1331" spans="1:24" ht="18" customHeight="1" x14ac:dyDescent="0.25">
      <c r="A1331" s="205">
        <v>1322</v>
      </c>
      <c r="B1331" s="197" t="s">
        <v>4654</v>
      </c>
      <c r="C1331" s="198">
        <v>42138</v>
      </c>
      <c r="D1331" s="199">
        <v>2</v>
      </c>
      <c r="E1331" s="200" t="s">
        <v>93</v>
      </c>
      <c r="F1331" s="197" t="s">
        <v>1654</v>
      </c>
      <c r="G1331" s="200" t="s">
        <v>202</v>
      </c>
      <c r="H1331" s="201">
        <v>42143</v>
      </c>
      <c r="I1331" s="200" t="s">
        <v>187</v>
      </c>
      <c r="J1331" s="200" t="s">
        <v>103</v>
      </c>
      <c r="K1331" s="200" t="s">
        <v>4655</v>
      </c>
      <c r="L1331" s="201">
        <v>42143</v>
      </c>
      <c r="M1331" s="197" t="s">
        <v>1914</v>
      </c>
      <c r="N1331" s="202" t="s">
        <v>185</v>
      </c>
      <c r="O1331" s="201">
        <v>42143</v>
      </c>
      <c r="P1331" s="203">
        <f t="shared" si="712"/>
        <v>5</v>
      </c>
      <c r="Q1331" s="200" t="s">
        <v>4655</v>
      </c>
      <c r="R1331" s="202" t="s">
        <v>17</v>
      </c>
      <c r="S1331" s="197" t="s">
        <v>104</v>
      </c>
      <c r="T1331" s="197">
        <v>1104303647</v>
      </c>
      <c r="U1331" s="201">
        <v>42144</v>
      </c>
      <c r="V1331" s="202" t="s">
        <v>186</v>
      </c>
      <c r="W1331" s="204">
        <f t="shared" si="713"/>
        <v>0</v>
      </c>
      <c r="X1331" s="204" t="str">
        <f t="shared" si="714"/>
        <v>Correcto</v>
      </c>
    </row>
    <row r="1332" spans="1:24" ht="18" customHeight="1" x14ac:dyDescent="0.25">
      <c r="A1332" s="205">
        <v>1323</v>
      </c>
      <c r="B1332" s="197" t="s">
        <v>4656</v>
      </c>
      <c r="C1332" s="198">
        <v>42138</v>
      </c>
      <c r="D1332" s="199">
        <v>2</v>
      </c>
      <c r="E1332" s="200" t="s">
        <v>93</v>
      </c>
      <c r="F1332" s="197" t="s">
        <v>1654</v>
      </c>
      <c r="G1332" s="200" t="s">
        <v>202</v>
      </c>
      <c r="H1332" s="201">
        <v>42143</v>
      </c>
      <c r="I1332" s="200" t="s">
        <v>187</v>
      </c>
      <c r="J1332" s="200" t="s">
        <v>103</v>
      </c>
      <c r="K1332" s="200" t="s">
        <v>4657</v>
      </c>
      <c r="L1332" s="201">
        <v>42143</v>
      </c>
      <c r="M1332" s="197" t="s">
        <v>1914</v>
      </c>
      <c r="N1332" s="202" t="s">
        <v>185</v>
      </c>
      <c r="O1332" s="201">
        <v>42143</v>
      </c>
      <c r="P1332" s="203">
        <f t="shared" si="712"/>
        <v>5</v>
      </c>
      <c r="Q1332" s="200" t="s">
        <v>4657</v>
      </c>
      <c r="R1332" s="202" t="s">
        <v>17</v>
      </c>
      <c r="S1332" s="197" t="s">
        <v>104</v>
      </c>
      <c r="T1332" s="197">
        <v>1104562127</v>
      </c>
      <c r="U1332" s="201">
        <v>42144</v>
      </c>
      <c r="V1332" s="202" t="s">
        <v>186</v>
      </c>
      <c r="W1332" s="204">
        <f t="shared" si="713"/>
        <v>0</v>
      </c>
      <c r="X1332" s="204" t="str">
        <f t="shared" si="714"/>
        <v>Correcto</v>
      </c>
    </row>
    <row r="1333" spans="1:24" ht="18" customHeight="1" x14ac:dyDescent="0.25">
      <c r="A1333" s="205">
        <v>1324</v>
      </c>
      <c r="B1333" s="197" t="s">
        <v>4658</v>
      </c>
      <c r="C1333" s="198">
        <v>42139</v>
      </c>
      <c r="D1333" s="199">
        <v>2</v>
      </c>
      <c r="E1333" s="200" t="s">
        <v>93</v>
      </c>
      <c r="F1333" s="197" t="s">
        <v>1654</v>
      </c>
      <c r="G1333" s="200" t="s">
        <v>202</v>
      </c>
      <c r="H1333" s="201">
        <v>42146</v>
      </c>
      <c r="I1333" s="200" t="s">
        <v>187</v>
      </c>
      <c r="J1333" s="200" t="s">
        <v>103</v>
      </c>
      <c r="K1333" s="200" t="s">
        <v>4659</v>
      </c>
      <c r="L1333" s="201">
        <v>42146</v>
      </c>
      <c r="M1333" s="197" t="s">
        <v>1914</v>
      </c>
      <c r="N1333" s="202" t="s">
        <v>185</v>
      </c>
      <c r="O1333" s="201">
        <v>42146</v>
      </c>
      <c r="P1333" s="203">
        <f t="shared" si="712"/>
        <v>7</v>
      </c>
      <c r="Q1333" s="200" t="s">
        <v>4660</v>
      </c>
      <c r="R1333" s="202" t="s">
        <v>2438</v>
      </c>
      <c r="S1333" s="197" t="s">
        <v>101</v>
      </c>
      <c r="T1333" s="197" t="s">
        <v>4661</v>
      </c>
      <c r="U1333" s="201">
        <v>42146</v>
      </c>
      <c r="V1333" s="202" t="s">
        <v>186</v>
      </c>
      <c r="W1333" s="204">
        <f t="shared" si="713"/>
        <v>0</v>
      </c>
      <c r="X1333" s="204" t="str">
        <f t="shared" si="714"/>
        <v>Correcto</v>
      </c>
    </row>
    <row r="1334" spans="1:24" ht="18" customHeight="1" x14ac:dyDescent="0.25">
      <c r="A1334" s="205">
        <v>1325</v>
      </c>
      <c r="B1334" s="197" t="s">
        <v>4662</v>
      </c>
      <c r="C1334" s="198">
        <v>42139</v>
      </c>
      <c r="D1334" s="199">
        <v>2</v>
      </c>
      <c r="E1334" s="200" t="s">
        <v>93</v>
      </c>
      <c r="F1334" s="197" t="s">
        <v>825</v>
      </c>
      <c r="G1334" s="200" t="s">
        <v>202</v>
      </c>
      <c r="H1334" s="201">
        <v>42146</v>
      </c>
      <c r="I1334" s="200" t="s">
        <v>187</v>
      </c>
      <c r="J1334" s="200" t="s">
        <v>103</v>
      </c>
      <c r="K1334" s="200" t="s">
        <v>4663</v>
      </c>
      <c r="L1334" s="201">
        <v>42146</v>
      </c>
      <c r="M1334" s="197" t="s">
        <v>1914</v>
      </c>
      <c r="N1334" s="202" t="s">
        <v>185</v>
      </c>
      <c r="O1334" s="201">
        <v>42146</v>
      </c>
      <c r="P1334" s="203">
        <f t="shared" si="712"/>
        <v>7</v>
      </c>
      <c r="Q1334" s="200" t="s">
        <v>4663</v>
      </c>
      <c r="R1334" s="202" t="s">
        <v>2438</v>
      </c>
      <c r="S1334" s="197" t="s">
        <v>101</v>
      </c>
      <c r="T1334" s="197" t="s">
        <v>4661</v>
      </c>
      <c r="U1334" s="201">
        <v>42146</v>
      </c>
      <c r="V1334" s="202" t="s">
        <v>186</v>
      </c>
      <c r="W1334" s="204">
        <f t="shared" si="713"/>
        <v>0</v>
      </c>
      <c r="X1334" s="204" t="str">
        <f t="shared" si="714"/>
        <v>Correcto</v>
      </c>
    </row>
    <row r="1335" spans="1:24" ht="18" customHeight="1" x14ac:dyDescent="0.25">
      <c r="A1335" s="205">
        <v>1326</v>
      </c>
      <c r="B1335" s="197" t="s">
        <v>4664</v>
      </c>
      <c r="C1335" s="198">
        <v>42139</v>
      </c>
      <c r="D1335" s="199">
        <v>2</v>
      </c>
      <c r="E1335" s="200" t="s">
        <v>93</v>
      </c>
      <c r="F1335" s="197" t="s">
        <v>825</v>
      </c>
      <c r="G1335" s="200" t="s">
        <v>202</v>
      </c>
      <c r="H1335" s="201">
        <v>42146</v>
      </c>
      <c r="I1335" s="200" t="s">
        <v>187</v>
      </c>
      <c r="J1335" s="200" t="s">
        <v>103</v>
      </c>
      <c r="K1335" s="200" t="s">
        <v>4665</v>
      </c>
      <c r="L1335" s="201">
        <v>42146</v>
      </c>
      <c r="M1335" s="197" t="s">
        <v>1914</v>
      </c>
      <c r="N1335" s="202" t="s">
        <v>185</v>
      </c>
      <c r="O1335" s="201">
        <v>42146</v>
      </c>
      <c r="P1335" s="203">
        <f t="shared" si="712"/>
        <v>7</v>
      </c>
      <c r="Q1335" s="200" t="s">
        <v>4665</v>
      </c>
      <c r="R1335" s="202" t="s">
        <v>2438</v>
      </c>
      <c r="S1335" s="197" t="s">
        <v>101</v>
      </c>
      <c r="T1335" s="197" t="s">
        <v>4661</v>
      </c>
      <c r="U1335" s="201">
        <v>42146</v>
      </c>
      <c r="V1335" s="202" t="s">
        <v>186</v>
      </c>
      <c r="W1335" s="204">
        <f t="shared" si="713"/>
        <v>0</v>
      </c>
      <c r="X1335" s="204" t="str">
        <f t="shared" si="714"/>
        <v>Correcto</v>
      </c>
    </row>
    <row r="1336" spans="1:24" ht="18" customHeight="1" x14ac:dyDescent="0.25">
      <c r="A1336" s="205">
        <v>1327</v>
      </c>
      <c r="B1336" s="197" t="s">
        <v>4666</v>
      </c>
      <c r="C1336" s="198">
        <v>42139</v>
      </c>
      <c r="D1336" s="199">
        <v>2</v>
      </c>
      <c r="E1336" s="200" t="s">
        <v>93</v>
      </c>
      <c r="F1336" s="197" t="s">
        <v>1654</v>
      </c>
      <c r="G1336" s="200" t="s">
        <v>202</v>
      </c>
      <c r="H1336" s="201">
        <v>42156</v>
      </c>
      <c r="I1336" s="200" t="s">
        <v>187</v>
      </c>
      <c r="J1336" s="200" t="s">
        <v>103</v>
      </c>
      <c r="K1336" s="200" t="s">
        <v>4667</v>
      </c>
      <c r="L1336" s="201">
        <v>42156</v>
      </c>
      <c r="M1336" s="197" t="s">
        <v>1914</v>
      </c>
      <c r="N1336" s="202" t="s">
        <v>185</v>
      </c>
      <c r="O1336" s="201">
        <v>42156</v>
      </c>
      <c r="P1336" s="203">
        <f t="shared" si="712"/>
        <v>17</v>
      </c>
      <c r="Q1336" s="200" t="s">
        <v>4667</v>
      </c>
      <c r="R1336" s="202" t="s">
        <v>2438</v>
      </c>
      <c r="S1336" s="197" t="s">
        <v>101</v>
      </c>
      <c r="T1336" s="197" t="s">
        <v>4661</v>
      </c>
      <c r="U1336" s="201">
        <v>42146</v>
      </c>
      <c r="V1336" s="202" t="s">
        <v>186</v>
      </c>
      <c r="W1336" s="204">
        <f t="shared" si="713"/>
        <v>0</v>
      </c>
      <c r="X1336" s="204" t="str">
        <f t="shared" si="714"/>
        <v>Correcto</v>
      </c>
    </row>
    <row r="1337" spans="1:24" ht="18" customHeight="1" x14ac:dyDescent="0.25">
      <c r="A1337" s="205">
        <v>1328</v>
      </c>
      <c r="B1337" s="197" t="s">
        <v>4668</v>
      </c>
      <c r="C1337" s="198">
        <v>42139</v>
      </c>
      <c r="D1337" s="199">
        <v>2</v>
      </c>
      <c r="E1337" s="200" t="s">
        <v>93</v>
      </c>
      <c r="F1337" s="197" t="s">
        <v>1654</v>
      </c>
      <c r="G1337" s="200" t="s">
        <v>202</v>
      </c>
      <c r="H1337" s="201">
        <v>42145</v>
      </c>
      <c r="I1337" s="200" t="s">
        <v>187</v>
      </c>
      <c r="J1337" s="200" t="s">
        <v>103</v>
      </c>
      <c r="K1337" s="200" t="s">
        <v>4669</v>
      </c>
      <c r="L1337" s="201">
        <v>42145</v>
      </c>
      <c r="M1337" s="197" t="s">
        <v>1914</v>
      </c>
      <c r="N1337" s="202" t="s">
        <v>185</v>
      </c>
      <c r="O1337" s="201">
        <v>42146</v>
      </c>
      <c r="P1337" s="203">
        <f t="shared" si="712"/>
        <v>7</v>
      </c>
      <c r="Q1337" s="200" t="s">
        <v>4670</v>
      </c>
      <c r="R1337" s="202" t="s">
        <v>2438</v>
      </c>
      <c r="S1337" s="197" t="s">
        <v>101</v>
      </c>
      <c r="T1337" s="197" t="s">
        <v>4661</v>
      </c>
      <c r="U1337" s="201">
        <v>42146</v>
      </c>
      <c r="V1337" s="202" t="s">
        <v>186</v>
      </c>
      <c r="W1337" s="204">
        <f t="shared" si="713"/>
        <v>0</v>
      </c>
      <c r="X1337" s="204" t="str">
        <f t="shared" si="714"/>
        <v>Correcto</v>
      </c>
    </row>
    <row r="1338" spans="1:24" ht="18" customHeight="1" x14ac:dyDescent="0.25">
      <c r="A1338" s="205">
        <v>1329</v>
      </c>
      <c r="B1338" s="197" t="s">
        <v>4671</v>
      </c>
      <c r="C1338" s="198">
        <v>42139</v>
      </c>
      <c r="D1338" s="199">
        <v>2</v>
      </c>
      <c r="E1338" s="200" t="s">
        <v>93</v>
      </c>
      <c r="F1338" s="197" t="s">
        <v>825</v>
      </c>
      <c r="G1338" s="200" t="s">
        <v>202</v>
      </c>
      <c r="H1338" s="201">
        <v>42146</v>
      </c>
      <c r="I1338" s="200" t="s">
        <v>187</v>
      </c>
      <c r="J1338" s="200" t="s">
        <v>103</v>
      </c>
      <c r="K1338" s="200" t="s">
        <v>4672</v>
      </c>
      <c r="L1338" s="201">
        <v>42146</v>
      </c>
      <c r="M1338" s="197" t="s">
        <v>824</v>
      </c>
      <c r="N1338" s="202" t="s">
        <v>185</v>
      </c>
      <c r="O1338" s="201">
        <v>42146</v>
      </c>
      <c r="P1338" s="203">
        <f t="shared" si="712"/>
        <v>7</v>
      </c>
      <c r="Q1338" s="200" t="s">
        <v>4672</v>
      </c>
      <c r="R1338" s="202" t="s">
        <v>2438</v>
      </c>
      <c r="S1338" s="197" t="s">
        <v>101</v>
      </c>
      <c r="T1338" s="197" t="s">
        <v>4661</v>
      </c>
      <c r="U1338" s="201">
        <v>42146</v>
      </c>
      <c r="V1338" s="202" t="s">
        <v>186</v>
      </c>
      <c r="W1338" s="204">
        <f t="shared" si="713"/>
        <v>0</v>
      </c>
      <c r="X1338" s="204" t="str">
        <f t="shared" si="714"/>
        <v>Correcto</v>
      </c>
    </row>
    <row r="1339" spans="1:24" ht="18" customHeight="1" x14ac:dyDescent="0.25">
      <c r="A1339" s="205">
        <v>1330</v>
      </c>
      <c r="B1339" s="197" t="s">
        <v>4673</v>
      </c>
      <c r="C1339" s="198">
        <v>42139</v>
      </c>
      <c r="D1339" s="199">
        <v>2</v>
      </c>
      <c r="E1339" s="200" t="s">
        <v>93</v>
      </c>
      <c r="F1339" s="197" t="s">
        <v>1654</v>
      </c>
      <c r="G1339" s="200" t="s">
        <v>202</v>
      </c>
      <c r="H1339" s="201">
        <v>42145</v>
      </c>
      <c r="I1339" s="200" t="s">
        <v>187</v>
      </c>
      <c r="J1339" s="200" t="s">
        <v>103</v>
      </c>
      <c r="K1339" s="200" t="s">
        <v>4674</v>
      </c>
      <c r="L1339" s="201">
        <v>42145</v>
      </c>
      <c r="M1339" s="197" t="s">
        <v>1914</v>
      </c>
      <c r="N1339" s="202" t="s">
        <v>185</v>
      </c>
      <c r="O1339" s="201">
        <v>42146</v>
      </c>
      <c r="P1339" s="203">
        <f t="shared" si="712"/>
        <v>7</v>
      </c>
      <c r="Q1339" s="200" t="s">
        <v>4675</v>
      </c>
      <c r="R1339" s="202" t="s">
        <v>2438</v>
      </c>
      <c r="S1339" s="197" t="s">
        <v>101</v>
      </c>
      <c r="T1339" s="197" t="s">
        <v>4661</v>
      </c>
      <c r="U1339" s="201">
        <v>42146</v>
      </c>
      <c r="V1339" s="202" t="s">
        <v>186</v>
      </c>
      <c r="W1339" s="204">
        <f t="shared" si="713"/>
        <v>0</v>
      </c>
      <c r="X1339" s="204" t="str">
        <f t="shared" si="714"/>
        <v>Correcto</v>
      </c>
    </row>
    <row r="1340" spans="1:24" ht="18" customHeight="1" x14ac:dyDescent="0.25">
      <c r="A1340" s="205">
        <v>1331</v>
      </c>
      <c r="B1340" s="197" t="s">
        <v>4676</v>
      </c>
      <c r="C1340" s="198">
        <v>42139</v>
      </c>
      <c r="D1340" s="199">
        <v>2</v>
      </c>
      <c r="E1340" s="200" t="s">
        <v>93</v>
      </c>
      <c r="F1340" s="197" t="s">
        <v>1654</v>
      </c>
      <c r="G1340" s="200" t="s">
        <v>202</v>
      </c>
      <c r="H1340" s="201">
        <v>42145</v>
      </c>
      <c r="I1340" s="200" t="s">
        <v>187</v>
      </c>
      <c r="J1340" s="200" t="s">
        <v>103</v>
      </c>
      <c r="K1340" s="200" t="s">
        <v>4677</v>
      </c>
      <c r="L1340" s="201">
        <v>42145</v>
      </c>
      <c r="M1340" s="197" t="s">
        <v>1914</v>
      </c>
      <c r="N1340" s="202" t="s">
        <v>185</v>
      </c>
      <c r="O1340" s="201">
        <v>42146</v>
      </c>
      <c r="P1340" s="203">
        <f t="shared" si="712"/>
        <v>7</v>
      </c>
      <c r="Q1340" s="200" t="s">
        <v>4678</v>
      </c>
      <c r="R1340" s="202" t="s">
        <v>2438</v>
      </c>
      <c r="S1340" s="197" t="s">
        <v>101</v>
      </c>
      <c r="T1340" s="197" t="s">
        <v>4661</v>
      </c>
      <c r="U1340" s="201">
        <v>42146</v>
      </c>
      <c r="V1340" s="202" t="s">
        <v>186</v>
      </c>
      <c r="W1340" s="204">
        <f t="shared" si="713"/>
        <v>0</v>
      </c>
      <c r="X1340" s="204" t="str">
        <f t="shared" si="714"/>
        <v>Correcto</v>
      </c>
    </row>
    <row r="1341" spans="1:24" ht="18" customHeight="1" x14ac:dyDescent="0.25">
      <c r="A1341" s="205">
        <v>1332</v>
      </c>
      <c r="B1341" s="197" t="s">
        <v>4679</v>
      </c>
      <c r="C1341" s="198">
        <v>42139</v>
      </c>
      <c r="D1341" s="199">
        <v>2</v>
      </c>
      <c r="E1341" s="200" t="s">
        <v>93</v>
      </c>
      <c r="F1341" s="197" t="s">
        <v>1654</v>
      </c>
      <c r="G1341" s="200" t="s">
        <v>202</v>
      </c>
      <c r="H1341" s="201">
        <v>42145</v>
      </c>
      <c r="I1341" s="200" t="s">
        <v>187</v>
      </c>
      <c r="J1341" s="200" t="s">
        <v>103</v>
      </c>
      <c r="K1341" s="200" t="s">
        <v>4680</v>
      </c>
      <c r="L1341" s="201">
        <v>42145</v>
      </c>
      <c r="M1341" s="197" t="s">
        <v>1914</v>
      </c>
      <c r="N1341" s="202" t="s">
        <v>185</v>
      </c>
      <c r="O1341" s="201">
        <v>42146</v>
      </c>
      <c r="P1341" s="203">
        <f t="shared" si="712"/>
        <v>7</v>
      </c>
      <c r="Q1341" s="200" t="s">
        <v>4681</v>
      </c>
      <c r="R1341" s="202" t="s">
        <v>2438</v>
      </c>
      <c r="S1341" s="197" t="s">
        <v>101</v>
      </c>
      <c r="T1341" s="197" t="s">
        <v>4661</v>
      </c>
      <c r="U1341" s="201">
        <v>42146</v>
      </c>
      <c r="V1341" s="202" t="s">
        <v>186</v>
      </c>
      <c r="W1341" s="204">
        <f t="shared" si="713"/>
        <v>0</v>
      </c>
      <c r="X1341" s="204" t="str">
        <f t="shared" si="714"/>
        <v>Correcto</v>
      </c>
    </row>
    <row r="1342" spans="1:24" ht="18" customHeight="1" x14ac:dyDescent="0.25">
      <c r="A1342" s="205">
        <v>1333</v>
      </c>
      <c r="B1342" s="197" t="s">
        <v>4682</v>
      </c>
      <c r="C1342" s="198">
        <v>42139</v>
      </c>
      <c r="D1342" s="199">
        <v>2</v>
      </c>
      <c r="E1342" s="200" t="s">
        <v>93</v>
      </c>
      <c r="F1342" s="197" t="s">
        <v>1654</v>
      </c>
      <c r="G1342" s="200" t="s">
        <v>202</v>
      </c>
      <c r="H1342" s="201">
        <v>42145</v>
      </c>
      <c r="I1342" s="200" t="s">
        <v>187</v>
      </c>
      <c r="J1342" s="200" t="s">
        <v>103</v>
      </c>
      <c r="K1342" s="200" t="s">
        <v>4683</v>
      </c>
      <c r="L1342" s="201">
        <v>42145</v>
      </c>
      <c r="M1342" s="197" t="s">
        <v>1914</v>
      </c>
      <c r="N1342" s="202" t="s">
        <v>185</v>
      </c>
      <c r="O1342" s="201">
        <v>42146</v>
      </c>
      <c r="P1342" s="203">
        <f t="shared" si="712"/>
        <v>7</v>
      </c>
      <c r="Q1342" s="200" t="s">
        <v>4684</v>
      </c>
      <c r="R1342" s="202" t="s">
        <v>2438</v>
      </c>
      <c r="S1342" s="197" t="s">
        <v>101</v>
      </c>
      <c r="T1342" s="197" t="s">
        <v>4661</v>
      </c>
      <c r="U1342" s="201">
        <v>42146</v>
      </c>
      <c r="V1342" s="202" t="s">
        <v>186</v>
      </c>
      <c r="W1342" s="204">
        <f t="shared" si="713"/>
        <v>0</v>
      </c>
      <c r="X1342" s="204" t="str">
        <f t="shared" si="714"/>
        <v>Correcto</v>
      </c>
    </row>
    <row r="1343" spans="1:24" ht="18" customHeight="1" x14ac:dyDescent="0.25">
      <c r="A1343" s="205">
        <v>1334</v>
      </c>
      <c r="B1343" s="197" t="s">
        <v>4685</v>
      </c>
      <c r="C1343" s="198">
        <v>42139</v>
      </c>
      <c r="D1343" s="199">
        <v>2</v>
      </c>
      <c r="E1343" s="200" t="s">
        <v>93</v>
      </c>
      <c r="F1343" s="197" t="s">
        <v>1654</v>
      </c>
      <c r="G1343" s="200" t="s">
        <v>202</v>
      </c>
      <c r="H1343" s="201">
        <v>42145</v>
      </c>
      <c r="I1343" s="200" t="s">
        <v>187</v>
      </c>
      <c r="J1343" s="200" t="s">
        <v>103</v>
      </c>
      <c r="K1343" s="200" t="s">
        <v>4686</v>
      </c>
      <c r="L1343" s="201">
        <v>42145</v>
      </c>
      <c r="M1343" s="197" t="s">
        <v>1914</v>
      </c>
      <c r="N1343" s="202" t="s">
        <v>185</v>
      </c>
      <c r="O1343" s="201">
        <v>42146</v>
      </c>
      <c r="P1343" s="203">
        <f t="shared" si="712"/>
        <v>7</v>
      </c>
      <c r="Q1343" s="200" t="s">
        <v>4687</v>
      </c>
      <c r="R1343" s="202" t="s">
        <v>2438</v>
      </c>
      <c r="S1343" s="197" t="s">
        <v>101</v>
      </c>
      <c r="T1343" s="197" t="s">
        <v>4661</v>
      </c>
      <c r="U1343" s="201">
        <v>42146</v>
      </c>
      <c r="V1343" s="202" t="s">
        <v>186</v>
      </c>
      <c r="W1343" s="204">
        <f t="shared" si="713"/>
        <v>0</v>
      </c>
      <c r="X1343" s="204" t="str">
        <f t="shared" si="714"/>
        <v>Correcto</v>
      </c>
    </row>
    <row r="1344" spans="1:24" ht="18" customHeight="1" x14ac:dyDescent="0.25">
      <c r="A1344" s="205">
        <v>1335</v>
      </c>
      <c r="B1344" s="197" t="s">
        <v>4688</v>
      </c>
      <c r="C1344" s="198">
        <v>42139</v>
      </c>
      <c r="D1344" s="199">
        <v>2</v>
      </c>
      <c r="E1344" s="200" t="s">
        <v>93</v>
      </c>
      <c r="F1344" s="197" t="s">
        <v>825</v>
      </c>
      <c r="G1344" s="200" t="s">
        <v>202</v>
      </c>
      <c r="H1344" s="201">
        <v>42146</v>
      </c>
      <c r="I1344" s="200" t="s">
        <v>187</v>
      </c>
      <c r="J1344" s="200" t="s">
        <v>103</v>
      </c>
      <c r="K1344" s="200" t="s">
        <v>4689</v>
      </c>
      <c r="L1344" s="201">
        <v>42146</v>
      </c>
      <c r="M1344" s="197" t="s">
        <v>824</v>
      </c>
      <c r="N1344" s="202" t="s">
        <v>185</v>
      </c>
      <c r="O1344" s="201">
        <v>42146</v>
      </c>
      <c r="P1344" s="203">
        <f t="shared" si="712"/>
        <v>7</v>
      </c>
      <c r="Q1344" s="200" t="s">
        <v>4689</v>
      </c>
      <c r="R1344" s="202" t="s">
        <v>2438</v>
      </c>
      <c r="S1344" s="197" t="s">
        <v>101</v>
      </c>
      <c r="T1344" s="197" t="s">
        <v>4661</v>
      </c>
      <c r="U1344" s="201">
        <v>42146</v>
      </c>
      <c r="V1344" s="202" t="s">
        <v>186</v>
      </c>
      <c r="W1344" s="204">
        <f t="shared" si="713"/>
        <v>0</v>
      </c>
      <c r="X1344" s="204" t="str">
        <f t="shared" si="714"/>
        <v>Correcto</v>
      </c>
    </row>
    <row r="1345" spans="1:24" ht="18" customHeight="1" x14ac:dyDescent="0.25">
      <c r="A1345" s="205">
        <v>1336</v>
      </c>
      <c r="B1345" s="197" t="s">
        <v>4690</v>
      </c>
      <c r="C1345" s="198">
        <v>42139</v>
      </c>
      <c r="D1345" s="199">
        <v>2</v>
      </c>
      <c r="E1345" s="200" t="s">
        <v>93</v>
      </c>
      <c r="F1345" s="197" t="s">
        <v>825</v>
      </c>
      <c r="G1345" s="200" t="s">
        <v>202</v>
      </c>
      <c r="H1345" s="201">
        <v>42146</v>
      </c>
      <c r="I1345" s="200" t="s">
        <v>187</v>
      </c>
      <c r="J1345" s="200" t="s">
        <v>103</v>
      </c>
      <c r="K1345" s="200" t="s">
        <v>4691</v>
      </c>
      <c r="L1345" s="201">
        <v>42146</v>
      </c>
      <c r="M1345" s="197" t="s">
        <v>824</v>
      </c>
      <c r="N1345" s="202" t="s">
        <v>185</v>
      </c>
      <c r="O1345" s="201">
        <v>42146</v>
      </c>
      <c r="P1345" s="203">
        <f t="shared" si="712"/>
        <v>7</v>
      </c>
      <c r="Q1345" s="200" t="s">
        <v>4691</v>
      </c>
      <c r="R1345" s="202" t="s">
        <v>2438</v>
      </c>
      <c r="S1345" s="197" t="s">
        <v>101</v>
      </c>
      <c r="T1345" s="197" t="s">
        <v>4661</v>
      </c>
      <c r="U1345" s="201">
        <v>42146</v>
      </c>
      <c r="V1345" s="202" t="s">
        <v>186</v>
      </c>
      <c r="W1345" s="204">
        <f t="shared" si="713"/>
        <v>0</v>
      </c>
      <c r="X1345" s="204" t="str">
        <f t="shared" si="714"/>
        <v>Correcto</v>
      </c>
    </row>
    <row r="1346" spans="1:24" ht="18" customHeight="1" x14ac:dyDescent="0.25">
      <c r="A1346" s="205">
        <v>1337</v>
      </c>
      <c r="B1346" s="197" t="s">
        <v>4692</v>
      </c>
      <c r="C1346" s="198">
        <v>42139</v>
      </c>
      <c r="D1346" s="199">
        <v>2</v>
      </c>
      <c r="E1346" s="200" t="s">
        <v>93</v>
      </c>
      <c r="F1346" s="197" t="s">
        <v>1654</v>
      </c>
      <c r="G1346" s="200" t="s">
        <v>202</v>
      </c>
      <c r="H1346" s="201">
        <v>42145</v>
      </c>
      <c r="I1346" s="200" t="s">
        <v>187</v>
      </c>
      <c r="J1346" s="200" t="s">
        <v>103</v>
      </c>
      <c r="K1346" s="200" t="s">
        <v>4693</v>
      </c>
      <c r="L1346" s="201">
        <v>42145</v>
      </c>
      <c r="M1346" s="197" t="s">
        <v>1914</v>
      </c>
      <c r="N1346" s="202" t="s">
        <v>185</v>
      </c>
      <c r="O1346" s="201">
        <v>42146</v>
      </c>
      <c r="P1346" s="203">
        <f t="shared" si="712"/>
        <v>7</v>
      </c>
      <c r="Q1346" s="200" t="s">
        <v>4694</v>
      </c>
      <c r="R1346" s="202" t="s">
        <v>2438</v>
      </c>
      <c r="S1346" s="197" t="s">
        <v>101</v>
      </c>
      <c r="T1346" s="197" t="s">
        <v>4661</v>
      </c>
      <c r="U1346" s="201">
        <v>42146</v>
      </c>
      <c r="V1346" s="202" t="s">
        <v>186</v>
      </c>
      <c r="W1346" s="204">
        <f t="shared" si="713"/>
        <v>0</v>
      </c>
      <c r="X1346" s="204" t="str">
        <f t="shared" si="714"/>
        <v>Correcto</v>
      </c>
    </row>
    <row r="1347" spans="1:24" ht="18" customHeight="1" x14ac:dyDescent="0.25">
      <c r="A1347" s="205">
        <v>1338</v>
      </c>
      <c r="B1347" s="197" t="s">
        <v>4695</v>
      </c>
      <c r="C1347" s="198">
        <v>42139</v>
      </c>
      <c r="D1347" s="199">
        <v>2</v>
      </c>
      <c r="E1347" s="200" t="s">
        <v>93</v>
      </c>
      <c r="F1347" s="197" t="s">
        <v>1654</v>
      </c>
      <c r="G1347" s="200" t="s">
        <v>202</v>
      </c>
      <c r="H1347" s="201">
        <v>42145</v>
      </c>
      <c r="I1347" s="200" t="s">
        <v>187</v>
      </c>
      <c r="J1347" s="200" t="s">
        <v>103</v>
      </c>
      <c r="K1347" s="200" t="s">
        <v>4696</v>
      </c>
      <c r="L1347" s="201">
        <v>42145</v>
      </c>
      <c r="M1347" s="197" t="s">
        <v>1914</v>
      </c>
      <c r="N1347" s="202" t="s">
        <v>185</v>
      </c>
      <c r="O1347" s="201">
        <v>42146</v>
      </c>
      <c r="P1347" s="203">
        <f t="shared" si="712"/>
        <v>7</v>
      </c>
      <c r="Q1347" s="200" t="s">
        <v>4697</v>
      </c>
      <c r="R1347" s="202" t="s">
        <v>2438</v>
      </c>
      <c r="S1347" s="197" t="s">
        <v>101</v>
      </c>
      <c r="T1347" s="197" t="s">
        <v>4661</v>
      </c>
      <c r="U1347" s="201">
        <v>42146</v>
      </c>
      <c r="V1347" s="202" t="s">
        <v>186</v>
      </c>
      <c r="W1347" s="204">
        <f t="shared" si="713"/>
        <v>0</v>
      </c>
      <c r="X1347" s="204" t="str">
        <f t="shared" si="714"/>
        <v>Correcto</v>
      </c>
    </row>
    <row r="1348" spans="1:24" ht="18" customHeight="1" x14ac:dyDescent="0.25">
      <c r="A1348" s="205">
        <v>1339</v>
      </c>
      <c r="B1348" s="197" t="s">
        <v>4698</v>
      </c>
      <c r="C1348" s="198">
        <v>42139</v>
      </c>
      <c r="D1348" s="199">
        <v>2</v>
      </c>
      <c r="E1348" s="200" t="s">
        <v>93</v>
      </c>
      <c r="F1348" s="197" t="s">
        <v>825</v>
      </c>
      <c r="G1348" s="200" t="s">
        <v>202</v>
      </c>
      <c r="H1348" s="201">
        <v>42146</v>
      </c>
      <c r="I1348" s="200" t="s">
        <v>187</v>
      </c>
      <c r="J1348" s="200" t="s">
        <v>103</v>
      </c>
      <c r="K1348" s="200" t="s">
        <v>4699</v>
      </c>
      <c r="L1348" s="201">
        <v>42146</v>
      </c>
      <c r="M1348" s="197" t="s">
        <v>824</v>
      </c>
      <c r="N1348" s="202" t="s">
        <v>185</v>
      </c>
      <c r="O1348" s="201">
        <v>42146</v>
      </c>
      <c r="P1348" s="203">
        <f t="shared" si="712"/>
        <v>7</v>
      </c>
      <c r="Q1348" s="200" t="s">
        <v>4699</v>
      </c>
      <c r="R1348" s="202" t="s">
        <v>2438</v>
      </c>
      <c r="S1348" s="197" t="s">
        <v>101</v>
      </c>
      <c r="T1348" s="197" t="s">
        <v>4661</v>
      </c>
      <c r="U1348" s="201">
        <v>42146</v>
      </c>
      <c r="V1348" s="202" t="s">
        <v>186</v>
      </c>
      <c r="W1348" s="204">
        <f t="shared" si="713"/>
        <v>0</v>
      </c>
      <c r="X1348" s="204" t="str">
        <f t="shared" si="714"/>
        <v>Correcto</v>
      </c>
    </row>
    <row r="1349" spans="1:24" ht="18" customHeight="1" x14ac:dyDescent="0.25">
      <c r="A1349" s="205">
        <v>1340</v>
      </c>
      <c r="B1349" s="197" t="s">
        <v>4700</v>
      </c>
      <c r="C1349" s="198">
        <v>42139</v>
      </c>
      <c r="D1349" s="199">
        <v>2</v>
      </c>
      <c r="E1349" s="200" t="s">
        <v>93</v>
      </c>
      <c r="F1349" s="197" t="s">
        <v>1654</v>
      </c>
      <c r="G1349" s="200" t="s">
        <v>202</v>
      </c>
      <c r="H1349" s="201">
        <v>42143</v>
      </c>
      <c r="I1349" s="200" t="s">
        <v>187</v>
      </c>
      <c r="J1349" s="200" t="s">
        <v>103</v>
      </c>
      <c r="K1349" s="200" t="s">
        <v>4701</v>
      </c>
      <c r="L1349" s="201">
        <v>42143</v>
      </c>
      <c r="M1349" s="197" t="s">
        <v>1914</v>
      </c>
      <c r="N1349" s="202" t="s">
        <v>185</v>
      </c>
      <c r="O1349" s="201">
        <v>42145</v>
      </c>
      <c r="P1349" s="203">
        <f t="shared" si="712"/>
        <v>6</v>
      </c>
      <c r="Q1349" s="200" t="s">
        <v>4702</v>
      </c>
      <c r="R1349" s="202" t="s">
        <v>17</v>
      </c>
      <c r="S1349" s="197" t="s">
        <v>101</v>
      </c>
      <c r="T1349" s="197" t="s">
        <v>101</v>
      </c>
      <c r="U1349" s="201">
        <v>42142</v>
      </c>
      <c r="V1349" s="202" t="s">
        <v>186</v>
      </c>
      <c r="W1349" s="204">
        <f t="shared" si="713"/>
        <v>0</v>
      </c>
      <c r="X1349" s="204" t="str">
        <f t="shared" si="714"/>
        <v>Correcto</v>
      </c>
    </row>
    <row r="1350" spans="1:24" ht="18" customHeight="1" x14ac:dyDescent="0.25">
      <c r="A1350" s="205">
        <v>1341</v>
      </c>
      <c r="B1350" s="197" t="s">
        <v>4703</v>
      </c>
      <c r="C1350" s="198">
        <v>42139</v>
      </c>
      <c r="D1350" s="199">
        <v>2</v>
      </c>
      <c r="E1350" s="200" t="s">
        <v>93</v>
      </c>
      <c r="F1350" s="197" t="s">
        <v>1654</v>
      </c>
      <c r="G1350" s="200" t="s">
        <v>202</v>
      </c>
      <c r="H1350" s="201">
        <v>42144</v>
      </c>
      <c r="I1350" s="200" t="s">
        <v>187</v>
      </c>
      <c r="J1350" s="200" t="s">
        <v>103</v>
      </c>
      <c r="K1350" s="200" t="s">
        <v>4704</v>
      </c>
      <c r="L1350" s="201">
        <v>42144</v>
      </c>
      <c r="M1350" s="197" t="s">
        <v>1914</v>
      </c>
      <c r="N1350" s="202" t="s">
        <v>185</v>
      </c>
      <c r="O1350" s="201">
        <v>42145</v>
      </c>
      <c r="P1350" s="203">
        <f t="shared" si="712"/>
        <v>6</v>
      </c>
      <c r="Q1350" s="200" t="s">
        <v>4705</v>
      </c>
      <c r="R1350" s="202" t="s">
        <v>17</v>
      </c>
      <c r="S1350" s="197" t="s">
        <v>101</v>
      </c>
      <c r="T1350" s="197" t="s">
        <v>101</v>
      </c>
      <c r="U1350" s="201">
        <v>42149</v>
      </c>
      <c r="V1350" s="202" t="s">
        <v>186</v>
      </c>
      <c r="W1350" s="204">
        <f t="shared" si="713"/>
        <v>0</v>
      </c>
      <c r="X1350" s="204" t="str">
        <f t="shared" si="714"/>
        <v>Correcto</v>
      </c>
    </row>
    <row r="1351" spans="1:24" ht="18" customHeight="1" x14ac:dyDescent="0.25">
      <c r="A1351" s="205">
        <v>1342</v>
      </c>
      <c r="B1351" s="197" t="s">
        <v>4706</v>
      </c>
      <c r="C1351" s="198">
        <v>42139</v>
      </c>
      <c r="D1351" s="199">
        <v>2</v>
      </c>
      <c r="E1351" s="200" t="s">
        <v>93</v>
      </c>
      <c r="F1351" s="197" t="s">
        <v>1654</v>
      </c>
      <c r="G1351" s="200" t="s">
        <v>202</v>
      </c>
      <c r="H1351" s="201">
        <v>42144</v>
      </c>
      <c r="I1351" s="200" t="s">
        <v>187</v>
      </c>
      <c r="J1351" s="200" t="s">
        <v>103</v>
      </c>
      <c r="K1351" s="200" t="s">
        <v>4707</v>
      </c>
      <c r="L1351" s="201">
        <v>42144</v>
      </c>
      <c r="M1351" s="197" t="s">
        <v>1914</v>
      </c>
      <c r="N1351" s="202" t="s">
        <v>185</v>
      </c>
      <c r="O1351" s="201">
        <v>42145</v>
      </c>
      <c r="P1351" s="203">
        <f t="shared" si="712"/>
        <v>6</v>
      </c>
      <c r="Q1351" s="200" t="s">
        <v>4708</v>
      </c>
      <c r="R1351" s="202" t="s">
        <v>17</v>
      </c>
      <c r="S1351" s="197" t="s">
        <v>101</v>
      </c>
      <c r="T1351" s="197" t="s">
        <v>101</v>
      </c>
      <c r="U1351" s="201">
        <v>42149</v>
      </c>
      <c r="V1351" s="202" t="s">
        <v>186</v>
      </c>
      <c r="W1351" s="204">
        <f t="shared" si="713"/>
        <v>0</v>
      </c>
      <c r="X1351" s="204" t="str">
        <f t="shared" si="714"/>
        <v>Correcto</v>
      </c>
    </row>
    <row r="1352" spans="1:24" ht="18" customHeight="1" x14ac:dyDescent="0.25">
      <c r="A1352" s="205">
        <v>1343</v>
      </c>
      <c r="B1352" s="197" t="s">
        <v>4709</v>
      </c>
      <c r="C1352" s="198">
        <v>42139</v>
      </c>
      <c r="D1352" s="199">
        <v>2</v>
      </c>
      <c r="E1352" s="200" t="s">
        <v>93</v>
      </c>
      <c r="F1352" s="197" t="s">
        <v>1654</v>
      </c>
      <c r="G1352" s="200" t="s">
        <v>202</v>
      </c>
      <c r="H1352" s="201">
        <v>42144</v>
      </c>
      <c r="I1352" s="200" t="s">
        <v>187</v>
      </c>
      <c r="J1352" s="200" t="s">
        <v>103</v>
      </c>
      <c r="K1352" s="200" t="s">
        <v>4710</v>
      </c>
      <c r="L1352" s="201">
        <v>42144</v>
      </c>
      <c r="M1352" s="197" t="s">
        <v>1914</v>
      </c>
      <c r="N1352" s="202" t="s">
        <v>185</v>
      </c>
      <c r="O1352" s="201">
        <v>42145</v>
      </c>
      <c r="P1352" s="203">
        <f t="shared" si="712"/>
        <v>6</v>
      </c>
      <c r="Q1352" s="200" t="s">
        <v>4711</v>
      </c>
      <c r="R1352" s="202" t="s">
        <v>17</v>
      </c>
      <c r="S1352" s="197" t="s">
        <v>101</v>
      </c>
      <c r="T1352" s="197" t="s">
        <v>101</v>
      </c>
      <c r="U1352" s="201">
        <v>42149</v>
      </c>
      <c r="V1352" s="202" t="s">
        <v>186</v>
      </c>
      <c r="W1352" s="204">
        <f t="shared" si="713"/>
        <v>0</v>
      </c>
      <c r="X1352" s="204" t="str">
        <f t="shared" si="714"/>
        <v>Correcto</v>
      </c>
    </row>
    <row r="1353" spans="1:24" ht="18" customHeight="1" x14ac:dyDescent="0.25">
      <c r="A1353" s="205">
        <v>1344</v>
      </c>
      <c r="B1353" s="197" t="s">
        <v>4712</v>
      </c>
      <c r="C1353" s="198">
        <v>42139</v>
      </c>
      <c r="D1353" s="199">
        <v>2</v>
      </c>
      <c r="E1353" s="200" t="s">
        <v>93</v>
      </c>
      <c r="F1353" s="197" t="s">
        <v>1654</v>
      </c>
      <c r="G1353" s="200" t="s">
        <v>202</v>
      </c>
      <c r="H1353" s="201">
        <v>42144</v>
      </c>
      <c r="I1353" s="200" t="s">
        <v>187</v>
      </c>
      <c r="J1353" s="200" t="s">
        <v>103</v>
      </c>
      <c r="K1353" s="200" t="s">
        <v>4713</v>
      </c>
      <c r="L1353" s="201">
        <v>42144</v>
      </c>
      <c r="M1353" s="197" t="s">
        <v>1914</v>
      </c>
      <c r="N1353" s="202" t="s">
        <v>185</v>
      </c>
      <c r="O1353" s="201">
        <v>42145</v>
      </c>
      <c r="P1353" s="203">
        <f t="shared" si="712"/>
        <v>6</v>
      </c>
      <c r="Q1353" s="200" t="s">
        <v>4714</v>
      </c>
      <c r="R1353" s="202" t="s">
        <v>17</v>
      </c>
      <c r="S1353" s="197" t="s">
        <v>101</v>
      </c>
      <c r="T1353" s="197" t="s">
        <v>101</v>
      </c>
      <c r="U1353" s="201">
        <v>42149</v>
      </c>
      <c r="V1353" s="202" t="s">
        <v>186</v>
      </c>
      <c r="W1353" s="204">
        <f t="shared" si="713"/>
        <v>0</v>
      </c>
      <c r="X1353" s="204" t="str">
        <f t="shared" si="714"/>
        <v>Correcto</v>
      </c>
    </row>
    <row r="1354" spans="1:24" ht="18" customHeight="1" x14ac:dyDescent="0.25">
      <c r="A1354" s="205">
        <v>1345</v>
      </c>
      <c r="B1354" s="197" t="s">
        <v>4715</v>
      </c>
      <c r="C1354" s="198">
        <v>42139</v>
      </c>
      <c r="D1354" s="199">
        <v>2</v>
      </c>
      <c r="E1354" s="200" t="s">
        <v>93</v>
      </c>
      <c r="F1354" s="197" t="s">
        <v>1654</v>
      </c>
      <c r="G1354" s="200" t="s">
        <v>202</v>
      </c>
      <c r="H1354" s="201">
        <v>42144</v>
      </c>
      <c r="I1354" s="200" t="s">
        <v>187</v>
      </c>
      <c r="J1354" s="200" t="s">
        <v>103</v>
      </c>
      <c r="K1354" s="200" t="s">
        <v>4716</v>
      </c>
      <c r="L1354" s="201">
        <v>42144</v>
      </c>
      <c r="M1354" s="197" t="s">
        <v>1914</v>
      </c>
      <c r="N1354" s="202" t="s">
        <v>185</v>
      </c>
      <c r="O1354" s="201">
        <v>42145</v>
      </c>
      <c r="P1354" s="203">
        <f t="shared" si="712"/>
        <v>6</v>
      </c>
      <c r="Q1354" s="200" t="s">
        <v>4717</v>
      </c>
      <c r="R1354" s="202" t="s">
        <v>17</v>
      </c>
      <c r="S1354" s="197" t="s">
        <v>101</v>
      </c>
      <c r="T1354" s="197" t="s">
        <v>101</v>
      </c>
      <c r="U1354" s="201">
        <v>42149</v>
      </c>
      <c r="V1354" s="202" t="s">
        <v>186</v>
      </c>
      <c r="W1354" s="204">
        <f t="shared" si="713"/>
        <v>0</v>
      </c>
      <c r="X1354" s="204" t="str">
        <f t="shared" si="714"/>
        <v>Correcto</v>
      </c>
    </row>
    <row r="1355" spans="1:24" ht="18" customHeight="1" x14ac:dyDescent="0.25">
      <c r="A1355" s="205">
        <v>1346</v>
      </c>
      <c r="B1355" s="197" t="s">
        <v>4718</v>
      </c>
      <c r="C1355" s="198">
        <v>42139</v>
      </c>
      <c r="D1355" s="199">
        <v>2</v>
      </c>
      <c r="E1355" s="200" t="s">
        <v>93</v>
      </c>
      <c r="F1355" s="197" t="s">
        <v>1654</v>
      </c>
      <c r="G1355" s="200" t="s">
        <v>202</v>
      </c>
      <c r="H1355" s="201">
        <v>42143</v>
      </c>
      <c r="I1355" s="200" t="s">
        <v>187</v>
      </c>
      <c r="J1355" s="200" t="s">
        <v>103</v>
      </c>
      <c r="K1355" s="200" t="s">
        <v>4719</v>
      </c>
      <c r="L1355" s="201">
        <v>42143</v>
      </c>
      <c r="M1355" s="197" t="s">
        <v>1914</v>
      </c>
      <c r="N1355" s="202" t="s">
        <v>185</v>
      </c>
      <c r="O1355" s="201">
        <v>42143</v>
      </c>
      <c r="P1355" s="203">
        <f t="shared" si="712"/>
        <v>4</v>
      </c>
      <c r="Q1355" s="200" t="s">
        <v>4719</v>
      </c>
      <c r="R1355" s="202" t="s">
        <v>17</v>
      </c>
      <c r="S1355" s="197" t="s">
        <v>104</v>
      </c>
      <c r="T1355" s="197">
        <v>1104400666</v>
      </c>
      <c r="U1355" s="201">
        <v>42144</v>
      </c>
      <c r="V1355" s="202" t="s">
        <v>186</v>
      </c>
      <c r="W1355" s="204">
        <f t="shared" si="713"/>
        <v>0</v>
      </c>
      <c r="X1355" s="204" t="str">
        <f t="shared" si="714"/>
        <v>Correcto</v>
      </c>
    </row>
    <row r="1356" spans="1:24" ht="18" customHeight="1" x14ac:dyDescent="0.25">
      <c r="A1356" s="205">
        <v>1347</v>
      </c>
      <c r="B1356" s="197" t="s">
        <v>4720</v>
      </c>
      <c r="C1356" s="198">
        <v>42139</v>
      </c>
      <c r="D1356" s="199">
        <v>14</v>
      </c>
      <c r="E1356" s="200" t="s">
        <v>93</v>
      </c>
      <c r="F1356" s="197" t="s">
        <v>1654</v>
      </c>
      <c r="G1356" s="200" t="s">
        <v>202</v>
      </c>
      <c r="H1356" s="201">
        <v>42144</v>
      </c>
      <c r="I1356" s="200" t="s">
        <v>187</v>
      </c>
      <c r="J1356" s="200" t="s">
        <v>103</v>
      </c>
      <c r="K1356" s="200" t="s">
        <v>4721</v>
      </c>
      <c r="L1356" s="201">
        <v>42144</v>
      </c>
      <c r="M1356" s="197" t="s">
        <v>1914</v>
      </c>
      <c r="N1356" s="202" t="s">
        <v>185</v>
      </c>
      <c r="O1356" s="201">
        <v>42144</v>
      </c>
      <c r="P1356" s="203">
        <f t="shared" si="712"/>
        <v>5</v>
      </c>
      <c r="Q1356" s="200" t="s">
        <v>4721</v>
      </c>
      <c r="R1356" s="202" t="s">
        <v>17</v>
      </c>
      <c r="S1356" s="197" t="s">
        <v>104</v>
      </c>
      <c r="T1356" s="197">
        <v>1101974457</v>
      </c>
      <c r="U1356" s="201">
        <v>42144</v>
      </c>
      <c r="V1356" s="202" t="s">
        <v>186</v>
      </c>
      <c r="W1356" s="204">
        <f t="shared" si="713"/>
        <v>0</v>
      </c>
      <c r="X1356" s="204" t="str">
        <f t="shared" si="714"/>
        <v>Correcto</v>
      </c>
    </row>
    <row r="1357" spans="1:24" ht="18" customHeight="1" x14ac:dyDescent="0.25">
      <c r="A1357" s="205">
        <v>1348</v>
      </c>
      <c r="B1357" s="197" t="s">
        <v>4722</v>
      </c>
      <c r="C1357" s="198">
        <v>42139</v>
      </c>
      <c r="D1357" s="199">
        <v>2</v>
      </c>
      <c r="E1357" s="200" t="s">
        <v>93</v>
      </c>
      <c r="F1357" s="197" t="s">
        <v>1654</v>
      </c>
      <c r="G1357" s="200" t="s">
        <v>202</v>
      </c>
      <c r="H1357" s="201">
        <v>42143</v>
      </c>
      <c r="I1357" s="200" t="s">
        <v>187</v>
      </c>
      <c r="J1357" s="200" t="s">
        <v>103</v>
      </c>
      <c r="K1357" s="200" t="s">
        <v>4723</v>
      </c>
      <c r="L1357" s="201">
        <v>42143</v>
      </c>
      <c r="M1357" s="197" t="s">
        <v>1914</v>
      </c>
      <c r="N1357" s="202" t="s">
        <v>185</v>
      </c>
      <c r="O1357" s="201">
        <v>42143</v>
      </c>
      <c r="P1357" s="203">
        <f t="shared" si="712"/>
        <v>4</v>
      </c>
      <c r="Q1357" s="200" t="s">
        <v>4723</v>
      </c>
      <c r="R1357" s="202" t="s">
        <v>17</v>
      </c>
      <c r="S1357" s="197" t="s">
        <v>104</v>
      </c>
      <c r="T1357" s="197">
        <v>1104564446</v>
      </c>
      <c r="U1357" s="201">
        <v>42144</v>
      </c>
      <c r="V1357" s="202" t="s">
        <v>186</v>
      </c>
      <c r="W1357" s="204">
        <f t="shared" si="713"/>
        <v>0</v>
      </c>
      <c r="X1357" s="204" t="str">
        <f t="shared" si="714"/>
        <v>Correcto</v>
      </c>
    </row>
    <row r="1358" spans="1:24" ht="18" customHeight="1" x14ac:dyDescent="0.25">
      <c r="A1358" s="205">
        <v>1349</v>
      </c>
      <c r="B1358" s="197" t="s">
        <v>4724</v>
      </c>
      <c r="C1358" s="198">
        <v>42139</v>
      </c>
      <c r="D1358" s="199">
        <v>2</v>
      </c>
      <c r="E1358" s="200" t="s">
        <v>93</v>
      </c>
      <c r="F1358" s="197" t="s">
        <v>1654</v>
      </c>
      <c r="G1358" s="200" t="s">
        <v>202</v>
      </c>
      <c r="H1358" s="201">
        <v>42143</v>
      </c>
      <c r="I1358" s="200" t="s">
        <v>187</v>
      </c>
      <c r="J1358" s="200" t="s">
        <v>103</v>
      </c>
      <c r="K1358" s="200" t="s">
        <v>4725</v>
      </c>
      <c r="L1358" s="201">
        <v>42143</v>
      </c>
      <c r="M1358" s="197" t="s">
        <v>1914</v>
      </c>
      <c r="N1358" s="202" t="s">
        <v>185</v>
      </c>
      <c r="O1358" s="201">
        <v>42143</v>
      </c>
      <c r="P1358" s="203">
        <f t="shared" si="712"/>
        <v>4</v>
      </c>
      <c r="Q1358" s="200" t="s">
        <v>4725</v>
      </c>
      <c r="R1358" s="202" t="s">
        <v>17</v>
      </c>
      <c r="S1358" s="197" t="s">
        <v>104</v>
      </c>
      <c r="T1358" s="197">
        <v>1104595481</v>
      </c>
      <c r="U1358" s="201">
        <v>42144</v>
      </c>
      <c r="V1358" s="202" t="s">
        <v>186</v>
      </c>
      <c r="W1358" s="204">
        <f t="shared" si="713"/>
        <v>0</v>
      </c>
      <c r="X1358" s="204" t="str">
        <f t="shared" si="714"/>
        <v>Correcto</v>
      </c>
    </row>
    <row r="1359" spans="1:24" ht="18" customHeight="1" x14ac:dyDescent="0.25">
      <c r="A1359" s="205">
        <v>1350</v>
      </c>
      <c r="B1359" s="197" t="s">
        <v>4726</v>
      </c>
      <c r="C1359" s="198">
        <v>42139</v>
      </c>
      <c r="D1359" s="199">
        <v>2</v>
      </c>
      <c r="E1359" s="200" t="s">
        <v>93</v>
      </c>
      <c r="F1359" s="197" t="s">
        <v>1654</v>
      </c>
      <c r="G1359" s="200" t="s">
        <v>202</v>
      </c>
      <c r="H1359" s="201">
        <v>42143</v>
      </c>
      <c r="I1359" s="200" t="s">
        <v>187</v>
      </c>
      <c r="J1359" s="200" t="s">
        <v>103</v>
      </c>
      <c r="K1359" s="200" t="s">
        <v>4727</v>
      </c>
      <c r="L1359" s="201">
        <v>42143</v>
      </c>
      <c r="M1359" s="197" t="s">
        <v>1914</v>
      </c>
      <c r="N1359" s="202" t="s">
        <v>185</v>
      </c>
      <c r="O1359" s="201">
        <v>42143</v>
      </c>
      <c r="P1359" s="203">
        <f t="shared" si="712"/>
        <v>4</v>
      </c>
      <c r="Q1359" s="200" t="s">
        <v>4727</v>
      </c>
      <c r="R1359" s="202" t="s">
        <v>17</v>
      </c>
      <c r="S1359" s="197" t="s">
        <v>104</v>
      </c>
      <c r="T1359" s="197">
        <v>1105672594</v>
      </c>
      <c r="U1359" s="201">
        <v>42143</v>
      </c>
      <c r="V1359" s="202" t="s">
        <v>186</v>
      </c>
      <c r="W1359" s="204">
        <f t="shared" si="713"/>
        <v>0</v>
      </c>
      <c r="X1359" s="204" t="str">
        <f t="shared" si="714"/>
        <v>Correcto</v>
      </c>
    </row>
    <row r="1360" spans="1:24" ht="18" customHeight="1" x14ac:dyDescent="0.25">
      <c r="A1360" s="205">
        <v>1351</v>
      </c>
      <c r="B1360" s="197" t="s">
        <v>4728</v>
      </c>
      <c r="C1360" s="198">
        <v>42139</v>
      </c>
      <c r="D1360" s="199">
        <v>2</v>
      </c>
      <c r="E1360" s="200" t="s">
        <v>93</v>
      </c>
      <c r="F1360" s="197" t="s">
        <v>1654</v>
      </c>
      <c r="G1360" s="200" t="s">
        <v>202</v>
      </c>
      <c r="H1360" s="201">
        <v>42144</v>
      </c>
      <c r="I1360" s="200" t="s">
        <v>187</v>
      </c>
      <c r="J1360" s="200" t="s">
        <v>103</v>
      </c>
      <c r="K1360" s="200" t="s">
        <v>4729</v>
      </c>
      <c r="L1360" s="201">
        <v>42144</v>
      </c>
      <c r="M1360" s="197" t="s">
        <v>1914</v>
      </c>
      <c r="N1360" s="202" t="s">
        <v>185</v>
      </c>
      <c r="O1360" s="201">
        <v>42145</v>
      </c>
      <c r="P1360" s="203">
        <f t="shared" si="712"/>
        <v>6</v>
      </c>
      <c r="Q1360" s="200" t="s">
        <v>4330</v>
      </c>
      <c r="R1360" s="202" t="s">
        <v>17</v>
      </c>
      <c r="S1360" s="197" t="s">
        <v>101</v>
      </c>
      <c r="T1360" s="197" t="s">
        <v>101</v>
      </c>
      <c r="U1360" s="201">
        <v>42151</v>
      </c>
      <c r="V1360" s="202" t="s">
        <v>186</v>
      </c>
      <c r="W1360" s="204">
        <f t="shared" si="713"/>
        <v>0</v>
      </c>
      <c r="X1360" s="204" t="str">
        <f t="shared" si="714"/>
        <v>Correcto</v>
      </c>
    </row>
    <row r="1361" spans="1:24" ht="18" customHeight="1" x14ac:dyDescent="0.25">
      <c r="A1361" s="205">
        <v>1352</v>
      </c>
      <c r="B1361" s="197" t="s">
        <v>4730</v>
      </c>
      <c r="C1361" s="198">
        <v>42139</v>
      </c>
      <c r="D1361" s="199">
        <v>2</v>
      </c>
      <c r="E1361" s="200" t="s">
        <v>93</v>
      </c>
      <c r="F1361" s="197" t="s">
        <v>1654</v>
      </c>
      <c r="G1361" s="200" t="s">
        <v>202</v>
      </c>
      <c r="H1361" s="201">
        <v>42149</v>
      </c>
      <c r="I1361" s="200" t="s">
        <v>187</v>
      </c>
      <c r="J1361" s="200" t="s">
        <v>103</v>
      </c>
      <c r="K1361" s="200" t="s">
        <v>4731</v>
      </c>
      <c r="L1361" s="201">
        <v>42149</v>
      </c>
      <c r="M1361" s="197" t="s">
        <v>1914</v>
      </c>
      <c r="N1361" s="202" t="s">
        <v>185</v>
      </c>
      <c r="O1361" s="201">
        <v>42150</v>
      </c>
      <c r="P1361" s="203">
        <f t="shared" si="712"/>
        <v>11</v>
      </c>
      <c r="Q1361" s="200" t="s">
        <v>4732</v>
      </c>
      <c r="R1361" s="202" t="s">
        <v>17</v>
      </c>
      <c r="S1361" s="197" t="s">
        <v>101</v>
      </c>
      <c r="T1361" s="197" t="s">
        <v>101</v>
      </c>
      <c r="U1361" s="201">
        <v>42151</v>
      </c>
      <c r="V1361" s="202" t="s">
        <v>186</v>
      </c>
      <c r="W1361" s="204">
        <f t="shared" si="713"/>
        <v>0</v>
      </c>
      <c r="X1361" s="204" t="str">
        <f t="shared" si="714"/>
        <v>Correcto</v>
      </c>
    </row>
    <row r="1362" spans="1:24" ht="18" customHeight="1" x14ac:dyDescent="0.25">
      <c r="A1362" s="205">
        <v>1353</v>
      </c>
      <c r="B1362" s="197" t="s">
        <v>4733</v>
      </c>
      <c r="C1362" s="198">
        <v>42139</v>
      </c>
      <c r="D1362" s="199">
        <v>6</v>
      </c>
      <c r="E1362" s="200" t="s">
        <v>93</v>
      </c>
      <c r="F1362" s="197" t="s">
        <v>1654</v>
      </c>
      <c r="G1362" s="200" t="s">
        <v>202</v>
      </c>
      <c r="H1362" s="201">
        <v>42146</v>
      </c>
      <c r="I1362" s="200" t="s">
        <v>187</v>
      </c>
      <c r="J1362" s="200" t="s">
        <v>103</v>
      </c>
      <c r="K1362" s="200" t="s">
        <v>4734</v>
      </c>
      <c r="L1362" s="201">
        <v>42146</v>
      </c>
      <c r="M1362" s="197" t="s">
        <v>1914</v>
      </c>
      <c r="N1362" s="202" t="s">
        <v>185</v>
      </c>
      <c r="O1362" s="201">
        <v>42150</v>
      </c>
      <c r="P1362" s="203">
        <f t="shared" si="712"/>
        <v>11</v>
      </c>
      <c r="Q1362" s="200" t="s">
        <v>4735</v>
      </c>
      <c r="R1362" s="202" t="s">
        <v>17</v>
      </c>
      <c r="S1362" s="197" t="s">
        <v>101</v>
      </c>
      <c r="T1362" s="197" t="s">
        <v>101</v>
      </c>
      <c r="U1362" s="201">
        <v>42151</v>
      </c>
      <c r="V1362" s="202" t="s">
        <v>186</v>
      </c>
      <c r="W1362" s="204">
        <f t="shared" si="713"/>
        <v>0</v>
      </c>
      <c r="X1362" s="204" t="str">
        <f t="shared" si="714"/>
        <v>Correcto</v>
      </c>
    </row>
    <row r="1363" spans="1:24" ht="18" customHeight="1" x14ac:dyDescent="0.25">
      <c r="A1363" s="205">
        <v>1354</v>
      </c>
      <c r="B1363" s="197" t="s">
        <v>4736</v>
      </c>
      <c r="C1363" s="198">
        <v>42139</v>
      </c>
      <c r="D1363" s="199">
        <v>2</v>
      </c>
      <c r="E1363" s="200" t="s">
        <v>93</v>
      </c>
      <c r="F1363" s="197" t="s">
        <v>1654</v>
      </c>
      <c r="G1363" s="200" t="s">
        <v>202</v>
      </c>
      <c r="H1363" s="201">
        <v>42144</v>
      </c>
      <c r="I1363" s="200" t="s">
        <v>187</v>
      </c>
      <c r="J1363" s="200" t="s">
        <v>103</v>
      </c>
      <c r="K1363" s="200" t="s">
        <v>4737</v>
      </c>
      <c r="L1363" s="201">
        <v>42144</v>
      </c>
      <c r="M1363" s="197" t="s">
        <v>1914</v>
      </c>
      <c r="N1363" s="202" t="s">
        <v>185</v>
      </c>
      <c r="O1363" s="201">
        <v>42145</v>
      </c>
      <c r="P1363" s="203">
        <f t="shared" si="712"/>
        <v>6</v>
      </c>
      <c r="Q1363" s="200" t="s">
        <v>4738</v>
      </c>
      <c r="R1363" s="202" t="s">
        <v>17</v>
      </c>
      <c r="S1363" s="197" t="s">
        <v>101</v>
      </c>
      <c r="T1363" s="197" t="s">
        <v>101</v>
      </c>
      <c r="U1363" s="201">
        <v>42149</v>
      </c>
      <c r="V1363" s="202" t="s">
        <v>186</v>
      </c>
      <c r="W1363" s="204">
        <f t="shared" si="713"/>
        <v>0</v>
      </c>
      <c r="X1363" s="204" t="str">
        <f t="shared" si="714"/>
        <v>Correcto</v>
      </c>
    </row>
    <row r="1364" spans="1:24" ht="18" customHeight="1" x14ac:dyDescent="0.25">
      <c r="A1364" s="205">
        <v>1355</v>
      </c>
      <c r="B1364" s="197" t="s">
        <v>4739</v>
      </c>
      <c r="C1364" s="198">
        <v>42139</v>
      </c>
      <c r="D1364" s="199">
        <v>2</v>
      </c>
      <c r="E1364" s="200" t="s">
        <v>93</v>
      </c>
      <c r="F1364" s="197" t="s">
        <v>1654</v>
      </c>
      <c r="G1364" s="200" t="s">
        <v>202</v>
      </c>
      <c r="H1364" s="201">
        <v>42144</v>
      </c>
      <c r="I1364" s="200" t="s">
        <v>187</v>
      </c>
      <c r="J1364" s="200" t="s">
        <v>103</v>
      </c>
      <c r="K1364" s="200" t="s">
        <v>4740</v>
      </c>
      <c r="L1364" s="201">
        <v>42144</v>
      </c>
      <c r="M1364" s="197" t="s">
        <v>1914</v>
      </c>
      <c r="N1364" s="202" t="s">
        <v>185</v>
      </c>
      <c r="O1364" s="201">
        <v>42145</v>
      </c>
      <c r="P1364" s="203">
        <f t="shared" si="712"/>
        <v>6</v>
      </c>
      <c r="Q1364" s="200" t="s">
        <v>4741</v>
      </c>
      <c r="R1364" s="202" t="s">
        <v>605</v>
      </c>
      <c r="S1364" s="197" t="s">
        <v>101</v>
      </c>
      <c r="T1364" s="197" t="s">
        <v>4742</v>
      </c>
      <c r="U1364" s="201">
        <v>42146</v>
      </c>
      <c r="V1364" s="202" t="s">
        <v>186</v>
      </c>
      <c r="W1364" s="204">
        <f t="shared" si="713"/>
        <v>0</v>
      </c>
      <c r="X1364" s="204" t="str">
        <f t="shared" si="714"/>
        <v>Correcto</v>
      </c>
    </row>
    <row r="1365" spans="1:24" ht="18" customHeight="1" x14ac:dyDescent="0.25">
      <c r="A1365" s="205">
        <v>1356</v>
      </c>
      <c r="B1365" s="197" t="s">
        <v>4743</v>
      </c>
      <c r="C1365" s="198">
        <v>42139</v>
      </c>
      <c r="D1365" s="199">
        <v>2</v>
      </c>
      <c r="E1365" s="200" t="s">
        <v>93</v>
      </c>
      <c r="F1365" s="197" t="s">
        <v>1654</v>
      </c>
      <c r="G1365" s="200" t="s">
        <v>202</v>
      </c>
      <c r="H1365" s="201">
        <v>42144</v>
      </c>
      <c r="I1365" s="200" t="s">
        <v>187</v>
      </c>
      <c r="J1365" s="200" t="s">
        <v>103</v>
      </c>
      <c r="K1365" s="200" t="s">
        <v>4744</v>
      </c>
      <c r="L1365" s="201">
        <v>42144</v>
      </c>
      <c r="M1365" s="197" t="s">
        <v>1914</v>
      </c>
      <c r="N1365" s="202" t="s">
        <v>185</v>
      </c>
      <c r="O1365" s="201">
        <v>42145</v>
      </c>
      <c r="P1365" s="203">
        <f t="shared" si="712"/>
        <v>6</v>
      </c>
      <c r="Q1365" s="200" t="s">
        <v>4745</v>
      </c>
      <c r="R1365" s="202" t="s">
        <v>17</v>
      </c>
      <c r="S1365" s="197" t="s">
        <v>101</v>
      </c>
      <c r="T1365" s="197" t="s">
        <v>101</v>
      </c>
      <c r="U1365" s="201">
        <v>42149</v>
      </c>
      <c r="V1365" s="202" t="s">
        <v>186</v>
      </c>
      <c r="W1365" s="204">
        <f t="shared" si="713"/>
        <v>0</v>
      </c>
      <c r="X1365" s="204" t="str">
        <f t="shared" si="714"/>
        <v>Correcto</v>
      </c>
    </row>
    <row r="1366" spans="1:24" ht="18" customHeight="1" x14ac:dyDescent="0.25">
      <c r="A1366" s="205">
        <v>1357</v>
      </c>
      <c r="B1366" s="197" t="s">
        <v>4746</v>
      </c>
      <c r="C1366" s="198">
        <v>42139</v>
      </c>
      <c r="D1366" s="199">
        <v>2</v>
      </c>
      <c r="E1366" s="200" t="s">
        <v>93</v>
      </c>
      <c r="F1366" s="197" t="s">
        <v>1654</v>
      </c>
      <c r="G1366" s="200" t="s">
        <v>202</v>
      </c>
      <c r="H1366" s="201">
        <v>42144</v>
      </c>
      <c r="I1366" s="200" t="s">
        <v>187</v>
      </c>
      <c r="J1366" s="200" t="s">
        <v>103</v>
      </c>
      <c r="K1366" s="200" t="s">
        <v>4747</v>
      </c>
      <c r="L1366" s="201">
        <v>42144</v>
      </c>
      <c r="M1366" s="197" t="s">
        <v>1914</v>
      </c>
      <c r="N1366" s="202" t="s">
        <v>185</v>
      </c>
      <c r="O1366" s="201">
        <v>42145</v>
      </c>
      <c r="P1366" s="203">
        <f t="shared" si="712"/>
        <v>6</v>
      </c>
      <c r="Q1366" s="200" t="s">
        <v>4748</v>
      </c>
      <c r="R1366" s="202" t="s">
        <v>17</v>
      </c>
      <c r="S1366" s="197" t="s">
        <v>101</v>
      </c>
      <c r="T1366" s="197" t="s">
        <v>101</v>
      </c>
      <c r="U1366" s="201">
        <v>42142</v>
      </c>
      <c r="V1366" s="202" t="s">
        <v>186</v>
      </c>
      <c r="W1366" s="204">
        <f t="shared" si="713"/>
        <v>0</v>
      </c>
      <c r="X1366" s="204" t="str">
        <f t="shared" si="714"/>
        <v>Correcto</v>
      </c>
    </row>
    <row r="1367" spans="1:24" ht="18" customHeight="1" x14ac:dyDescent="0.25">
      <c r="A1367" s="205">
        <v>1358</v>
      </c>
      <c r="B1367" s="197" t="s">
        <v>4749</v>
      </c>
      <c r="C1367" s="198">
        <v>42139</v>
      </c>
      <c r="D1367" s="199">
        <v>2</v>
      </c>
      <c r="E1367" s="200" t="s">
        <v>93</v>
      </c>
      <c r="F1367" s="197" t="s">
        <v>1654</v>
      </c>
      <c r="G1367" s="200" t="s">
        <v>202</v>
      </c>
      <c r="H1367" s="201">
        <v>42144</v>
      </c>
      <c r="I1367" s="200" t="s">
        <v>187</v>
      </c>
      <c r="J1367" s="200" t="s">
        <v>103</v>
      </c>
      <c r="K1367" s="200" t="s">
        <v>4750</v>
      </c>
      <c r="L1367" s="201">
        <v>42144</v>
      </c>
      <c r="M1367" s="197" t="s">
        <v>1914</v>
      </c>
      <c r="N1367" s="202" t="s">
        <v>185</v>
      </c>
      <c r="O1367" s="201">
        <v>42145</v>
      </c>
      <c r="P1367" s="203">
        <f t="shared" si="712"/>
        <v>6</v>
      </c>
      <c r="Q1367" s="200" t="s">
        <v>4751</v>
      </c>
      <c r="R1367" s="202" t="s">
        <v>17</v>
      </c>
      <c r="S1367" s="197" t="s">
        <v>101</v>
      </c>
      <c r="T1367" s="197" t="s">
        <v>101</v>
      </c>
      <c r="U1367" s="201">
        <v>42149</v>
      </c>
      <c r="V1367" s="202" t="s">
        <v>186</v>
      </c>
      <c r="W1367" s="204">
        <f t="shared" si="713"/>
        <v>0</v>
      </c>
      <c r="X1367" s="204" t="str">
        <f t="shared" si="714"/>
        <v>Correcto</v>
      </c>
    </row>
    <row r="1368" spans="1:24" ht="18" customHeight="1" x14ac:dyDescent="0.25">
      <c r="A1368" s="205">
        <v>1359</v>
      </c>
      <c r="B1368" s="197" t="s">
        <v>4752</v>
      </c>
      <c r="C1368" s="198">
        <v>42139</v>
      </c>
      <c r="D1368" s="199">
        <v>2</v>
      </c>
      <c r="E1368" s="200" t="s">
        <v>93</v>
      </c>
      <c r="F1368" s="197" t="s">
        <v>1654</v>
      </c>
      <c r="G1368" s="200" t="s">
        <v>202</v>
      </c>
      <c r="H1368" s="201">
        <v>42144</v>
      </c>
      <c r="I1368" s="200" t="s">
        <v>187</v>
      </c>
      <c r="J1368" s="200" t="s">
        <v>103</v>
      </c>
      <c r="K1368" s="200" t="s">
        <v>4753</v>
      </c>
      <c r="L1368" s="201">
        <v>42144</v>
      </c>
      <c r="M1368" s="197" t="s">
        <v>1914</v>
      </c>
      <c r="N1368" s="202" t="s">
        <v>185</v>
      </c>
      <c r="O1368" s="201">
        <v>42145</v>
      </c>
      <c r="P1368" s="203">
        <f t="shared" si="712"/>
        <v>6</v>
      </c>
      <c r="Q1368" s="200" t="s">
        <v>4754</v>
      </c>
      <c r="R1368" s="202" t="s">
        <v>17</v>
      </c>
      <c r="S1368" s="197" t="s">
        <v>101</v>
      </c>
      <c r="T1368" s="197" t="s">
        <v>101</v>
      </c>
      <c r="U1368" s="201">
        <v>42149</v>
      </c>
      <c r="V1368" s="202" t="s">
        <v>186</v>
      </c>
      <c r="W1368" s="204">
        <f t="shared" si="713"/>
        <v>0</v>
      </c>
      <c r="X1368" s="204" t="str">
        <f t="shared" si="714"/>
        <v>Correcto</v>
      </c>
    </row>
    <row r="1369" spans="1:24" ht="18" customHeight="1" x14ac:dyDescent="0.25">
      <c r="A1369" s="205">
        <v>1360</v>
      </c>
      <c r="B1369" s="197" t="s">
        <v>4755</v>
      </c>
      <c r="C1369" s="198">
        <v>42139</v>
      </c>
      <c r="D1369" s="199">
        <v>2</v>
      </c>
      <c r="E1369" s="200" t="s">
        <v>93</v>
      </c>
      <c r="F1369" s="197" t="s">
        <v>1654</v>
      </c>
      <c r="G1369" s="200" t="s">
        <v>202</v>
      </c>
      <c r="H1369" s="201">
        <v>42144</v>
      </c>
      <c r="I1369" s="200" t="s">
        <v>187</v>
      </c>
      <c r="J1369" s="200" t="s">
        <v>103</v>
      </c>
      <c r="K1369" s="200" t="s">
        <v>4756</v>
      </c>
      <c r="L1369" s="201">
        <v>42144</v>
      </c>
      <c r="M1369" s="197" t="s">
        <v>1914</v>
      </c>
      <c r="N1369" s="202" t="s">
        <v>185</v>
      </c>
      <c r="O1369" s="201">
        <v>42145</v>
      </c>
      <c r="P1369" s="203">
        <f t="shared" si="712"/>
        <v>6</v>
      </c>
      <c r="Q1369" s="200" t="s">
        <v>4757</v>
      </c>
      <c r="R1369" s="202" t="s">
        <v>17</v>
      </c>
      <c r="S1369" s="197" t="s">
        <v>101</v>
      </c>
      <c r="T1369" s="197" t="s">
        <v>4758</v>
      </c>
      <c r="U1369" s="201">
        <v>42146</v>
      </c>
      <c r="V1369" s="202" t="s">
        <v>186</v>
      </c>
      <c r="W1369" s="204">
        <f t="shared" si="713"/>
        <v>0</v>
      </c>
      <c r="X1369" s="204" t="str">
        <f t="shared" si="714"/>
        <v>Correcto</v>
      </c>
    </row>
    <row r="1370" spans="1:24" ht="18" customHeight="1" x14ac:dyDescent="0.25">
      <c r="A1370" s="205">
        <v>1361</v>
      </c>
      <c r="B1370" s="197" t="s">
        <v>4759</v>
      </c>
      <c r="C1370" s="198">
        <v>42139</v>
      </c>
      <c r="D1370" s="199">
        <v>2</v>
      </c>
      <c r="E1370" s="200" t="s">
        <v>93</v>
      </c>
      <c r="F1370" s="197" t="s">
        <v>825</v>
      </c>
      <c r="G1370" s="200" t="s">
        <v>202</v>
      </c>
      <c r="H1370" s="201">
        <v>42145</v>
      </c>
      <c r="I1370" s="200" t="s">
        <v>187</v>
      </c>
      <c r="J1370" s="200" t="s">
        <v>103</v>
      </c>
      <c r="K1370" s="200" t="s">
        <v>4760</v>
      </c>
      <c r="L1370" s="201">
        <v>42145</v>
      </c>
      <c r="M1370" s="197" t="s">
        <v>1914</v>
      </c>
      <c r="N1370" s="202" t="s">
        <v>185</v>
      </c>
      <c r="O1370" s="201">
        <v>42145</v>
      </c>
      <c r="P1370" s="203">
        <f t="shared" si="712"/>
        <v>6</v>
      </c>
      <c r="Q1370" s="200" t="s">
        <v>4760</v>
      </c>
      <c r="R1370" s="202" t="s">
        <v>17</v>
      </c>
      <c r="S1370" s="197" t="s">
        <v>101</v>
      </c>
      <c r="T1370" s="197" t="s">
        <v>101</v>
      </c>
      <c r="U1370" s="201">
        <v>42149</v>
      </c>
      <c r="V1370" s="202" t="s">
        <v>186</v>
      </c>
      <c r="W1370" s="204">
        <f t="shared" si="713"/>
        <v>0</v>
      </c>
      <c r="X1370" s="204" t="str">
        <f t="shared" si="714"/>
        <v>Correcto</v>
      </c>
    </row>
    <row r="1371" spans="1:24" ht="18" customHeight="1" x14ac:dyDescent="0.25">
      <c r="A1371" s="205">
        <v>1362</v>
      </c>
      <c r="B1371" s="197" t="s">
        <v>4761</v>
      </c>
      <c r="C1371" s="198">
        <v>42139</v>
      </c>
      <c r="D1371" s="199">
        <v>2</v>
      </c>
      <c r="E1371" s="200" t="s">
        <v>93</v>
      </c>
      <c r="F1371" s="197" t="s">
        <v>1654</v>
      </c>
      <c r="G1371" s="200" t="s">
        <v>202</v>
      </c>
      <c r="H1371" s="201">
        <v>42144</v>
      </c>
      <c r="I1371" s="200" t="s">
        <v>187</v>
      </c>
      <c r="J1371" s="200" t="s">
        <v>103</v>
      </c>
      <c r="K1371" s="200" t="s">
        <v>4762</v>
      </c>
      <c r="L1371" s="201">
        <v>42144</v>
      </c>
      <c r="M1371" s="197" t="s">
        <v>1914</v>
      </c>
      <c r="N1371" s="202" t="s">
        <v>185</v>
      </c>
      <c r="O1371" s="201">
        <v>42145</v>
      </c>
      <c r="P1371" s="203">
        <f t="shared" si="712"/>
        <v>6</v>
      </c>
      <c r="Q1371" s="200" t="s">
        <v>4763</v>
      </c>
      <c r="R1371" s="202" t="s">
        <v>17</v>
      </c>
      <c r="S1371" s="197" t="s">
        <v>101</v>
      </c>
      <c r="T1371" s="197" t="s">
        <v>101</v>
      </c>
      <c r="U1371" s="201">
        <v>42149</v>
      </c>
      <c r="V1371" s="202" t="s">
        <v>186</v>
      </c>
      <c r="W1371" s="204">
        <f t="shared" si="713"/>
        <v>0</v>
      </c>
      <c r="X1371" s="204" t="str">
        <f t="shared" si="714"/>
        <v>Correcto</v>
      </c>
    </row>
    <row r="1372" spans="1:24" ht="18" customHeight="1" x14ac:dyDescent="0.25">
      <c r="A1372" s="205">
        <v>1363</v>
      </c>
      <c r="B1372" s="197" t="s">
        <v>4764</v>
      </c>
      <c r="C1372" s="198">
        <v>42139</v>
      </c>
      <c r="D1372" s="199">
        <v>2</v>
      </c>
      <c r="E1372" s="200" t="s">
        <v>93</v>
      </c>
      <c r="F1372" s="197" t="s">
        <v>1654</v>
      </c>
      <c r="G1372" s="200" t="s">
        <v>202</v>
      </c>
      <c r="H1372" s="201">
        <v>42144</v>
      </c>
      <c r="I1372" s="200" t="s">
        <v>187</v>
      </c>
      <c r="J1372" s="200" t="s">
        <v>103</v>
      </c>
      <c r="K1372" s="200" t="s">
        <v>4765</v>
      </c>
      <c r="L1372" s="201">
        <v>42144</v>
      </c>
      <c r="M1372" s="197" t="s">
        <v>1914</v>
      </c>
      <c r="N1372" s="202" t="s">
        <v>185</v>
      </c>
      <c r="O1372" s="201">
        <v>42145</v>
      </c>
      <c r="P1372" s="203">
        <f t="shared" si="712"/>
        <v>6</v>
      </c>
      <c r="Q1372" s="200" t="s">
        <v>4766</v>
      </c>
      <c r="R1372" s="202" t="s">
        <v>17</v>
      </c>
      <c r="S1372" s="197" t="s">
        <v>101</v>
      </c>
      <c r="T1372" s="197" t="s">
        <v>101</v>
      </c>
      <c r="U1372" s="201">
        <v>42149</v>
      </c>
      <c r="V1372" s="202" t="s">
        <v>186</v>
      </c>
      <c r="W1372" s="204">
        <f t="shared" si="713"/>
        <v>0</v>
      </c>
      <c r="X1372" s="204" t="str">
        <f t="shared" si="714"/>
        <v>Correcto</v>
      </c>
    </row>
    <row r="1373" spans="1:24" ht="18" customHeight="1" x14ac:dyDescent="0.25">
      <c r="A1373" s="205">
        <v>1364</v>
      </c>
      <c r="B1373" s="197" t="s">
        <v>4767</v>
      </c>
      <c r="C1373" s="198">
        <v>42139</v>
      </c>
      <c r="D1373" s="199">
        <v>2</v>
      </c>
      <c r="E1373" s="200" t="s">
        <v>93</v>
      </c>
      <c r="F1373" s="197" t="s">
        <v>1654</v>
      </c>
      <c r="G1373" s="200" t="s">
        <v>202</v>
      </c>
      <c r="H1373" s="201">
        <v>42144</v>
      </c>
      <c r="I1373" s="200" t="s">
        <v>187</v>
      </c>
      <c r="J1373" s="200" t="s">
        <v>103</v>
      </c>
      <c r="K1373" s="200" t="s">
        <v>4768</v>
      </c>
      <c r="L1373" s="201">
        <v>42144</v>
      </c>
      <c r="M1373" s="197" t="s">
        <v>1914</v>
      </c>
      <c r="N1373" s="202" t="s">
        <v>185</v>
      </c>
      <c r="O1373" s="201">
        <v>42145</v>
      </c>
      <c r="P1373" s="203">
        <f t="shared" si="712"/>
        <v>6</v>
      </c>
      <c r="Q1373" s="200" t="s">
        <v>4769</v>
      </c>
      <c r="R1373" s="202" t="s">
        <v>17</v>
      </c>
      <c r="S1373" s="197" t="s">
        <v>101</v>
      </c>
      <c r="T1373" s="197" t="s">
        <v>101</v>
      </c>
      <c r="U1373" s="201">
        <v>42149</v>
      </c>
      <c r="V1373" s="202" t="s">
        <v>186</v>
      </c>
      <c r="W1373" s="204">
        <f t="shared" si="713"/>
        <v>0</v>
      </c>
      <c r="X1373" s="204" t="str">
        <f t="shared" si="714"/>
        <v>Correcto</v>
      </c>
    </row>
    <row r="1374" spans="1:24" ht="18" customHeight="1" x14ac:dyDescent="0.25">
      <c r="A1374" s="205">
        <v>1365</v>
      </c>
      <c r="B1374" s="197" t="s">
        <v>4770</v>
      </c>
      <c r="C1374" s="198">
        <v>42142</v>
      </c>
      <c r="D1374" s="199">
        <v>2</v>
      </c>
      <c r="E1374" s="200" t="s">
        <v>93</v>
      </c>
      <c r="F1374" s="197" t="s">
        <v>1654</v>
      </c>
      <c r="G1374" s="200" t="s">
        <v>202</v>
      </c>
      <c r="H1374" s="201">
        <v>42145</v>
      </c>
      <c r="I1374" s="200" t="s">
        <v>187</v>
      </c>
      <c r="J1374" s="200" t="s">
        <v>103</v>
      </c>
      <c r="K1374" s="200" t="s">
        <v>4771</v>
      </c>
      <c r="L1374" s="201">
        <v>42145</v>
      </c>
      <c r="M1374" s="197" t="s">
        <v>1914</v>
      </c>
      <c r="N1374" s="202" t="s">
        <v>185</v>
      </c>
      <c r="O1374" s="201">
        <v>42145</v>
      </c>
      <c r="P1374" s="203">
        <f t="shared" si="712"/>
        <v>3</v>
      </c>
      <c r="Q1374" s="200" t="s">
        <v>4771</v>
      </c>
      <c r="R1374" s="202" t="s">
        <v>17</v>
      </c>
      <c r="S1374" s="197" t="s">
        <v>104</v>
      </c>
      <c r="T1374" s="197">
        <v>1150039624</v>
      </c>
      <c r="U1374" s="201">
        <v>42145</v>
      </c>
      <c r="V1374" s="202" t="s">
        <v>186</v>
      </c>
      <c r="W1374" s="204">
        <f t="shared" si="713"/>
        <v>0</v>
      </c>
      <c r="X1374" s="204" t="str">
        <f t="shared" si="714"/>
        <v>Correcto</v>
      </c>
    </row>
    <row r="1375" spans="1:24" ht="18" customHeight="1" x14ac:dyDescent="0.25">
      <c r="A1375" s="205">
        <v>1366</v>
      </c>
      <c r="B1375" s="197" t="s">
        <v>4772</v>
      </c>
      <c r="C1375" s="198">
        <v>42142</v>
      </c>
      <c r="D1375" s="199">
        <v>2</v>
      </c>
      <c r="E1375" s="200" t="s">
        <v>93</v>
      </c>
      <c r="F1375" s="197" t="s">
        <v>1654</v>
      </c>
      <c r="G1375" s="200" t="s">
        <v>202</v>
      </c>
      <c r="H1375" s="201">
        <v>42145</v>
      </c>
      <c r="I1375" s="200" t="s">
        <v>187</v>
      </c>
      <c r="J1375" s="200" t="s">
        <v>103</v>
      </c>
      <c r="K1375" s="200" t="s">
        <v>4773</v>
      </c>
      <c r="L1375" s="201">
        <v>42145</v>
      </c>
      <c r="M1375" s="197" t="s">
        <v>1914</v>
      </c>
      <c r="N1375" s="202" t="s">
        <v>185</v>
      </c>
      <c r="O1375" s="201">
        <v>42145</v>
      </c>
      <c r="P1375" s="203">
        <f t="shared" si="712"/>
        <v>3</v>
      </c>
      <c r="Q1375" s="200" t="s">
        <v>4773</v>
      </c>
      <c r="R1375" s="202" t="s">
        <v>17</v>
      </c>
      <c r="S1375" s="197" t="s">
        <v>104</v>
      </c>
      <c r="T1375" s="197">
        <v>1102554753</v>
      </c>
      <c r="U1375" s="201">
        <v>42145</v>
      </c>
      <c r="V1375" s="202" t="s">
        <v>186</v>
      </c>
      <c r="W1375" s="204">
        <f t="shared" si="713"/>
        <v>0</v>
      </c>
      <c r="X1375" s="204" t="str">
        <f t="shared" si="714"/>
        <v>Correcto</v>
      </c>
    </row>
    <row r="1376" spans="1:24" ht="18" customHeight="1" x14ac:dyDescent="0.25">
      <c r="A1376" s="205">
        <v>1367</v>
      </c>
      <c r="B1376" s="197" t="s">
        <v>4774</v>
      </c>
      <c r="C1376" s="198">
        <v>42142</v>
      </c>
      <c r="D1376" s="199">
        <v>2</v>
      </c>
      <c r="E1376" s="200" t="s">
        <v>93</v>
      </c>
      <c r="F1376" s="197" t="s">
        <v>1654</v>
      </c>
      <c r="G1376" s="200" t="s">
        <v>202</v>
      </c>
      <c r="H1376" s="201">
        <v>42144</v>
      </c>
      <c r="I1376" s="200" t="s">
        <v>187</v>
      </c>
      <c r="J1376" s="200" t="s">
        <v>103</v>
      </c>
      <c r="K1376" s="200" t="s">
        <v>4775</v>
      </c>
      <c r="L1376" s="201">
        <v>42144</v>
      </c>
      <c r="M1376" s="197" t="s">
        <v>1914</v>
      </c>
      <c r="N1376" s="202" t="s">
        <v>185</v>
      </c>
      <c r="O1376" s="201">
        <v>42144</v>
      </c>
      <c r="P1376" s="203">
        <f t="shared" si="712"/>
        <v>2</v>
      </c>
      <c r="Q1376" s="200" t="s">
        <v>4775</v>
      </c>
      <c r="R1376" s="202" t="s">
        <v>17</v>
      </c>
      <c r="S1376" s="197" t="s">
        <v>104</v>
      </c>
      <c r="T1376" s="197">
        <v>1100274073</v>
      </c>
      <c r="U1376" s="201">
        <v>42144</v>
      </c>
      <c r="V1376" s="202" t="s">
        <v>186</v>
      </c>
      <c r="W1376" s="204">
        <f t="shared" si="713"/>
        <v>0</v>
      </c>
      <c r="X1376" s="204" t="str">
        <f t="shared" si="714"/>
        <v>Correcto</v>
      </c>
    </row>
    <row r="1377" spans="1:24" ht="18" customHeight="1" x14ac:dyDescent="0.25">
      <c r="A1377" s="205">
        <v>1368</v>
      </c>
      <c r="B1377" s="197" t="s">
        <v>4776</v>
      </c>
      <c r="C1377" s="198">
        <v>42142</v>
      </c>
      <c r="D1377" s="199">
        <v>2</v>
      </c>
      <c r="E1377" s="200" t="s">
        <v>93</v>
      </c>
      <c r="F1377" s="197" t="s">
        <v>1654</v>
      </c>
      <c r="G1377" s="200" t="s">
        <v>202</v>
      </c>
      <c r="H1377" s="201">
        <v>42146</v>
      </c>
      <c r="I1377" s="200" t="s">
        <v>187</v>
      </c>
      <c r="J1377" s="200" t="s">
        <v>103</v>
      </c>
      <c r="K1377" s="200" t="s">
        <v>4777</v>
      </c>
      <c r="L1377" s="201">
        <v>42146</v>
      </c>
      <c r="M1377" s="197" t="s">
        <v>1914</v>
      </c>
      <c r="N1377" s="202" t="s">
        <v>185</v>
      </c>
      <c r="O1377" s="201">
        <v>42146</v>
      </c>
      <c r="P1377" s="203">
        <f t="shared" si="712"/>
        <v>4</v>
      </c>
      <c r="Q1377" s="200" t="s">
        <v>4777</v>
      </c>
      <c r="R1377" s="202" t="s">
        <v>17</v>
      </c>
      <c r="S1377" s="197" t="s">
        <v>104</v>
      </c>
      <c r="T1377" s="197">
        <v>1106054354</v>
      </c>
      <c r="U1377" s="201">
        <v>42144</v>
      </c>
      <c r="V1377" s="202" t="s">
        <v>186</v>
      </c>
      <c r="W1377" s="204">
        <f t="shared" si="713"/>
        <v>0</v>
      </c>
      <c r="X1377" s="204" t="str">
        <f t="shared" si="714"/>
        <v>Correcto</v>
      </c>
    </row>
    <row r="1378" spans="1:24" ht="18" customHeight="1" x14ac:dyDescent="0.25">
      <c r="A1378" s="205">
        <v>1369</v>
      </c>
      <c r="B1378" s="197" t="s">
        <v>4778</v>
      </c>
      <c r="C1378" s="198">
        <v>42142</v>
      </c>
      <c r="D1378" s="199">
        <v>2</v>
      </c>
      <c r="E1378" s="200" t="s">
        <v>93</v>
      </c>
      <c r="F1378" s="197" t="s">
        <v>1654</v>
      </c>
      <c r="G1378" s="200" t="s">
        <v>202</v>
      </c>
      <c r="H1378" s="201">
        <v>42146</v>
      </c>
      <c r="I1378" s="200" t="s">
        <v>187</v>
      </c>
      <c r="J1378" s="200" t="s">
        <v>103</v>
      </c>
      <c r="K1378" s="200" t="s">
        <v>4779</v>
      </c>
      <c r="L1378" s="201">
        <v>42146</v>
      </c>
      <c r="M1378" s="197" t="s">
        <v>1914</v>
      </c>
      <c r="N1378" s="202" t="s">
        <v>185</v>
      </c>
      <c r="O1378" s="201">
        <v>42150</v>
      </c>
      <c r="P1378" s="203">
        <f t="shared" si="712"/>
        <v>8</v>
      </c>
      <c r="Q1378" s="200" t="s">
        <v>4780</v>
      </c>
      <c r="R1378" s="202" t="s">
        <v>17</v>
      </c>
      <c r="S1378" s="197" t="s">
        <v>101</v>
      </c>
      <c r="T1378" s="197" t="s">
        <v>101</v>
      </c>
      <c r="U1378" s="201">
        <v>42151</v>
      </c>
      <c r="V1378" s="202" t="s">
        <v>186</v>
      </c>
      <c r="W1378" s="204">
        <f t="shared" si="713"/>
        <v>0</v>
      </c>
      <c r="X1378" s="204" t="str">
        <f t="shared" si="714"/>
        <v>Correcto</v>
      </c>
    </row>
    <row r="1379" spans="1:24" ht="18" customHeight="1" x14ac:dyDescent="0.25">
      <c r="A1379" s="205">
        <v>1370</v>
      </c>
      <c r="B1379" s="197" t="s">
        <v>4781</v>
      </c>
      <c r="C1379" s="198">
        <v>42142</v>
      </c>
      <c r="D1379" s="199">
        <v>2</v>
      </c>
      <c r="E1379" s="200" t="s">
        <v>93</v>
      </c>
      <c r="F1379" s="197" t="s">
        <v>825</v>
      </c>
      <c r="G1379" s="200" t="s">
        <v>202</v>
      </c>
      <c r="H1379" s="201">
        <v>42145</v>
      </c>
      <c r="I1379" s="200" t="s">
        <v>187</v>
      </c>
      <c r="J1379" s="200" t="s">
        <v>103</v>
      </c>
      <c r="K1379" s="200" t="s">
        <v>4782</v>
      </c>
      <c r="L1379" s="201">
        <v>42145</v>
      </c>
      <c r="M1379" s="197" t="s">
        <v>824</v>
      </c>
      <c r="N1379" s="202" t="s">
        <v>185</v>
      </c>
      <c r="O1379" s="201">
        <v>42145</v>
      </c>
      <c r="P1379" s="203">
        <f t="shared" si="712"/>
        <v>3</v>
      </c>
      <c r="Q1379" s="200" t="s">
        <v>4782</v>
      </c>
      <c r="R1379" s="202" t="s">
        <v>17</v>
      </c>
      <c r="S1379" s="197" t="s">
        <v>101</v>
      </c>
      <c r="T1379" s="197" t="s">
        <v>101</v>
      </c>
      <c r="U1379" s="201">
        <v>42149</v>
      </c>
      <c r="V1379" s="202" t="s">
        <v>186</v>
      </c>
      <c r="W1379" s="204">
        <f t="shared" si="713"/>
        <v>0</v>
      </c>
      <c r="X1379" s="204" t="str">
        <f t="shared" si="714"/>
        <v>Correcto</v>
      </c>
    </row>
    <row r="1380" spans="1:24" ht="18" customHeight="1" x14ac:dyDescent="0.25">
      <c r="A1380" s="205">
        <v>1371</v>
      </c>
      <c r="B1380" s="197" t="s">
        <v>4783</v>
      </c>
      <c r="C1380" s="198">
        <v>42142</v>
      </c>
      <c r="D1380" s="199">
        <v>2</v>
      </c>
      <c r="E1380" s="200" t="s">
        <v>93</v>
      </c>
      <c r="F1380" s="197" t="s">
        <v>1654</v>
      </c>
      <c r="G1380" s="200" t="s">
        <v>202</v>
      </c>
      <c r="H1380" s="201">
        <v>42149</v>
      </c>
      <c r="I1380" s="200" t="s">
        <v>187</v>
      </c>
      <c r="J1380" s="200" t="s">
        <v>103</v>
      </c>
      <c r="K1380" s="200" t="s">
        <v>4784</v>
      </c>
      <c r="L1380" s="201">
        <v>42149</v>
      </c>
      <c r="M1380" s="197" t="s">
        <v>1914</v>
      </c>
      <c r="N1380" s="202" t="s">
        <v>185</v>
      </c>
      <c r="O1380" s="201">
        <v>42150</v>
      </c>
      <c r="P1380" s="203">
        <f t="shared" si="712"/>
        <v>8</v>
      </c>
      <c r="Q1380" s="200" t="s">
        <v>4785</v>
      </c>
      <c r="R1380" s="202" t="s">
        <v>17</v>
      </c>
      <c r="S1380" s="197" t="s">
        <v>101</v>
      </c>
      <c r="T1380" s="197" t="s">
        <v>101</v>
      </c>
      <c r="U1380" s="201">
        <v>42151</v>
      </c>
      <c r="V1380" s="202" t="s">
        <v>186</v>
      </c>
      <c r="W1380" s="204">
        <f t="shared" si="713"/>
        <v>0</v>
      </c>
      <c r="X1380" s="204" t="str">
        <f t="shared" si="714"/>
        <v>Correcto</v>
      </c>
    </row>
    <row r="1381" spans="1:24" ht="18" customHeight="1" x14ac:dyDescent="0.25">
      <c r="A1381" s="205">
        <v>1372</v>
      </c>
      <c r="B1381" s="197" t="s">
        <v>4786</v>
      </c>
      <c r="C1381" s="198">
        <v>42142</v>
      </c>
      <c r="D1381" s="199">
        <v>2</v>
      </c>
      <c r="E1381" s="200" t="s">
        <v>93</v>
      </c>
      <c r="F1381" s="197" t="s">
        <v>1654</v>
      </c>
      <c r="G1381" s="200" t="s">
        <v>202</v>
      </c>
      <c r="H1381" s="201">
        <v>42145</v>
      </c>
      <c r="I1381" s="200" t="s">
        <v>187</v>
      </c>
      <c r="J1381" s="200" t="s">
        <v>103</v>
      </c>
      <c r="K1381" s="200" t="s">
        <v>4787</v>
      </c>
      <c r="L1381" s="201">
        <v>42145</v>
      </c>
      <c r="M1381" s="197" t="s">
        <v>1914</v>
      </c>
      <c r="N1381" s="202" t="s">
        <v>185</v>
      </c>
      <c r="O1381" s="201">
        <v>42145</v>
      </c>
      <c r="P1381" s="203">
        <f t="shared" si="712"/>
        <v>3</v>
      </c>
      <c r="Q1381" s="200" t="s">
        <v>4787</v>
      </c>
      <c r="R1381" s="202" t="s">
        <v>17</v>
      </c>
      <c r="S1381" s="197" t="s">
        <v>104</v>
      </c>
      <c r="T1381" s="197">
        <v>1104544653</v>
      </c>
      <c r="U1381" s="201">
        <v>42145</v>
      </c>
      <c r="V1381" s="202" t="s">
        <v>186</v>
      </c>
      <c r="W1381" s="204">
        <f t="shared" si="713"/>
        <v>0</v>
      </c>
      <c r="X1381" s="204" t="str">
        <f t="shared" si="714"/>
        <v>Correcto</v>
      </c>
    </row>
    <row r="1382" spans="1:24" ht="18" customHeight="1" x14ac:dyDescent="0.25">
      <c r="A1382" s="205">
        <v>1373</v>
      </c>
      <c r="B1382" s="197" t="s">
        <v>4788</v>
      </c>
      <c r="C1382" s="198">
        <v>42142</v>
      </c>
      <c r="D1382" s="199">
        <v>2</v>
      </c>
      <c r="E1382" s="200" t="s">
        <v>93</v>
      </c>
      <c r="F1382" s="197" t="s">
        <v>1654</v>
      </c>
      <c r="G1382" s="200" t="s">
        <v>202</v>
      </c>
      <c r="H1382" s="201">
        <v>42149</v>
      </c>
      <c r="I1382" s="200" t="s">
        <v>187</v>
      </c>
      <c r="J1382" s="200" t="s">
        <v>103</v>
      </c>
      <c r="K1382" s="200" t="s">
        <v>4789</v>
      </c>
      <c r="L1382" s="201">
        <v>42149</v>
      </c>
      <c r="M1382" s="197" t="s">
        <v>1914</v>
      </c>
      <c r="N1382" s="202" t="s">
        <v>185</v>
      </c>
      <c r="O1382" s="201">
        <v>42150</v>
      </c>
      <c r="P1382" s="203">
        <f t="shared" si="712"/>
        <v>8</v>
      </c>
      <c r="Q1382" s="200" t="s">
        <v>4790</v>
      </c>
      <c r="R1382" s="202" t="s">
        <v>17</v>
      </c>
      <c r="S1382" s="197" t="s">
        <v>101</v>
      </c>
      <c r="T1382" s="197" t="s">
        <v>101</v>
      </c>
      <c r="U1382" s="201">
        <v>42151</v>
      </c>
      <c r="V1382" s="202" t="s">
        <v>186</v>
      </c>
      <c r="W1382" s="204">
        <f t="shared" si="713"/>
        <v>0</v>
      </c>
      <c r="X1382" s="204" t="str">
        <f t="shared" si="714"/>
        <v>Correcto</v>
      </c>
    </row>
    <row r="1383" spans="1:24" ht="18" customHeight="1" x14ac:dyDescent="0.25">
      <c r="A1383" s="205">
        <v>1374</v>
      </c>
      <c r="B1383" s="197" t="s">
        <v>4791</v>
      </c>
      <c r="C1383" s="198">
        <v>42142</v>
      </c>
      <c r="D1383" s="199">
        <v>2</v>
      </c>
      <c r="E1383" s="200" t="s">
        <v>93</v>
      </c>
      <c r="F1383" s="197" t="s">
        <v>1654</v>
      </c>
      <c r="G1383" s="200" t="s">
        <v>202</v>
      </c>
      <c r="H1383" s="201">
        <v>42149</v>
      </c>
      <c r="I1383" s="200" t="s">
        <v>187</v>
      </c>
      <c r="J1383" s="200" t="s">
        <v>103</v>
      </c>
      <c r="K1383" s="200" t="s">
        <v>4792</v>
      </c>
      <c r="L1383" s="201">
        <v>42149</v>
      </c>
      <c r="M1383" s="197" t="s">
        <v>1914</v>
      </c>
      <c r="N1383" s="202" t="s">
        <v>185</v>
      </c>
      <c r="O1383" s="201">
        <v>42150</v>
      </c>
      <c r="P1383" s="203">
        <f t="shared" si="712"/>
        <v>8</v>
      </c>
      <c r="Q1383" s="200" t="s">
        <v>4793</v>
      </c>
      <c r="R1383" s="202" t="s">
        <v>605</v>
      </c>
      <c r="S1383" s="197" t="s">
        <v>101</v>
      </c>
      <c r="T1383" s="197" t="s">
        <v>4794</v>
      </c>
      <c r="U1383" s="201">
        <v>42150</v>
      </c>
      <c r="V1383" s="202" t="s">
        <v>186</v>
      </c>
      <c r="W1383" s="204">
        <f t="shared" si="713"/>
        <v>0</v>
      </c>
      <c r="X1383" s="204" t="str">
        <f t="shared" si="714"/>
        <v>Correcto</v>
      </c>
    </row>
    <row r="1384" spans="1:24" ht="18" customHeight="1" x14ac:dyDescent="0.25">
      <c r="A1384" s="205">
        <v>1375</v>
      </c>
      <c r="B1384" s="197" t="s">
        <v>4795</v>
      </c>
      <c r="C1384" s="198">
        <v>42143</v>
      </c>
      <c r="D1384" s="199">
        <v>2</v>
      </c>
      <c r="E1384" s="200" t="s">
        <v>93</v>
      </c>
      <c r="F1384" s="197" t="s">
        <v>1654</v>
      </c>
      <c r="G1384" s="200" t="s">
        <v>202</v>
      </c>
      <c r="H1384" s="201">
        <v>42149</v>
      </c>
      <c r="I1384" s="200" t="s">
        <v>187</v>
      </c>
      <c r="J1384" s="200" t="s">
        <v>103</v>
      </c>
      <c r="K1384" s="200" t="s">
        <v>4796</v>
      </c>
      <c r="L1384" s="201">
        <v>42149</v>
      </c>
      <c r="M1384" s="197" t="s">
        <v>1914</v>
      </c>
      <c r="N1384" s="202" t="s">
        <v>185</v>
      </c>
      <c r="O1384" s="201">
        <v>42149</v>
      </c>
      <c r="P1384" s="203">
        <f t="shared" si="712"/>
        <v>6</v>
      </c>
      <c r="Q1384" s="200" t="s">
        <v>4797</v>
      </c>
      <c r="R1384" s="202" t="s">
        <v>17</v>
      </c>
      <c r="S1384" s="197" t="s">
        <v>101</v>
      </c>
      <c r="T1384" s="197">
        <v>704930619</v>
      </c>
      <c r="U1384" s="201">
        <v>42149</v>
      </c>
      <c r="V1384" s="202" t="s">
        <v>186</v>
      </c>
      <c r="W1384" s="204">
        <f t="shared" si="713"/>
        <v>0</v>
      </c>
      <c r="X1384" s="204" t="str">
        <f t="shared" si="714"/>
        <v>Correcto</v>
      </c>
    </row>
    <row r="1385" spans="1:24" ht="18" customHeight="1" x14ac:dyDescent="0.25">
      <c r="A1385" s="205">
        <v>1376</v>
      </c>
      <c r="B1385" s="197" t="s">
        <v>4798</v>
      </c>
      <c r="C1385" s="198">
        <v>42143</v>
      </c>
      <c r="D1385" s="199">
        <v>2</v>
      </c>
      <c r="E1385" s="200" t="s">
        <v>93</v>
      </c>
      <c r="F1385" s="197" t="s">
        <v>1654</v>
      </c>
      <c r="G1385" s="200" t="s">
        <v>202</v>
      </c>
      <c r="H1385" s="201">
        <v>42149</v>
      </c>
      <c r="I1385" s="200" t="s">
        <v>187</v>
      </c>
      <c r="J1385" s="200" t="s">
        <v>103</v>
      </c>
      <c r="K1385" s="200" t="s">
        <v>4799</v>
      </c>
      <c r="L1385" s="201">
        <v>42149</v>
      </c>
      <c r="M1385" s="197" t="s">
        <v>1914</v>
      </c>
      <c r="N1385" s="202" t="s">
        <v>185</v>
      </c>
      <c r="O1385" s="201">
        <v>42150</v>
      </c>
      <c r="P1385" s="203">
        <f t="shared" si="712"/>
        <v>7</v>
      </c>
      <c r="Q1385" s="200" t="s">
        <v>4800</v>
      </c>
      <c r="R1385" s="202" t="s">
        <v>17</v>
      </c>
      <c r="S1385" s="197" t="s">
        <v>101</v>
      </c>
      <c r="T1385" s="197" t="s">
        <v>101</v>
      </c>
      <c r="U1385" s="201">
        <v>42151</v>
      </c>
      <c r="V1385" s="202" t="s">
        <v>186</v>
      </c>
      <c r="W1385" s="204">
        <f t="shared" si="713"/>
        <v>0</v>
      </c>
      <c r="X1385" s="204" t="str">
        <f t="shared" si="714"/>
        <v>Correcto</v>
      </c>
    </row>
    <row r="1386" spans="1:24" ht="18" customHeight="1" x14ac:dyDescent="0.25">
      <c r="A1386" s="205">
        <v>1377</v>
      </c>
      <c r="B1386" s="197" t="s">
        <v>4801</v>
      </c>
      <c r="C1386" s="198">
        <v>42143</v>
      </c>
      <c r="D1386" s="199">
        <v>2</v>
      </c>
      <c r="E1386" s="200" t="s">
        <v>93</v>
      </c>
      <c r="F1386" s="197" t="s">
        <v>1654</v>
      </c>
      <c r="G1386" s="200" t="s">
        <v>202</v>
      </c>
      <c r="H1386" s="201">
        <v>42145</v>
      </c>
      <c r="I1386" s="200" t="s">
        <v>187</v>
      </c>
      <c r="J1386" s="200" t="s">
        <v>103</v>
      </c>
      <c r="K1386" s="200" t="s">
        <v>4802</v>
      </c>
      <c r="L1386" s="201">
        <v>42145</v>
      </c>
      <c r="M1386" s="197" t="s">
        <v>1914</v>
      </c>
      <c r="N1386" s="202" t="s">
        <v>185</v>
      </c>
      <c r="O1386" s="201">
        <v>42145</v>
      </c>
      <c r="P1386" s="203">
        <f t="shared" si="712"/>
        <v>2</v>
      </c>
      <c r="Q1386" s="200" t="s">
        <v>4802</v>
      </c>
      <c r="R1386" s="202" t="s">
        <v>17</v>
      </c>
      <c r="S1386" s="197" t="s">
        <v>104</v>
      </c>
      <c r="T1386" s="197">
        <v>1105659203</v>
      </c>
      <c r="U1386" s="201">
        <v>42145</v>
      </c>
      <c r="V1386" s="202" t="s">
        <v>186</v>
      </c>
      <c r="W1386" s="204">
        <f t="shared" si="713"/>
        <v>0</v>
      </c>
      <c r="X1386" s="204" t="str">
        <f t="shared" si="714"/>
        <v>Correcto</v>
      </c>
    </row>
    <row r="1387" spans="1:24" ht="18" customHeight="1" x14ac:dyDescent="0.25">
      <c r="A1387" s="205">
        <v>1378</v>
      </c>
      <c r="B1387" s="197" t="s">
        <v>4803</v>
      </c>
      <c r="C1387" s="198">
        <v>42143</v>
      </c>
      <c r="D1387" s="199">
        <v>2</v>
      </c>
      <c r="E1387" s="200" t="s">
        <v>93</v>
      </c>
      <c r="F1387" s="197" t="s">
        <v>1654</v>
      </c>
      <c r="G1387" s="200" t="s">
        <v>202</v>
      </c>
      <c r="H1387" s="201">
        <v>42149</v>
      </c>
      <c r="I1387" s="200" t="s">
        <v>187</v>
      </c>
      <c r="J1387" s="200" t="s">
        <v>103</v>
      </c>
      <c r="K1387" s="200" t="s">
        <v>4804</v>
      </c>
      <c r="L1387" s="201">
        <v>42149</v>
      </c>
      <c r="M1387" s="197" t="s">
        <v>1914</v>
      </c>
      <c r="N1387" s="202" t="s">
        <v>185</v>
      </c>
      <c r="O1387" s="201">
        <v>42150</v>
      </c>
      <c r="P1387" s="203">
        <f t="shared" si="712"/>
        <v>7</v>
      </c>
      <c r="Q1387" s="200" t="s">
        <v>4805</v>
      </c>
      <c r="R1387" s="202" t="s">
        <v>17</v>
      </c>
      <c r="S1387" s="197" t="s">
        <v>101</v>
      </c>
      <c r="T1387" s="197" t="s">
        <v>101</v>
      </c>
      <c r="U1387" s="201">
        <v>42151</v>
      </c>
      <c r="V1387" s="202" t="s">
        <v>186</v>
      </c>
      <c r="W1387" s="204">
        <f t="shared" si="713"/>
        <v>0</v>
      </c>
      <c r="X1387" s="204" t="str">
        <f t="shared" si="714"/>
        <v>Correcto</v>
      </c>
    </row>
    <row r="1388" spans="1:24" ht="18" customHeight="1" x14ac:dyDescent="0.25">
      <c r="A1388" s="205">
        <v>1379</v>
      </c>
      <c r="B1388" s="197" t="s">
        <v>4806</v>
      </c>
      <c r="C1388" s="198">
        <v>42143</v>
      </c>
      <c r="D1388" s="199">
        <v>2</v>
      </c>
      <c r="E1388" s="200" t="s">
        <v>93</v>
      </c>
      <c r="F1388" s="197" t="s">
        <v>1654</v>
      </c>
      <c r="G1388" s="200" t="s">
        <v>202</v>
      </c>
      <c r="H1388" s="201">
        <v>42149</v>
      </c>
      <c r="I1388" s="200" t="s">
        <v>187</v>
      </c>
      <c r="J1388" s="200" t="s">
        <v>103</v>
      </c>
      <c r="K1388" s="200" t="s">
        <v>4807</v>
      </c>
      <c r="L1388" s="201">
        <v>42149</v>
      </c>
      <c r="M1388" s="197" t="s">
        <v>1914</v>
      </c>
      <c r="N1388" s="202" t="s">
        <v>185</v>
      </c>
      <c r="O1388" s="201">
        <v>42150</v>
      </c>
      <c r="P1388" s="203">
        <f t="shared" si="712"/>
        <v>7</v>
      </c>
      <c r="Q1388" s="200" t="s">
        <v>4808</v>
      </c>
      <c r="R1388" s="202" t="s">
        <v>17</v>
      </c>
      <c r="S1388" s="197" t="s">
        <v>101</v>
      </c>
      <c r="T1388" s="197" t="s">
        <v>101</v>
      </c>
      <c r="U1388" s="201">
        <v>42151</v>
      </c>
      <c r="V1388" s="202" t="s">
        <v>186</v>
      </c>
      <c r="W1388" s="204">
        <f t="shared" si="713"/>
        <v>0</v>
      </c>
      <c r="X1388" s="204" t="str">
        <f t="shared" si="714"/>
        <v>Correcto</v>
      </c>
    </row>
    <row r="1389" spans="1:24" ht="18" customHeight="1" x14ac:dyDescent="0.25">
      <c r="A1389" s="205">
        <v>1380</v>
      </c>
      <c r="B1389" s="197" t="s">
        <v>4809</v>
      </c>
      <c r="C1389" s="198">
        <v>42143</v>
      </c>
      <c r="D1389" s="199">
        <v>2</v>
      </c>
      <c r="E1389" s="200" t="s">
        <v>93</v>
      </c>
      <c r="F1389" s="197" t="s">
        <v>1654</v>
      </c>
      <c r="G1389" s="200" t="s">
        <v>202</v>
      </c>
      <c r="H1389" s="201">
        <v>42149</v>
      </c>
      <c r="I1389" s="200" t="s">
        <v>187</v>
      </c>
      <c r="J1389" s="200" t="s">
        <v>103</v>
      </c>
      <c r="K1389" s="200" t="s">
        <v>4810</v>
      </c>
      <c r="L1389" s="201">
        <v>42149</v>
      </c>
      <c r="M1389" s="197" t="s">
        <v>1914</v>
      </c>
      <c r="N1389" s="202" t="s">
        <v>185</v>
      </c>
      <c r="O1389" s="201">
        <v>42150</v>
      </c>
      <c r="P1389" s="203">
        <f t="shared" si="712"/>
        <v>7</v>
      </c>
      <c r="Q1389" s="200" t="s">
        <v>4811</v>
      </c>
      <c r="R1389" s="202" t="s">
        <v>17</v>
      </c>
      <c r="S1389" s="197" t="s">
        <v>101</v>
      </c>
      <c r="T1389" s="197" t="s">
        <v>101</v>
      </c>
      <c r="U1389" s="201">
        <v>42151</v>
      </c>
      <c r="V1389" s="202" t="s">
        <v>186</v>
      </c>
      <c r="W1389" s="204">
        <f t="shared" si="713"/>
        <v>0</v>
      </c>
      <c r="X1389" s="204" t="str">
        <f t="shared" si="714"/>
        <v>Correcto</v>
      </c>
    </row>
    <row r="1390" spans="1:24" ht="18" customHeight="1" x14ac:dyDescent="0.25">
      <c r="A1390" s="205">
        <v>1381</v>
      </c>
      <c r="B1390" s="197" t="s">
        <v>4812</v>
      </c>
      <c r="C1390" s="198">
        <v>42143</v>
      </c>
      <c r="D1390" s="199">
        <v>2</v>
      </c>
      <c r="E1390" s="200" t="s">
        <v>93</v>
      </c>
      <c r="F1390" s="197" t="s">
        <v>1654</v>
      </c>
      <c r="G1390" s="200" t="s">
        <v>202</v>
      </c>
      <c r="H1390" s="201">
        <v>42149</v>
      </c>
      <c r="I1390" s="200" t="s">
        <v>187</v>
      </c>
      <c r="J1390" s="200" t="s">
        <v>103</v>
      </c>
      <c r="K1390" s="200" t="s">
        <v>4813</v>
      </c>
      <c r="L1390" s="201">
        <v>42149</v>
      </c>
      <c r="M1390" s="197" t="s">
        <v>1914</v>
      </c>
      <c r="N1390" s="202" t="s">
        <v>185</v>
      </c>
      <c r="O1390" s="201">
        <v>42150</v>
      </c>
      <c r="P1390" s="203">
        <f t="shared" si="712"/>
        <v>7</v>
      </c>
      <c r="Q1390" s="200" t="s">
        <v>4814</v>
      </c>
      <c r="R1390" s="202" t="s">
        <v>17</v>
      </c>
      <c r="S1390" s="197" t="s">
        <v>101</v>
      </c>
      <c r="T1390" s="197" t="s">
        <v>101</v>
      </c>
      <c r="U1390" s="201">
        <v>42151</v>
      </c>
      <c r="V1390" s="202" t="s">
        <v>186</v>
      </c>
      <c r="W1390" s="204">
        <f t="shared" si="713"/>
        <v>0</v>
      </c>
      <c r="X1390" s="204" t="str">
        <f t="shared" si="714"/>
        <v>Correcto</v>
      </c>
    </row>
    <row r="1391" spans="1:24" ht="18" customHeight="1" x14ac:dyDescent="0.25">
      <c r="A1391" s="205">
        <v>1382</v>
      </c>
      <c r="B1391" s="197" t="s">
        <v>4815</v>
      </c>
      <c r="C1391" s="198">
        <v>42143</v>
      </c>
      <c r="D1391" s="199">
        <v>2</v>
      </c>
      <c r="E1391" s="200" t="s">
        <v>93</v>
      </c>
      <c r="F1391" s="197" t="s">
        <v>1654</v>
      </c>
      <c r="G1391" s="200" t="s">
        <v>202</v>
      </c>
      <c r="H1391" s="201">
        <v>42143</v>
      </c>
      <c r="I1391" s="200" t="s">
        <v>187</v>
      </c>
      <c r="J1391" s="200" t="s">
        <v>103</v>
      </c>
      <c r="K1391" s="200" t="s">
        <v>4816</v>
      </c>
      <c r="L1391" s="201">
        <v>42143</v>
      </c>
      <c r="M1391" s="197" t="s">
        <v>1914</v>
      </c>
      <c r="N1391" s="202" t="s">
        <v>185</v>
      </c>
      <c r="O1391" s="201">
        <v>42143</v>
      </c>
      <c r="P1391" s="203">
        <f t="shared" si="712"/>
        <v>0</v>
      </c>
      <c r="Q1391" s="200" t="s">
        <v>4816</v>
      </c>
      <c r="R1391" s="202" t="s">
        <v>17</v>
      </c>
      <c r="S1391" s="197" t="s">
        <v>104</v>
      </c>
      <c r="T1391" s="197">
        <v>104829247</v>
      </c>
      <c r="U1391" s="201">
        <v>42144</v>
      </c>
      <c r="V1391" s="202" t="s">
        <v>186</v>
      </c>
      <c r="W1391" s="204">
        <f t="shared" si="713"/>
        <v>0</v>
      </c>
      <c r="X1391" s="204" t="str">
        <f t="shared" si="714"/>
        <v>Correcto</v>
      </c>
    </row>
    <row r="1392" spans="1:24" ht="18" customHeight="1" x14ac:dyDescent="0.25">
      <c r="A1392" s="205">
        <v>1383</v>
      </c>
      <c r="B1392" s="197" t="s">
        <v>4817</v>
      </c>
      <c r="C1392" s="198">
        <v>42143</v>
      </c>
      <c r="D1392" s="199">
        <v>2</v>
      </c>
      <c r="E1392" s="200" t="s">
        <v>93</v>
      </c>
      <c r="F1392" s="197" t="s">
        <v>1654</v>
      </c>
      <c r="G1392" s="200" t="s">
        <v>202</v>
      </c>
      <c r="H1392" s="201">
        <v>42149</v>
      </c>
      <c r="I1392" s="200" t="s">
        <v>187</v>
      </c>
      <c r="J1392" s="200" t="s">
        <v>103</v>
      </c>
      <c r="K1392" s="200" t="s">
        <v>4818</v>
      </c>
      <c r="L1392" s="201">
        <v>42149</v>
      </c>
      <c r="M1392" s="197" t="s">
        <v>1914</v>
      </c>
      <c r="N1392" s="202" t="s">
        <v>185</v>
      </c>
      <c r="O1392" s="201">
        <v>42150</v>
      </c>
      <c r="P1392" s="203">
        <f t="shared" si="712"/>
        <v>7</v>
      </c>
      <c r="Q1392" s="200" t="s">
        <v>4819</v>
      </c>
      <c r="R1392" s="202" t="s">
        <v>17</v>
      </c>
      <c r="S1392" s="197" t="s">
        <v>101</v>
      </c>
      <c r="T1392" s="197" t="s">
        <v>101</v>
      </c>
      <c r="U1392" s="201">
        <v>42151</v>
      </c>
      <c r="V1392" s="202" t="s">
        <v>186</v>
      </c>
      <c r="W1392" s="204">
        <f t="shared" si="713"/>
        <v>0</v>
      </c>
      <c r="X1392" s="204" t="str">
        <f t="shared" si="714"/>
        <v>Correcto</v>
      </c>
    </row>
    <row r="1393" spans="1:24" ht="18" customHeight="1" x14ac:dyDescent="0.25">
      <c r="A1393" s="205">
        <v>1384</v>
      </c>
      <c r="B1393" s="197" t="s">
        <v>4820</v>
      </c>
      <c r="C1393" s="198">
        <v>42143</v>
      </c>
      <c r="D1393" s="199">
        <v>2</v>
      </c>
      <c r="E1393" s="200" t="s">
        <v>93</v>
      </c>
      <c r="F1393" s="197" t="s">
        <v>1654</v>
      </c>
      <c r="G1393" s="200" t="s">
        <v>202</v>
      </c>
      <c r="H1393" s="201">
        <v>42146</v>
      </c>
      <c r="I1393" s="200" t="s">
        <v>187</v>
      </c>
      <c r="J1393" s="200" t="s">
        <v>103</v>
      </c>
      <c r="K1393" s="200" t="s">
        <v>4821</v>
      </c>
      <c r="L1393" s="201">
        <v>42146</v>
      </c>
      <c r="M1393" s="197" t="s">
        <v>1914</v>
      </c>
      <c r="N1393" s="202" t="s">
        <v>185</v>
      </c>
      <c r="O1393" s="201">
        <v>42146</v>
      </c>
      <c r="P1393" s="203">
        <f t="shared" si="712"/>
        <v>3</v>
      </c>
      <c r="Q1393" s="200" t="s">
        <v>4821</v>
      </c>
      <c r="R1393" s="202" t="s">
        <v>17</v>
      </c>
      <c r="S1393" s="197">
        <v>1900344530</v>
      </c>
      <c r="T1393" s="197">
        <v>1900344530</v>
      </c>
      <c r="U1393" s="201">
        <v>42146</v>
      </c>
      <c r="V1393" s="202" t="s">
        <v>186</v>
      </c>
      <c r="W1393" s="204">
        <f t="shared" si="713"/>
        <v>0</v>
      </c>
      <c r="X1393" s="204" t="str">
        <f t="shared" si="714"/>
        <v>Correcto</v>
      </c>
    </row>
    <row r="1394" spans="1:24" ht="18" customHeight="1" x14ac:dyDescent="0.25">
      <c r="A1394" s="205">
        <v>1385</v>
      </c>
      <c r="B1394" s="197" t="s">
        <v>4822</v>
      </c>
      <c r="C1394" s="198">
        <v>42143</v>
      </c>
      <c r="D1394" s="199">
        <v>15</v>
      </c>
      <c r="E1394" s="200" t="s">
        <v>93</v>
      </c>
      <c r="F1394" s="197" t="s">
        <v>1654</v>
      </c>
      <c r="G1394" s="200" t="s">
        <v>202</v>
      </c>
      <c r="H1394" s="201">
        <v>42150</v>
      </c>
      <c r="I1394" s="200" t="s">
        <v>187</v>
      </c>
      <c r="J1394" s="200" t="s">
        <v>103</v>
      </c>
      <c r="K1394" s="200" t="s">
        <v>4823</v>
      </c>
      <c r="L1394" s="201">
        <v>42150</v>
      </c>
      <c r="M1394" s="197" t="s">
        <v>1914</v>
      </c>
      <c r="N1394" s="202" t="s">
        <v>185</v>
      </c>
      <c r="O1394" s="201">
        <v>42150</v>
      </c>
      <c r="P1394" s="203">
        <f t="shared" ref="P1394:P1457" si="715">O1394-C1394</f>
        <v>7</v>
      </c>
      <c r="Q1394" s="200" t="s">
        <v>4823</v>
      </c>
      <c r="R1394" s="202" t="s">
        <v>17</v>
      </c>
      <c r="S1394" s="197" t="s">
        <v>104</v>
      </c>
      <c r="T1394" s="197">
        <v>1105686776</v>
      </c>
      <c r="U1394" s="201">
        <v>42150</v>
      </c>
      <c r="V1394" s="202" t="s">
        <v>186</v>
      </c>
      <c r="W1394" s="204">
        <f t="shared" ref="W1394:W1457" si="716">COUNTBLANK(C1394:V1394)</f>
        <v>0</v>
      </c>
      <c r="X1394" s="204" t="str">
        <f t="shared" ref="X1394:X1457" si="717">IF(W1394=0,"Correcto","Incorrecto")</f>
        <v>Correcto</v>
      </c>
    </row>
    <row r="1395" spans="1:24" ht="18" customHeight="1" x14ac:dyDescent="0.25">
      <c r="A1395" s="205">
        <v>1386</v>
      </c>
      <c r="B1395" s="197" t="s">
        <v>4824</v>
      </c>
      <c r="C1395" s="198">
        <v>42143</v>
      </c>
      <c r="D1395" s="199">
        <v>2</v>
      </c>
      <c r="E1395" s="200" t="s">
        <v>93</v>
      </c>
      <c r="F1395" s="197" t="s">
        <v>1654</v>
      </c>
      <c r="G1395" s="200" t="s">
        <v>202</v>
      </c>
      <c r="H1395" s="201">
        <v>42146</v>
      </c>
      <c r="I1395" s="200" t="s">
        <v>187</v>
      </c>
      <c r="J1395" s="200" t="s">
        <v>103</v>
      </c>
      <c r="K1395" s="200" t="s">
        <v>4825</v>
      </c>
      <c r="L1395" s="201">
        <v>42146</v>
      </c>
      <c r="M1395" s="197" t="s">
        <v>1914</v>
      </c>
      <c r="N1395" s="202" t="s">
        <v>185</v>
      </c>
      <c r="O1395" s="201">
        <v>42146</v>
      </c>
      <c r="P1395" s="203">
        <f t="shared" si="715"/>
        <v>3</v>
      </c>
      <c r="Q1395" s="200" t="s">
        <v>4825</v>
      </c>
      <c r="R1395" s="202" t="s">
        <v>17</v>
      </c>
      <c r="S1395" s="197" t="s">
        <v>104</v>
      </c>
      <c r="T1395" s="197">
        <v>1105694101</v>
      </c>
      <c r="U1395" s="201">
        <v>42146</v>
      </c>
      <c r="V1395" s="202" t="s">
        <v>186</v>
      </c>
      <c r="W1395" s="204">
        <f t="shared" si="716"/>
        <v>0</v>
      </c>
      <c r="X1395" s="204" t="str">
        <f t="shared" si="717"/>
        <v>Correcto</v>
      </c>
    </row>
    <row r="1396" spans="1:24" ht="18" customHeight="1" x14ac:dyDescent="0.25">
      <c r="A1396" s="205">
        <v>1387</v>
      </c>
      <c r="B1396" s="197" t="s">
        <v>4826</v>
      </c>
      <c r="C1396" s="198">
        <v>42143</v>
      </c>
      <c r="D1396" s="199">
        <v>2</v>
      </c>
      <c r="E1396" s="200" t="s">
        <v>93</v>
      </c>
      <c r="F1396" s="197" t="s">
        <v>1654</v>
      </c>
      <c r="G1396" s="200" t="s">
        <v>202</v>
      </c>
      <c r="H1396" s="201">
        <v>42149</v>
      </c>
      <c r="I1396" s="200" t="s">
        <v>187</v>
      </c>
      <c r="J1396" s="200" t="s">
        <v>103</v>
      </c>
      <c r="K1396" s="200" t="s">
        <v>4827</v>
      </c>
      <c r="L1396" s="201">
        <v>42149</v>
      </c>
      <c r="M1396" s="197" t="s">
        <v>1914</v>
      </c>
      <c r="N1396" s="202" t="s">
        <v>185</v>
      </c>
      <c r="O1396" s="201">
        <v>42150</v>
      </c>
      <c r="P1396" s="203">
        <f t="shared" si="715"/>
        <v>7</v>
      </c>
      <c r="Q1396" s="200" t="s">
        <v>4828</v>
      </c>
      <c r="R1396" s="202" t="s">
        <v>1027</v>
      </c>
      <c r="S1396" s="197" t="s">
        <v>101</v>
      </c>
      <c r="T1396" s="197" t="s">
        <v>4829</v>
      </c>
      <c r="U1396" s="201">
        <v>42150</v>
      </c>
      <c r="V1396" s="202" t="s">
        <v>186</v>
      </c>
      <c r="W1396" s="204">
        <f t="shared" si="716"/>
        <v>0</v>
      </c>
      <c r="X1396" s="204" t="str">
        <f t="shared" si="717"/>
        <v>Correcto</v>
      </c>
    </row>
    <row r="1397" spans="1:24" ht="18" customHeight="1" x14ac:dyDescent="0.25">
      <c r="A1397" s="205">
        <v>1388</v>
      </c>
      <c r="B1397" s="197" t="s">
        <v>4830</v>
      </c>
      <c r="C1397" s="198">
        <v>42143</v>
      </c>
      <c r="D1397" s="199">
        <v>2</v>
      </c>
      <c r="E1397" s="200" t="s">
        <v>93</v>
      </c>
      <c r="F1397" s="197" t="s">
        <v>1654</v>
      </c>
      <c r="G1397" s="200" t="s">
        <v>202</v>
      </c>
      <c r="H1397" s="201">
        <v>42146</v>
      </c>
      <c r="I1397" s="200" t="s">
        <v>187</v>
      </c>
      <c r="J1397" s="200" t="s">
        <v>103</v>
      </c>
      <c r="K1397" s="200" t="s">
        <v>4831</v>
      </c>
      <c r="L1397" s="201">
        <v>42146</v>
      </c>
      <c r="M1397" s="197" t="s">
        <v>1914</v>
      </c>
      <c r="N1397" s="202" t="s">
        <v>185</v>
      </c>
      <c r="O1397" s="201">
        <v>42146</v>
      </c>
      <c r="P1397" s="203">
        <f t="shared" si="715"/>
        <v>3</v>
      </c>
      <c r="Q1397" s="200" t="s">
        <v>4831</v>
      </c>
      <c r="R1397" s="202" t="s">
        <v>17</v>
      </c>
      <c r="S1397" s="197" t="s">
        <v>104</v>
      </c>
      <c r="T1397" s="197">
        <v>1104369655</v>
      </c>
      <c r="U1397" s="201">
        <v>42146</v>
      </c>
      <c r="V1397" s="202" t="s">
        <v>186</v>
      </c>
      <c r="W1397" s="204">
        <f t="shared" si="716"/>
        <v>0</v>
      </c>
      <c r="X1397" s="204" t="str">
        <f t="shared" si="717"/>
        <v>Correcto</v>
      </c>
    </row>
    <row r="1398" spans="1:24" ht="18" customHeight="1" x14ac:dyDescent="0.25">
      <c r="A1398" s="205">
        <v>1389</v>
      </c>
      <c r="B1398" s="197" t="s">
        <v>4832</v>
      </c>
      <c r="C1398" s="198">
        <v>42143</v>
      </c>
      <c r="D1398" s="199">
        <v>2</v>
      </c>
      <c r="E1398" s="200" t="s">
        <v>93</v>
      </c>
      <c r="F1398" s="197" t="s">
        <v>1654</v>
      </c>
      <c r="G1398" s="200" t="s">
        <v>202</v>
      </c>
      <c r="H1398" s="201">
        <v>42145</v>
      </c>
      <c r="I1398" s="200" t="s">
        <v>187</v>
      </c>
      <c r="J1398" s="200" t="s">
        <v>103</v>
      </c>
      <c r="K1398" s="200" t="s">
        <v>4833</v>
      </c>
      <c r="L1398" s="201">
        <v>42145</v>
      </c>
      <c r="M1398" s="197" t="s">
        <v>1914</v>
      </c>
      <c r="N1398" s="202" t="s">
        <v>185</v>
      </c>
      <c r="O1398" s="201">
        <v>42145</v>
      </c>
      <c r="P1398" s="203">
        <f t="shared" si="715"/>
        <v>2</v>
      </c>
      <c r="Q1398" s="200" t="s">
        <v>4833</v>
      </c>
      <c r="R1398" s="202" t="s">
        <v>17</v>
      </c>
      <c r="S1398" s="197" t="s">
        <v>104</v>
      </c>
      <c r="T1398" s="197">
        <v>1150074761</v>
      </c>
      <c r="U1398" s="201">
        <v>42146</v>
      </c>
      <c r="V1398" s="202" t="s">
        <v>186</v>
      </c>
      <c r="W1398" s="204">
        <f t="shared" si="716"/>
        <v>0</v>
      </c>
      <c r="X1398" s="204" t="str">
        <f t="shared" si="717"/>
        <v>Correcto</v>
      </c>
    </row>
    <row r="1399" spans="1:24" ht="18" customHeight="1" x14ac:dyDescent="0.25">
      <c r="A1399" s="205">
        <v>1390</v>
      </c>
      <c r="B1399" s="197" t="s">
        <v>4834</v>
      </c>
      <c r="C1399" s="198">
        <v>42143</v>
      </c>
      <c r="D1399" s="199">
        <v>2</v>
      </c>
      <c r="E1399" s="200" t="s">
        <v>93</v>
      </c>
      <c r="F1399" s="197" t="s">
        <v>1654</v>
      </c>
      <c r="G1399" s="200" t="s">
        <v>202</v>
      </c>
      <c r="H1399" s="201">
        <v>42145</v>
      </c>
      <c r="I1399" s="200" t="s">
        <v>187</v>
      </c>
      <c r="J1399" s="200" t="s">
        <v>103</v>
      </c>
      <c r="K1399" s="200" t="s">
        <v>4835</v>
      </c>
      <c r="L1399" s="201">
        <v>42145</v>
      </c>
      <c r="M1399" s="197" t="s">
        <v>1914</v>
      </c>
      <c r="N1399" s="202" t="s">
        <v>185</v>
      </c>
      <c r="O1399" s="201">
        <v>42145</v>
      </c>
      <c r="P1399" s="203">
        <f t="shared" si="715"/>
        <v>2</v>
      </c>
      <c r="Q1399" s="200" t="s">
        <v>4835</v>
      </c>
      <c r="R1399" s="202" t="s">
        <v>17</v>
      </c>
      <c r="S1399" s="197" t="s">
        <v>104</v>
      </c>
      <c r="T1399" s="197">
        <v>1102792825</v>
      </c>
      <c r="U1399" s="201">
        <v>42146</v>
      </c>
      <c r="V1399" s="202" t="s">
        <v>186</v>
      </c>
      <c r="W1399" s="204">
        <f t="shared" si="716"/>
        <v>0</v>
      </c>
      <c r="X1399" s="204" t="str">
        <f t="shared" si="717"/>
        <v>Correcto</v>
      </c>
    </row>
    <row r="1400" spans="1:24" ht="18" customHeight="1" x14ac:dyDescent="0.25">
      <c r="A1400" s="205">
        <v>1391</v>
      </c>
      <c r="B1400" s="197" t="s">
        <v>4836</v>
      </c>
      <c r="C1400" s="198">
        <v>42143</v>
      </c>
      <c r="D1400" s="199">
        <v>2</v>
      </c>
      <c r="E1400" s="200" t="s">
        <v>93</v>
      </c>
      <c r="F1400" s="197" t="s">
        <v>1654</v>
      </c>
      <c r="G1400" s="200" t="s">
        <v>202</v>
      </c>
      <c r="H1400" s="201">
        <v>42145</v>
      </c>
      <c r="I1400" s="200" t="s">
        <v>187</v>
      </c>
      <c r="J1400" s="200" t="s">
        <v>103</v>
      </c>
      <c r="K1400" s="200" t="s">
        <v>4837</v>
      </c>
      <c r="L1400" s="201">
        <v>42145</v>
      </c>
      <c r="M1400" s="197" t="s">
        <v>1914</v>
      </c>
      <c r="N1400" s="202" t="s">
        <v>185</v>
      </c>
      <c r="O1400" s="201">
        <v>42145</v>
      </c>
      <c r="P1400" s="203">
        <f t="shared" si="715"/>
        <v>2</v>
      </c>
      <c r="Q1400" s="200" t="s">
        <v>4837</v>
      </c>
      <c r="R1400" s="202" t="s">
        <v>17</v>
      </c>
      <c r="S1400" s="197" t="s">
        <v>104</v>
      </c>
      <c r="T1400" s="197">
        <v>1103422356</v>
      </c>
      <c r="U1400" s="201">
        <v>42146</v>
      </c>
      <c r="V1400" s="202" t="s">
        <v>186</v>
      </c>
      <c r="W1400" s="204">
        <f t="shared" si="716"/>
        <v>0</v>
      </c>
      <c r="X1400" s="204" t="str">
        <f t="shared" si="717"/>
        <v>Correcto</v>
      </c>
    </row>
    <row r="1401" spans="1:24" ht="18" customHeight="1" x14ac:dyDescent="0.25">
      <c r="A1401" s="205">
        <v>1392</v>
      </c>
      <c r="B1401" s="197" t="s">
        <v>4838</v>
      </c>
      <c r="C1401" s="198">
        <v>42143</v>
      </c>
      <c r="D1401" s="199">
        <v>2</v>
      </c>
      <c r="E1401" s="200" t="s">
        <v>93</v>
      </c>
      <c r="F1401" s="197" t="s">
        <v>1654</v>
      </c>
      <c r="G1401" s="200" t="s">
        <v>202</v>
      </c>
      <c r="H1401" s="201">
        <v>42145</v>
      </c>
      <c r="I1401" s="200" t="s">
        <v>187</v>
      </c>
      <c r="J1401" s="200" t="s">
        <v>103</v>
      </c>
      <c r="K1401" s="200" t="s">
        <v>4839</v>
      </c>
      <c r="L1401" s="201">
        <v>42145</v>
      </c>
      <c r="M1401" s="197" t="s">
        <v>1914</v>
      </c>
      <c r="N1401" s="202" t="s">
        <v>185</v>
      </c>
      <c r="O1401" s="201">
        <v>42145</v>
      </c>
      <c r="P1401" s="203">
        <f t="shared" si="715"/>
        <v>2</v>
      </c>
      <c r="Q1401" s="200" t="s">
        <v>4839</v>
      </c>
      <c r="R1401" s="202" t="s">
        <v>17</v>
      </c>
      <c r="S1401" s="197" t="s">
        <v>104</v>
      </c>
      <c r="T1401" s="197">
        <v>1104451115</v>
      </c>
      <c r="U1401" s="201">
        <v>42146</v>
      </c>
      <c r="V1401" s="202" t="s">
        <v>186</v>
      </c>
      <c r="W1401" s="204">
        <f t="shared" si="716"/>
        <v>0</v>
      </c>
      <c r="X1401" s="204" t="str">
        <f t="shared" si="717"/>
        <v>Correcto</v>
      </c>
    </row>
    <row r="1402" spans="1:24" ht="18" customHeight="1" x14ac:dyDescent="0.25">
      <c r="A1402" s="205">
        <v>1393</v>
      </c>
      <c r="B1402" s="197" t="s">
        <v>4840</v>
      </c>
      <c r="C1402" s="198">
        <v>42144</v>
      </c>
      <c r="D1402" s="199">
        <v>300</v>
      </c>
      <c r="E1402" s="200" t="s">
        <v>93</v>
      </c>
      <c r="F1402" s="197" t="s">
        <v>1654</v>
      </c>
      <c r="G1402" s="200" t="s">
        <v>202</v>
      </c>
      <c r="H1402" s="201">
        <v>42150</v>
      </c>
      <c r="I1402" s="200" t="s">
        <v>187</v>
      </c>
      <c r="J1402" s="200" t="s">
        <v>103</v>
      </c>
      <c r="K1402" s="200" t="s">
        <v>4841</v>
      </c>
      <c r="L1402" s="201">
        <v>42150</v>
      </c>
      <c r="M1402" s="197" t="s">
        <v>1914</v>
      </c>
      <c r="N1402" s="202" t="s">
        <v>185</v>
      </c>
      <c r="O1402" s="201">
        <v>42150</v>
      </c>
      <c r="P1402" s="203">
        <f t="shared" si="715"/>
        <v>6</v>
      </c>
      <c r="Q1402" s="200" t="s">
        <v>4841</v>
      </c>
      <c r="R1402" s="202" t="s">
        <v>17</v>
      </c>
      <c r="S1402" s="197" t="s">
        <v>4842</v>
      </c>
      <c r="T1402" s="197" t="s">
        <v>4843</v>
      </c>
      <c r="U1402" s="201">
        <v>42150</v>
      </c>
      <c r="V1402" s="202" t="s">
        <v>186</v>
      </c>
      <c r="W1402" s="204">
        <f t="shared" si="716"/>
        <v>0</v>
      </c>
      <c r="X1402" s="204" t="str">
        <f t="shared" si="717"/>
        <v>Correcto</v>
      </c>
    </row>
    <row r="1403" spans="1:24" ht="18" customHeight="1" x14ac:dyDescent="0.25">
      <c r="A1403" s="205">
        <v>1394</v>
      </c>
      <c r="B1403" s="197" t="s">
        <v>4844</v>
      </c>
      <c r="C1403" s="198">
        <v>42144</v>
      </c>
      <c r="D1403" s="199">
        <v>2</v>
      </c>
      <c r="E1403" s="200" t="s">
        <v>93</v>
      </c>
      <c r="F1403" s="197" t="s">
        <v>1654</v>
      </c>
      <c r="G1403" s="200" t="s">
        <v>202</v>
      </c>
      <c r="H1403" s="201">
        <v>42145</v>
      </c>
      <c r="I1403" s="200" t="s">
        <v>187</v>
      </c>
      <c r="J1403" s="200" t="s">
        <v>103</v>
      </c>
      <c r="K1403" s="200" t="s">
        <v>4845</v>
      </c>
      <c r="L1403" s="201">
        <v>42145</v>
      </c>
      <c r="M1403" s="197" t="s">
        <v>1914</v>
      </c>
      <c r="N1403" s="202" t="s">
        <v>185</v>
      </c>
      <c r="O1403" s="201">
        <v>42145</v>
      </c>
      <c r="P1403" s="203">
        <f t="shared" si="715"/>
        <v>1</v>
      </c>
      <c r="Q1403" s="200" t="s">
        <v>4845</v>
      </c>
      <c r="R1403" s="202" t="s">
        <v>17</v>
      </c>
      <c r="S1403" s="197" t="s">
        <v>104</v>
      </c>
      <c r="T1403" s="197">
        <v>1104104664</v>
      </c>
      <c r="U1403" s="201">
        <v>42145</v>
      </c>
      <c r="V1403" s="202" t="s">
        <v>186</v>
      </c>
      <c r="W1403" s="204">
        <f t="shared" si="716"/>
        <v>0</v>
      </c>
      <c r="X1403" s="204" t="str">
        <f t="shared" si="717"/>
        <v>Correcto</v>
      </c>
    </row>
    <row r="1404" spans="1:24" ht="18" customHeight="1" x14ac:dyDescent="0.25">
      <c r="A1404" s="205">
        <v>1395</v>
      </c>
      <c r="B1404" s="197" t="s">
        <v>4846</v>
      </c>
      <c r="C1404" s="198">
        <v>42144</v>
      </c>
      <c r="D1404" s="199">
        <v>2</v>
      </c>
      <c r="E1404" s="200" t="s">
        <v>93</v>
      </c>
      <c r="F1404" s="197" t="s">
        <v>1654</v>
      </c>
      <c r="G1404" s="200" t="s">
        <v>202</v>
      </c>
      <c r="H1404" s="201">
        <v>42146</v>
      </c>
      <c r="I1404" s="200" t="s">
        <v>187</v>
      </c>
      <c r="J1404" s="200" t="s">
        <v>103</v>
      </c>
      <c r="K1404" s="200" t="s">
        <v>4847</v>
      </c>
      <c r="L1404" s="201">
        <v>42146</v>
      </c>
      <c r="M1404" s="197" t="s">
        <v>1914</v>
      </c>
      <c r="N1404" s="202" t="s">
        <v>185</v>
      </c>
      <c r="O1404" s="201">
        <v>42146</v>
      </c>
      <c r="P1404" s="203">
        <f t="shared" si="715"/>
        <v>2</v>
      </c>
      <c r="Q1404" s="200" t="s">
        <v>4847</v>
      </c>
      <c r="R1404" s="202" t="s">
        <v>17</v>
      </c>
      <c r="S1404" s="197" t="s">
        <v>104</v>
      </c>
      <c r="T1404" s="197">
        <v>1103106298</v>
      </c>
      <c r="U1404" s="201">
        <v>42146</v>
      </c>
      <c r="V1404" s="202" t="s">
        <v>186</v>
      </c>
      <c r="W1404" s="204">
        <f t="shared" si="716"/>
        <v>0</v>
      </c>
      <c r="X1404" s="204" t="str">
        <f t="shared" si="717"/>
        <v>Correcto</v>
      </c>
    </row>
    <row r="1405" spans="1:24" ht="18" customHeight="1" x14ac:dyDescent="0.25">
      <c r="A1405" s="205">
        <v>1396</v>
      </c>
      <c r="B1405" s="197" t="s">
        <v>4848</v>
      </c>
      <c r="C1405" s="198">
        <v>42144</v>
      </c>
      <c r="D1405" s="199">
        <v>2</v>
      </c>
      <c r="E1405" s="200" t="s">
        <v>93</v>
      </c>
      <c r="F1405" s="197" t="s">
        <v>1654</v>
      </c>
      <c r="G1405" s="200" t="s">
        <v>202</v>
      </c>
      <c r="H1405" s="201">
        <v>42149</v>
      </c>
      <c r="I1405" s="200" t="s">
        <v>187</v>
      </c>
      <c r="J1405" s="200" t="s">
        <v>103</v>
      </c>
      <c r="K1405" s="200" t="s">
        <v>4849</v>
      </c>
      <c r="L1405" s="201">
        <v>42149</v>
      </c>
      <c r="M1405" s="197" t="s">
        <v>1914</v>
      </c>
      <c r="N1405" s="202" t="s">
        <v>185</v>
      </c>
      <c r="O1405" s="201">
        <v>42150</v>
      </c>
      <c r="P1405" s="203">
        <f t="shared" si="715"/>
        <v>6</v>
      </c>
      <c r="Q1405" s="200" t="s">
        <v>4850</v>
      </c>
      <c r="R1405" s="202" t="s">
        <v>17</v>
      </c>
      <c r="S1405" s="197" t="s">
        <v>101</v>
      </c>
      <c r="T1405" s="197" t="s">
        <v>101</v>
      </c>
      <c r="U1405" s="201">
        <v>42151</v>
      </c>
      <c r="V1405" s="202" t="s">
        <v>186</v>
      </c>
      <c r="W1405" s="204">
        <f t="shared" si="716"/>
        <v>0</v>
      </c>
      <c r="X1405" s="204" t="str">
        <f t="shared" si="717"/>
        <v>Correcto</v>
      </c>
    </row>
    <row r="1406" spans="1:24" ht="18" customHeight="1" x14ac:dyDescent="0.25">
      <c r="A1406" s="205">
        <v>1397</v>
      </c>
      <c r="B1406" s="197" t="s">
        <v>4851</v>
      </c>
      <c r="C1406" s="198">
        <v>42144</v>
      </c>
      <c r="D1406" s="199">
        <v>2</v>
      </c>
      <c r="E1406" s="200" t="s">
        <v>93</v>
      </c>
      <c r="F1406" s="197" t="s">
        <v>1654</v>
      </c>
      <c r="G1406" s="200" t="s">
        <v>202</v>
      </c>
      <c r="H1406" s="201">
        <v>42146</v>
      </c>
      <c r="I1406" s="200" t="s">
        <v>187</v>
      </c>
      <c r="J1406" s="200" t="s">
        <v>103</v>
      </c>
      <c r="K1406" s="200" t="s">
        <v>4852</v>
      </c>
      <c r="L1406" s="201">
        <v>42146</v>
      </c>
      <c r="M1406" s="197" t="s">
        <v>1914</v>
      </c>
      <c r="N1406" s="202" t="s">
        <v>185</v>
      </c>
      <c r="O1406" s="201">
        <v>42146</v>
      </c>
      <c r="P1406" s="203">
        <f t="shared" si="715"/>
        <v>2</v>
      </c>
      <c r="Q1406" s="200" t="s">
        <v>4852</v>
      </c>
      <c r="R1406" s="202" t="s">
        <v>17</v>
      </c>
      <c r="S1406" s="197" t="s">
        <v>104</v>
      </c>
      <c r="T1406" s="197">
        <v>1102960927</v>
      </c>
      <c r="U1406" s="201">
        <v>42146</v>
      </c>
      <c r="V1406" s="202" t="s">
        <v>186</v>
      </c>
      <c r="W1406" s="204">
        <f t="shared" si="716"/>
        <v>0</v>
      </c>
      <c r="X1406" s="204" t="str">
        <f t="shared" si="717"/>
        <v>Correcto</v>
      </c>
    </row>
    <row r="1407" spans="1:24" ht="18" customHeight="1" x14ac:dyDescent="0.25">
      <c r="A1407" s="205">
        <v>1398</v>
      </c>
      <c r="B1407" s="197" t="s">
        <v>4853</v>
      </c>
      <c r="C1407" s="198">
        <v>42144</v>
      </c>
      <c r="D1407" s="199">
        <v>2</v>
      </c>
      <c r="E1407" s="200" t="s">
        <v>93</v>
      </c>
      <c r="F1407" s="197" t="s">
        <v>1654</v>
      </c>
      <c r="G1407" s="200" t="s">
        <v>202</v>
      </c>
      <c r="H1407" s="201">
        <v>42149</v>
      </c>
      <c r="I1407" s="200" t="s">
        <v>187</v>
      </c>
      <c r="J1407" s="200" t="s">
        <v>103</v>
      </c>
      <c r="K1407" s="200" t="s">
        <v>4854</v>
      </c>
      <c r="L1407" s="201">
        <v>42149</v>
      </c>
      <c r="M1407" s="197" t="s">
        <v>1914</v>
      </c>
      <c r="N1407" s="202" t="s">
        <v>185</v>
      </c>
      <c r="O1407" s="201">
        <v>42150</v>
      </c>
      <c r="P1407" s="203">
        <f t="shared" si="715"/>
        <v>6</v>
      </c>
      <c r="Q1407" s="200" t="s">
        <v>4855</v>
      </c>
      <c r="R1407" s="202" t="s">
        <v>17</v>
      </c>
      <c r="S1407" s="197" t="s">
        <v>101</v>
      </c>
      <c r="T1407" s="197" t="s">
        <v>101</v>
      </c>
      <c r="U1407" s="201">
        <v>42151</v>
      </c>
      <c r="V1407" s="202" t="s">
        <v>186</v>
      </c>
      <c r="W1407" s="204">
        <f t="shared" si="716"/>
        <v>0</v>
      </c>
      <c r="X1407" s="204" t="str">
        <f t="shared" si="717"/>
        <v>Correcto</v>
      </c>
    </row>
    <row r="1408" spans="1:24" ht="18" customHeight="1" x14ac:dyDescent="0.25">
      <c r="A1408" s="205">
        <v>1399</v>
      </c>
      <c r="B1408" s="197" t="s">
        <v>4856</v>
      </c>
      <c r="C1408" s="198">
        <v>42144</v>
      </c>
      <c r="D1408" s="199">
        <v>2</v>
      </c>
      <c r="E1408" s="200" t="s">
        <v>93</v>
      </c>
      <c r="F1408" s="197" t="s">
        <v>1654</v>
      </c>
      <c r="G1408" s="200" t="s">
        <v>202</v>
      </c>
      <c r="H1408" s="201">
        <v>42149</v>
      </c>
      <c r="I1408" s="200" t="s">
        <v>187</v>
      </c>
      <c r="J1408" s="200" t="s">
        <v>103</v>
      </c>
      <c r="K1408" s="200" t="s">
        <v>4857</v>
      </c>
      <c r="L1408" s="201">
        <v>42149</v>
      </c>
      <c r="M1408" s="197" t="s">
        <v>1914</v>
      </c>
      <c r="N1408" s="202" t="s">
        <v>185</v>
      </c>
      <c r="O1408" s="201">
        <v>42150</v>
      </c>
      <c r="P1408" s="203">
        <f t="shared" si="715"/>
        <v>6</v>
      </c>
      <c r="Q1408" s="200" t="s">
        <v>4858</v>
      </c>
      <c r="R1408" s="202" t="s">
        <v>17</v>
      </c>
      <c r="S1408" s="197" t="s">
        <v>101</v>
      </c>
      <c r="T1408" s="197" t="s">
        <v>101</v>
      </c>
      <c r="U1408" s="201">
        <v>42151</v>
      </c>
      <c r="V1408" s="202" t="s">
        <v>186</v>
      </c>
      <c r="W1408" s="204">
        <f t="shared" si="716"/>
        <v>0</v>
      </c>
      <c r="X1408" s="204" t="str">
        <f t="shared" si="717"/>
        <v>Correcto</v>
      </c>
    </row>
    <row r="1409" spans="1:24" ht="18" customHeight="1" x14ac:dyDescent="0.25">
      <c r="A1409" s="205">
        <v>1400</v>
      </c>
      <c r="B1409" s="197" t="s">
        <v>4859</v>
      </c>
      <c r="C1409" s="198">
        <v>42144</v>
      </c>
      <c r="D1409" s="199">
        <v>2</v>
      </c>
      <c r="E1409" s="200" t="s">
        <v>93</v>
      </c>
      <c r="F1409" s="197" t="s">
        <v>1654</v>
      </c>
      <c r="G1409" s="200" t="s">
        <v>202</v>
      </c>
      <c r="H1409" s="201">
        <v>42149</v>
      </c>
      <c r="I1409" s="200" t="s">
        <v>187</v>
      </c>
      <c r="J1409" s="200" t="s">
        <v>103</v>
      </c>
      <c r="K1409" s="200" t="s">
        <v>4860</v>
      </c>
      <c r="L1409" s="201">
        <v>42149</v>
      </c>
      <c r="M1409" s="197" t="s">
        <v>1914</v>
      </c>
      <c r="N1409" s="202" t="s">
        <v>185</v>
      </c>
      <c r="O1409" s="201">
        <v>42150</v>
      </c>
      <c r="P1409" s="203">
        <f t="shared" si="715"/>
        <v>6</v>
      </c>
      <c r="Q1409" s="200" t="s">
        <v>4861</v>
      </c>
      <c r="R1409" s="202" t="s">
        <v>17</v>
      </c>
      <c r="S1409" s="197" t="s">
        <v>101</v>
      </c>
      <c r="T1409" s="197" t="s">
        <v>101</v>
      </c>
      <c r="U1409" s="201">
        <v>42151</v>
      </c>
      <c r="V1409" s="202" t="s">
        <v>186</v>
      </c>
      <c r="W1409" s="204">
        <f t="shared" si="716"/>
        <v>0</v>
      </c>
      <c r="X1409" s="204" t="str">
        <f t="shared" si="717"/>
        <v>Correcto</v>
      </c>
    </row>
    <row r="1410" spans="1:24" ht="18" customHeight="1" x14ac:dyDescent="0.25">
      <c r="A1410" s="205">
        <v>1401</v>
      </c>
      <c r="B1410" s="197" t="s">
        <v>4862</v>
      </c>
      <c r="C1410" s="198">
        <v>42144</v>
      </c>
      <c r="D1410" s="199">
        <v>2</v>
      </c>
      <c r="E1410" s="200" t="s">
        <v>93</v>
      </c>
      <c r="F1410" s="197" t="s">
        <v>1654</v>
      </c>
      <c r="G1410" s="200" t="s">
        <v>202</v>
      </c>
      <c r="H1410" s="201">
        <v>42146</v>
      </c>
      <c r="I1410" s="200" t="s">
        <v>187</v>
      </c>
      <c r="J1410" s="200" t="s">
        <v>103</v>
      </c>
      <c r="K1410" s="200" t="s">
        <v>4863</v>
      </c>
      <c r="L1410" s="201">
        <v>42146</v>
      </c>
      <c r="M1410" s="197" t="s">
        <v>1914</v>
      </c>
      <c r="N1410" s="202" t="s">
        <v>185</v>
      </c>
      <c r="O1410" s="201">
        <v>42146</v>
      </c>
      <c r="P1410" s="203">
        <f t="shared" si="715"/>
        <v>2</v>
      </c>
      <c r="Q1410" s="200" t="s">
        <v>4863</v>
      </c>
      <c r="R1410" s="202" t="s">
        <v>17</v>
      </c>
      <c r="S1410" s="197" t="s">
        <v>104</v>
      </c>
      <c r="T1410" s="197">
        <v>1803215878</v>
      </c>
      <c r="U1410" s="201">
        <v>42146</v>
      </c>
      <c r="V1410" s="202" t="s">
        <v>186</v>
      </c>
      <c r="W1410" s="204">
        <f t="shared" si="716"/>
        <v>0</v>
      </c>
      <c r="X1410" s="204" t="str">
        <f t="shared" si="717"/>
        <v>Correcto</v>
      </c>
    </row>
    <row r="1411" spans="1:24" ht="18" customHeight="1" x14ac:dyDescent="0.25">
      <c r="A1411" s="205">
        <v>1402</v>
      </c>
      <c r="B1411" s="197" t="s">
        <v>4864</v>
      </c>
      <c r="C1411" s="198">
        <v>42144</v>
      </c>
      <c r="D1411" s="199">
        <v>2</v>
      </c>
      <c r="E1411" s="200" t="s">
        <v>93</v>
      </c>
      <c r="F1411" s="197" t="s">
        <v>1654</v>
      </c>
      <c r="G1411" s="200" t="s">
        <v>202</v>
      </c>
      <c r="H1411" s="201">
        <v>42146</v>
      </c>
      <c r="I1411" s="200" t="s">
        <v>187</v>
      </c>
      <c r="J1411" s="200" t="s">
        <v>103</v>
      </c>
      <c r="K1411" s="200" t="s">
        <v>4865</v>
      </c>
      <c r="L1411" s="201">
        <v>42146</v>
      </c>
      <c r="M1411" s="197" t="s">
        <v>1914</v>
      </c>
      <c r="N1411" s="202" t="s">
        <v>185</v>
      </c>
      <c r="O1411" s="201">
        <v>42146</v>
      </c>
      <c r="P1411" s="203">
        <f t="shared" si="715"/>
        <v>2</v>
      </c>
      <c r="Q1411" s="200" t="s">
        <v>4865</v>
      </c>
      <c r="R1411" s="202" t="s">
        <v>17</v>
      </c>
      <c r="S1411" s="197" t="s">
        <v>104</v>
      </c>
      <c r="T1411" s="197">
        <v>1105100661</v>
      </c>
      <c r="U1411" s="201">
        <v>42146</v>
      </c>
      <c r="V1411" s="202" t="s">
        <v>186</v>
      </c>
      <c r="W1411" s="204">
        <f t="shared" si="716"/>
        <v>0</v>
      </c>
      <c r="X1411" s="204" t="str">
        <f t="shared" si="717"/>
        <v>Correcto</v>
      </c>
    </row>
    <row r="1412" spans="1:24" ht="18" customHeight="1" x14ac:dyDescent="0.25">
      <c r="A1412" s="205">
        <v>1403</v>
      </c>
      <c r="B1412" s="197" t="s">
        <v>4866</v>
      </c>
      <c r="C1412" s="198">
        <v>42144</v>
      </c>
      <c r="D1412" s="199">
        <v>2</v>
      </c>
      <c r="E1412" s="200" t="s">
        <v>93</v>
      </c>
      <c r="F1412" s="197" t="s">
        <v>1654</v>
      </c>
      <c r="G1412" s="200" t="s">
        <v>202</v>
      </c>
      <c r="H1412" s="201">
        <v>42149</v>
      </c>
      <c r="I1412" s="200" t="s">
        <v>187</v>
      </c>
      <c r="J1412" s="200" t="s">
        <v>103</v>
      </c>
      <c r="K1412" s="200" t="s">
        <v>4867</v>
      </c>
      <c r="L1412" s="201">
        <v>42149</v>
      </c>
      <c r="M1412" s="197" t="s">
        <v>1914</v>
      </c>
      <c r="N1412" s="202" t="s">
        <v>185</v>
      </c>
      <c r="O1412" s="201">
        <v>42150</v>
      </c>
      <c r="P1412" s="203">
        <f t="shared" si="715"/>
        <v>6</v>
      </c>
      <c r="Q1412" s="200" t="s">
        <v>4868</v>
      </c>
      <c r="R1412" s="202" t="s">
        <v>17</v>
      </c>
      <c r="S1412" s="197" t="s">
        <v>101</v>
      </c>
      <c r="T1412" s="197" t="s">
        <v>101</v>
      </c>
      <c r="U1412" s="201">
        <v>42153</v>
      </c>
      <c r="V1412" s="202" t="s">
        <v>186</v>
      </c>
      <c r="W1412" s="204">
        <f t="shared" si="716"/>
        <v>0</v>
      </c>
      <c r="X1412" s="204" t="str">
        <f t="shared" si="717"/>
        <v>Correcto</v>
      </c>
    </row>
    <row r="1413" spans="1:24" ht="18" customHeight="1" x14ac:dyDescent="0.25">
      <c r="A1413" s="205">
        <v>1404</v>
      </c>
      <c r="B1413" s="197" t="s">
        <v>4869</v>
      </c>
      <c r="C1413" s="198">
        <v>42144</v>
      </c>
      <c r="D1413" s="199">
        <v>2</v>
      </c>
      <c r="E1413" s="200" t="s">
        <v>93</v>
      </c>
      <c r="F1413" s="197" t="s">
        <v>1654</v>
      </c>
      <c r="G1413" s="200" t="s">
        <v>202</v>
      </c>
      <c r="H1413" s="201">
        <v>42149</v>
      </c>
      <c r="I1413" s="200" t="s">
        <v>187</v>
      </c>
      <c r="J1413" s="200" t="s">
        <v>103</v>
      </c>
      <c r="K1413" s="200" t="s">
        <v>4870</v>
      </c>
      <c r="L1413" s="201">
        <v>42149</v>
      </c>
      <c r="M1413" s="197" t="s">
        <v>1914</v>
      </c>
      <c r="N1413" s="202" t="s">
        <v>185</v>
      </c>
      <c r="O1413" s="201">
        <v>42149</v>
      </c>
      <c r="P1413" s="203">
        <f t="shared" si="715"/>
        <v>5</v>
      </c>
      <c r="Q1413" s="200" t="s">
        <v>4870</v>
      </c>
      <c r="R1413" s="202" t="s">
        <v>17</v>
      </c>
      <c r="S1413" s="197" t="s">
        <v>104</v>
      </c>
      <c r="T1413" s="197">
        <v>1103453385</v>
      </c>
      <c r="U1413" s="201">
        <v>42149</v>
      </c>
      <c r="V1413" s="202" t="s">
        <v>186</v>
      </c>
      <c r="W1413" s="204">
        <f t="shared" si="716"/>
        <v>0</v>
      </c>
      <c r="X1413" s="204" t="str">
        <f t="shared" si="717"/>
        <v>Correcto</v>
      </c>
    </row>
    <row r="1414" spans="1:24" ht="18" customHeight="1" x14ac:dyDescent="0.25">
      <c r="A1414" s="205">
        <v>1405</v>
      </c>
      <c r="B1414" s="197" t="s">
        <v>4871</v>
      </c>
      <c r="C1414" s="198">
        <v>42145</v>
      </c>
      <c r="D1414" s="199">
        <v>2</v>
      </c>
      <c r="E1414" s="200" t="s">
        <v>93</v>
      </c>
      <c r="F1414" s="197" t="s">
        <v>1654</v>
      </c>
      <c r="G1414" s="200" t="s">
        <v>202</v>
      </c>
      <c r="H1414" s="201">
        <v>42146</v>
      </c>
      <c r="I1414" s="200" t="s">
        <v>187</v>
      </c>
      <c r="J1414" s="200" t="s">
        <v>103</v>
      </c>
      <c r="K1414" s="200" t="s">
        <v>4872</v>
      </c>
      <c r="L1414" s="201">
        <v>42146</v>
      </c>
      <c r="M1414" s="197" t="s">
        <v>1914</v>
      </c>
      <c r="N1414" s="202" t="s">
        <v>185</v>
      </c>
      <c r="O1414" s="201">
        <v>42146</v>
      </c>
      <c r="P1414" s="203">
        <f t="shared" si="715"/>
        <v>1</v>
      </c>
      <c r="Q1414" s="200" t="s">
        <v>4872</v>
      </c>
      <c r="R1414" s="202" t="s">
        <v>17</v>
      </c>
      <c r="S1414" s="197" t="s">
        <v>104</v>
      </c>
      <c r="T1414" s="197">
        <v>1103950315</v>
      </c>
      <c r="U1414" s="201">
        <v>42146</v>
      </c>
      <c r="V1414" s="202" t="s">
        <v>186</v>
      </c>
      <c r="W1414" s="204">
        <f t="shared" si="716"/>
        <v>0</v>
      </c>
      <c r="X1414" s="204" t="str">
        <f t="shared" si="717"/>
        <v>Correcto</v>
      </c>
    </row>
    <row r="1415" spans="1:24" ht="18" customHeight="1" x14ac:dyDescent="0.25">
      <c r="A1415" s="205">
        <v>1406</v>
      </c>
      <c r="B1415" s="197" t="s">
        <v>4873</v>
      </c>
      <c r="C1415" s="198">
        <v>42145</v>
      </c>
      <c r="D1415" s="199">
        <v>2</v>
      </c>
      <c r="E1415" s="200" t="s">
        <v>93</v>
      </c>
      <c r="F1415" s="197" t="s">
        <v>1654</v>
      </c>
      <c r="G1415" s="200" t="s">
        <v>202</v>
      </c>
      <c r="H1415" s="201">
        <v>42152</v>
      </c>
      <c r="I1415" s="200" t="s">
        <v>187</v>
      </c>
      <c r="J1415" s="200" t="s">
        <v>103</v>
      </c>
      <c r="K1415" s="200" t="s">
        <v>4874</v>
      </c>
      <c r="L1415" s="201">
        <v>42152</v>
      </c>
      <c r="M1415" s="197" t="s">
        <v>1914</v>
      </c>
      <c r="N1415" s="202" t="s">
        <v>185</v>
      </c>
      <c r="O1415" s="201">
        <v>42152</v>
      </c>
      <c r="P1415" s="203">
        <f t="shared" si="715"/>
        <v>7</v>
      </c>
      <c r="Q1415" s="200" t="s">
        <v>4874</v>
      </c>
      <c r="R1415" s="202" t="s">
        <v>17</v>
      </c>
      <c r="S1415" s="197" t="s">
        <v>104</v>
      </c>
      <c r="T1415" s="197">
        <v>700860927</v>
      </c>
      <c r="U1415" s="201">
        <v>42152</v>
      </c>
      <c r="V1415" s="202" t="s">
        <v>186</v>
      </c>
      <c r="W1415" s="204">
        <f t="shared" si="716"/>
        <v>0</v>
      </c>
      <c r="X1415" s="204" t="str">
        <f t="shared" si="717"/>
        <v>Correcto</v>
      </c>
    </row>
    <row r="1416" spans="1:24" ht="18" customHeight="1" x14ac:dyDescent="0.25">
      <c r="A1416" s="205">
        <v>1407</v>
      </c>
      <c r="B1416" s="197" t="s">
        <v>4875</v>
      </c>
      <c r="C1416" s="198">
        <v>42145</v>
      </c>
      <c r="D1416" s="199">
        <v>2</v>
      </c>
      <c r="E1416" s="200" t="s">
        <v>93</v>
      </c>
      <c r="F1416" s="197" t="s">
        <v>1654</v>
      </c>
      <c r="G1416" s="200" t="s">
        <v>202</v>
      </c>
      <c r="H1416" s="201">
        <v>42146</v>
      </c>
      <c r="I1416" s="200" t="s">
        <v>187</v>
      </c>
      <c r="J1416" s="200" t="s">
        <v>103</v>
      </c>
      <c r="K1416" s="200" t="s">
        <v>4876</v>
      </c>
      <c r="L1416" s="201">
        <v>42146</v>
      </c>
      <c r="M1416" s="197" t="s">
        <v>1914</v>
      </c>
      <c r="N1416" s="202" t="s">
        <v>185</v>
      </c>
      <c r="O1416" s="201">
        <v>42146</v>
      </c>
      <c r="P1416" s="203">
        <f t="shared" si="715"/>
        <v>1</v>
      </c>
      <c r="Q1416" s="200" t="s">
        <v>4876</v>
      </c>
      <c r="R1416" s="202" t="s">
        <v>17</v>
      </c>
      <c r="S1416" s="197" t="s">
        <v>104</v>
      </c>
      <c r="T1416" s="197">
        <v>1104621915</v>
      </c>
      <c r="U1416" s="201">
        <v>42146</v>
      </c>
      <c r="V1416" s="202" t="s">
        <v>186</v>
      </c>
      <c r="W1416" s="204">
        <f t="shared" si="716"/>
        <v>0</v>
      </c>
      <c r="X1416" s="204" t="str">
        <f t="shared" si="717"/>
        <v>Correcto</v>
      </c>
    </row>
    <row r="1417" spans="1:24" ht="18" customHeight="1" x14ac:dyDescent="0.25">
      <c r="A1417" s="205">
        <v>1408</v>
      </c>
      <c r="B1417" s="197" t="s">
        <v>4877</v>
      </c>
      <c r="C1417" s="198">
        <v>42145</v>
      </c>
      <c r="D1417" s="199">
        <v>2</v>
      </c>
      <c r="E1417" s="200" t="s">
        <v>93</v>
      </c>
      <c r="F1417" s="197" t="s">
        <v>1654</v>
      </c>
      <c r="G1417" s="200" t="s">
        <v>202</v>
      </c>
      <c r="H1417" s="201">
        <v>42146</v>
      </c>
      <c r="I1417" s="200" t="s">
        <v>187</v>
      </c>
      <c r="J1417" s="200" t="s">
        <v>103</v>
      </c>
      <c r="K1417" s="200" t="s">
        <v>4878</v>
      </c>
      <c r="L1417" s="201">
        <v>42146</v>
      </c>
      <c r="M1417" s="197" t="s">
        <v>1914</v>
      </c>
      <c r="N1417" s="202" t="s">
        <v>185</v>
      </c>
      <c r="O1417" s="201">
        <v>42146</v>
      </c>
      <c r="P1417" s="203">
        <f t="shared" si="715"/>
        <v>1</v>
      </c>
      <c r="Q1417" s="200" t="s">
        <v>4878</v>
      </c>
      <c r="R1417" s="202" t="s">
        <v>17</v>
      </c>
      <c r="S1417" s="197" t="s">
        <v>104</v>
      </c>
      <c r="T1417" s="197">
        <v>1103850315</v>
      </c>
      <c r="U1417" s="201">
        <v>42146</v>
      </c>
      <c r="V1417" s="202" t="s">
        <v>186</v>
      </c>
      <c r="W1417" s="204">
        <f t="shared" si="716"/>
        <v>0</v>
      </c>
      <c r="X1417" s="204" t="str">
        <f t="shared" si="717"/>
        <v>Correcto</v>
      </c>
    </row>
    <row r="1418" spans="1:24" ht="18" customHeight="1" x14ac:dyDescent="0.25">
      <c r="A1418" s="205">
        <v>1409</v>
      </c>
      <c r="B1418" s="197" t="s">
        <v>4879</v>
      </c>
      <c r="C1418" s="198">
        <v>42145</v>
      </c>
      <c r="D1418" s="199">
        <v>2</v>
      </c>
      <c r="E1418" s="200" t="s">
        <v>93</v>
      </c>
      <c r="F1418" s="197" t="s">
        <v>1654</v>
      </c>
      <c r="G1418" s="200" t="s">
        <v>202</v>
      </c>
      <c r="H1418" s="201">
        <v>42146</v>
      </c>
      <c r="I1418" s="200" t="s">
        <v>187</v>
      </c>
      <c r="J1418" s="200" t="s">
        <v>103</v>
      </c>
      <c r="K1418" s="200" t="s">
        <v>4880</v>
      </c>
      <c r="L1418" s="201">
        <v>42146</v>
      </c>
      <c r="M1418" s="197" t="s">
        <v>1914</v>
      </c>
      <c r="N1418" s="202" t="s">
        <v>185</v>
      </c>
      <c r="O1418" s="201">
        <v>42146</v>
      </c>
      <c r="P1418" s="203">
        <f t="shared" si="715"/>
        <v>1</v>
      </c>
      <c r="Q1418" s="200" t="s">
        <v>4880</v>
      </c>
      <c r="R1418" s="202" t="s">
        <v>17</v>
      </c>
      <c r="S1418" s="197" t="s">
        <v>104</v>
      </c>
      <c r="T1418" s="197">
        <v>1105887895</v>
      </c>
      <c r="U1418" s="201">
        <v>42146</v>
      </c>
      <c r="V1418" s="202" t="s">
        <v>186</v>
      </c>
      <c r="W1418" s="204">
        <f t="shared" si="716"/>
        <v>0</v>
      </c>
      <c r="X1418" s="204" t="str">
        <f t="shared" si="717"/>
        <v>Correcto</v>
      </c>
    </row>
    <row r="1419" spans="1:24" ht="18" customHeight="1" x14ac:dyDescent="0.25">
      <c r="A1419" s="205">
        <v>1410</v>
      </c>
      <c r="B1419" s="197" t="s">
        <v>4881</v>
      </c>
      <c r="C1419" s="198">
        <v>42145</v>
      </c>
      <c r="D1419" s="199">
        <v>23</v>
      </c>
      <c r="E1419" s="200" t="s">
        <v>93</v>
      </c>
      <c r="F1419" s="197" t="s">
        <v>1654</v>
      </c>
      <c r="G1419" s="200" t="s">
        <v>202</v>
      </c>
      <c r="H1419" s="201">
        <v>42146</v>
      </c>
      <c r="I1419" s="200" t="s">
        <v>187</v>
      </c>
      <c r="J1419" s="200" t="s">
        <v>103</v>
      </c>
      <c r="K1419" s="200" t="s">
        <v>4882</v>
      </c>
      <c r="L1419" s="201">
        <v>42146</v>
      </c>
      <c r="M1419" s="197" t="s">
        <v>1914</v>
      </c>
      <c r="N1419" s="202" t="s">
        <v>185</v>
      </c>
      <c r="O1419" s="201">
        <v>42146</v>
      </c>
      <c r="P1419" s="203">
        <f t="shared" si="715"/>
        <v>1</v>
      </c>
      <c r="Q1419" s="200" t="s">
        <v>4882</v>
      </c>
      <c r="R1419" s="202" t="s">
        <v>17</v>
      </c>
      <c r="S1419" s="197" t="s">
        <v>104</v>
      </c>
      <c r="T1419" s="197">
        <v>1104392202</v>
      </c>
      <c r="U1419" s="201">
        <v>42146</v>
      </c>
      <c r="V1419" s="202" t="s">
        <v>186</v>
      </c>
      <c r="W1419" s="204">
        <f t="shared" si="716"/>
        <v>0</v>
      </c>
      <c r="X1419" s="204" t="str">
        <f t="shared" si="717"/>
        <v>Correcto</v>
      </c>
    </row>
    <row r="1420" spans="1:24" ht="18" customHeight="1" x14ac:dyDescent="0.25">
      <c r="A1420" s="205">
        <v>1411</v>
      </c>
      <c r="B1420" s="197" t="s">
        <v>4883</v>
      </c>
      <c r="C1420" s="198">
        <v>42145</v>
      </c>
      <c r="D1420" s="199">
        <v>2</v>
      </c>
      <c r="E1420" s="200" t="s">
        <v>93</v>
      </c>
      <c r="F1420" s="197" t="s">
        <v>1654</v>
      </c>
      <c r="G1420" s="200" t="s">
        <v>202</v>
      </c>
      <c r="H1420" s="201">
        <v>42146</v>
      </c>
      <c r="I1420" s="200" t="s">
        <v>187</v>
      </c>
      <c r="J1420" s="200" t="s">
        <v>103</v>
      </c>
      <c r="K1420" s="200" t="s">
        <v>4884</v>
      </c>
      <c r="L1420" s="201">
        <v>42146</v>
      </c>
      <c r="M1420" s="197" t="s">
        <v>1914</v>
      </c>
      <c r="N1420" s="202" t="s">
        <v>185</v>
      </c>
      <c r="O1420" s="201">
        <v>42146</v>
      </c>
      <c r="P1420" s="203">
        <f t="shared" si="715"/>
        <v>1</v>
      </c>
      <c r="Q1420" s="200" t="s">
        <v>4884</v>
      </c>
      <c r="R1420" s="202" t="s">
        <v>17</v>
      </c>
      <c r="S1420" s="197" t="s">
        <v>104</v>
      </c>
      <c r="T1420" s="197">
        <v>110276746</v>
      </c>
      <c r="U1420" s="201">
        <v>42146</v>
      </c>
      <c r="V1420" s="202" t="s">
        <v>186</v>
      </c>
      <c r="W1420" s="204">
        <f t="shared" si="716"/>
        <v>0</v>
      </c>
      <c r="X1420" s="204" t="str">
        <f t="shared" si="717"/>
        <v>Correcto</v>
      </c>
    </row>
    <row r="1421" spans="1:24" ht="18" customHeight="1" x14ac:dyDescent="0.25">
      <c r="A1421" s="205">
        <v>1412</v>
      </c>
      <c r="B1421" s="197" t="s">
        <v>4885</v>
      </c>
      <c r="C1421" s="198">
        <v>42145</v>
      </c>
      <c r="D1421" s="199">
        <v>2</v>
      </c>
      <c r="E1421" s="200" t="s">
        <v>93</v>
      </c>
      <c r="F1421" s="197" t="s">
        <v>1654</v>
      </c>
      <c r="G1421" s="200" t="s">
        <v>202</v>
      </c>
      <c r="H1421" s="201">
        <v>42149</v>
      </c>
      <c r="I1421" s="200" t="s">
        <v>187</v>
      </c>
      <c r="J1421" s="200" t="s">
        <v>103</v>
      </c>
      <c r="K1421" s="200" t="s">
        <v>4886</v>
      </c>
      <c r="L1421" s="201">
        <v>42149</v>
      </c>
      <c r="M1421" s="197" t="s">
        <v>1914</v>
      </c>
      <c r="N1421" s="202" t="s">
        <v>185</v>
      </c>
      <c r="O1421" s="201">
        <v>42150</v>
      </c>
      <c r="P1421" s="203">
        <f t="shared" si="715"/>
        <v>5</v>
      </c>
      <c r="Q1421" s="200" t="s">
        <v>4887</v>
      </c>
      <c r="R1421" s="202" t="s">
        <v>17</v>
      </c>
      <c r="S1421" s="197" t="s">
        <v>101</v>
      </c>
      <c r="T1421" s="197" t="s">
        <v>101</v>
      </c>
      <c r="U1421" s="201">
        <v>42151</v>
      </c>
      <c r="V1421" s="202" t="s">
        <v>186</v>
      </c>
      <c r="W1421" s="204">
        <f t="shared" si="716"/>
        <v>0</v>
      </c>
      <c r="X1421" s="204" t="str">
        <f t="shared" si="717"/>
        <v>Correcto</v>
      </c>
    </row>
    <row r="1422" spans="1:24" ht="18" customHeight="1" x14ac:dyDescent="0.25">
      <c r="A1422" s="205">
        <v>1413</v>
      </c>
      <c r="B1422" s="197" t="s">
        <v>4888</v>
      </c>
      <c r="C1422" s="198">
        <v>42145</v>
      </c>
      <c r="D1422" s="199">
        <v>2</v>
      </c>
      <c r="E1422" s="200" t="s">
        <v>93</v>
      </c>
      <c r="F1422" s="197" t="s">
        <v>1654</v>
      </c>
      <c r="G1422" s="200" t="s">
        <v>202</v>
      </c>
      <c r="H1422" s="201">
        <v>42149</v>
      </c>
      <c r="I1422" s="200" t="s">
        <v>187</v>
      </c>
      <c r="J1422" s="200" t="s">
        <v>103</v>
      </c>
      <c r="K1422" s="200" t="s">
        <v>4889</v>
      </c>
      <c r="L1422" s="201">
        <v>42149</v>
      </c>
      <c r="M1422" s="197" t="s">
        <v>1914</v>
      </c>
      <c r="N1422" s="202" t="s">
        <v>185</v>
      </c>
      <c r="O1422" s="201">
        <v>42150</v>
      </c>
      <c r="P1422" s="203">
        <f t="shared" si="715"/>
        <v>5</v>
      </c>
      <c r="Q1422" s="200" t="s">
        <v>4890</v>
      </c>
      <c r="R1422" s="202" t="s">
        <v>17</v>
      </c>
      <c r="S1422" s="197" t="s">
        <v>101</v>
      </c>
      <c r="T1422" s="197" t="s">
        <v>101</v>
      </c>
      <c r="U1422" s="201">
        <v>42151</v>
      </c>
      <c r="V1422" s="202" t="s">
        <v>186</v>
      </c>
      <c r="W1422" s="204">
        <f t="shared" si="716"/>
        <v>0</v>
      </c>
      <c r="X1422" s="204" t="str">
        <f t="shared" si="717"/>
        <v>Correcto</v>
      </c>
    </row>
    <row r="1423" spans="1:24" ht="18" customHeight="1" x14ac:dyDescent="0.25">
      <c r="A1423" s="205">
        <v>1414</v>
      </c>
      <c r="B1423" s="197" t="s">
        <v>4891</v>
      </c>
      <c r="C1423" s="198">
        <v>42145</v>
      </c>
      <c r="D1423" s="199">
        <v>2</v>
      </c>
      <c r="E1423" s="200" t="s">
        <v>93</v>
      </c>
      <c r="F1423" s="197" t="s">
        <v>825</v>
      </c>
      <c r="G1423" s="200" t="s">
        <v>202</v>
      </c>
      <c r="H1423" s="201">
        <v>42152</v>
      </c>
      <c r="I1423" s="200" t="s">
        <v>187</v>
      </c>
      <c r="J1423" s="200" t="s">
        <v>103</v>
      </c>
      <c r="K1423" s="200" t="s">
        <v>4892</v>
      </c>
      <c r="L1423" s="201">
        <v>42152</v>
      </c>
      <c r="M1423" s="197" t="s">
        <v>824</v>
      </c>
      <c r="N1423" s="202" t="s">
        <v>185</v>
      </c>
      <c r="O1423" s="201">
        <v>42152</v>
      </c>
      <c r="P1423" s="203">
        <f t="shared" si="715"/>
        <v>7</v>
      </c>
      <c r="Q1423" s="200" t="s">
        <v>4892</v>
      </c>
      <c r="R1423" s="202" t="s">
        <v>17</v>
      </c>
      <c r="S1423" s="197" t="s">
        <v>101</v>
      </c>
      <c r="T1423" s="197" t="s">
        <v>101</v>
      </c>
      <c r="U1423" s="201">
        <v>42153</v>
      </c>
      <c r="V1423" s="202" t="s">
        <v>186</v>
      </c>
      <c r="W1423" s="204">
        <f t="shared" si="716"/>
        <v>0</v>
      </c>
      <c r="X1423" s="204" t="str">
        <f t="shared" si="717"/>
        <v>Correcto</v>
      </c>
    </row>
    <row r="1424" spans="1:24" ht="18" customHeight="1" x14ac:dyDescent="0.25">
      <c r="A1424" s="205">
        <v>1415</v>
      </c>
      <c r="B1424" s="197" t="s">
        <v>4893</v>
      </c>
      <c r="C1424" s="198">
        <v>42145</v>
      </c>
      <c r="D1424" s="199">
        <v>2</v>
      </c>
      <c r="E1424" s="200" t="s">
        <v>93</v>
      </c>
      <c r="F1424" s="197" t="s">
        <v>1654</v>
      </c>
      <c r="G1424" s="200" t="s">
        <v>202</v>
      </c>
      <c r="H1424" s="201">
        <v>42149</v>
      </c>
      <c r="I1424" s="200" t="s">
        <v>187</v>
      </c>
      <c r="J1424" s="200" t="s">
        <v>103</v>
      </c>
      <c r="K1424" s="200" t="s">
        <v>4894</v>
      </c>
      <c r="L1424" s="201">
        <v>42149</v>
      </c>
      <c r="M1424" s="197" t="s">
        <v>1914</v>
      </c>
      <c r="N1424" s="202" t="s">
        <v>185</v>
      </c>
      <c r="O1424" s="201">
        <v>42149</v>
      </c>
      <c r="P1424" s="203">
        <f t="shared" si="715"/>
        <v>4</v>
      </c>
      <c r="Q1424" s="200" t="s">
        <v>4894</v>
      </c>
      <c r="R1424" s="202" t="s">
        <v>17</v>
      </c>
      <c r="S1424" s="197" t="s">
        <v>104</v>
      </c>
      <c r="T1424" s="197">
        <v>1103795181</v>
      </c>
      <c r="U1424" s="201">
        <v>42149</v>
      </c>
      <c r="V1424" s="202" t="s">
        <v>186</v>
      </c>
      <c r="W1424" s="204">
        <f t="shared" si="716"/>
        <v>0</v>
      </c>
      <c r="X1424" s="204" t="str">
        <f t="shared" si="717"/>
        <v>Correcto</v>
      </c>
    </row>
    <row r="1425" spans="1:24" ht="18" customHeight="1" x14ac:dyDescent="0.25">
      <c r="A1425" s="205">
        <v>1416</v>
      </c>
      <c r="B1425" s="197" t="s">
        <v>4895</v>
      </c>
      <c r="C1425" s="198">
        <v>42145</v>
      </c>
      <c r="D1425" s="199">
        <v>2</v>
      </c>
      <c r="E1425" s="200" t="s">
        <v>93</v>
      </c>
      <c r="F1425" s="197" t="s">
        <v>825</v>
      </c>
      <c r="G1425" s="200" t="s">
        <v>202</v>
      </c>
      <c r="H1425" s="201">
        <v>42150</v>
      </c>
      <c r="I1425" s="200" t="s">
        <v>187</v>
      </c>
      <c r="J1425" s="200" t="s">
        <v>103</v>
      </c>
      <c r="K1425" s="200" t="s">
        <v>4896</v>
      </c>
      <c r="L1425" s="201">
        <v>42150</v>
      </c>
      <c r="M1425" s="197" t="s">
        <v>824</v>
      </c>
      <c r="N1425" s="202" t="s">
        <v>185</v>
      </c>
      <c r="O1425" s="201">
        <v>42150</v>
      </c>
      <c r="P1425" s="203">
        <f t="shared" si="715"/>
        <v>5</v>
      </c>
      <c r="Q1425" s="200" t="s">
        <v>4896</v>
      </c>
      <c r="R1425" s="202" t="s">
        <v>17</v>
      </c>
      <c r="S1425" s="197" t="s">
        <v>101</v>
      </c>
      <c r="T1425" s="197" t="s">
        <v>101</v>
      </c>
      <c r="U1425" s="201">
        <v>42151</v>
      </c>
      <c r="V1425" s="202" t="s">
        <v>186</v>
      </c>
      <c r="W1425" s="204">
        <f t="shared" si="716"/>
        <v>0</v>
      </c>
      <c r="X1425" s="204" t="str">
        <f t="shared" si="717"/>
        <v>Correcto</v>
      </c>
    </row>
    <row r="1426" spans="1:24" ht="18" customHeight="1" x14ac:dyDescent="0.25">
      <c r="A1426" s="205">
        <v>1417</v>
      </c>
      <c r="B1426" s="197" t="s">
        <v>4897</v>
      </c>
      <c r="C1426" s="198">
        <v>42145</v>
      </c>
      <c r="D1426" s="199">
        <v>2</v>
      </c>
      <c r="E1426" s="200" t="s">
        <v>93</v>
      </c>
      <c r="F1426" s="197" t="s">
        <v>1654</v>
      </c>
      <c r="G1426" s="200" t="s">
        <v>202</v>
      </c>
      <c r="H1426" s="201">
        <v>42151</v>
      </c>
      <c r="I1426" s="200" t="s">
        <v>187</v>
      </c>
      <c r="J1426" s="200" t="s">
        <v>103</v>
      </c>
      <c r="K1426" s="200" t="s">
        <v>4898</v>
      </c>
      <c r="L1426" s="201">
        <v>42151</v>
      </c>
      <c r="M1426" s="197" t="s">
        <v>1914</v>
      </c>
      <c r="N1426" s="202" t="s">
        <v>185</v>
      </c>
      <c r="O1426" s="201">
        <v>42152</v>
      </c>
      <c r="P1426" s="203">
        <f t="shared" si="715"/>
        <v>7</v>
      </c>
      <c r="Q1426" s="200" t="s">
        <v>4899</v>
      </c>
      <c r="R1426" s="202" t="s">
        <v>17</v>
      </c>
      <c r="S1426" s="197" t="s">
        <v>101</v>
      </c>
      <c r="T1426" s="197" t="s">
        <v>101</v>
      </c>
      <c r="U1426" s="201">
        <v>42153</v>
      </c>
      <c r="V1426" s="202" t="s">
        <v>186</v>
      </c>
      <c r="W1426" s="204">
        <f t="shared" si="716"/>
        <v>0</v>
      </c>
      <c r="X1426" s="204" t="str">
        <f t="shared" si="717"/>
        <v>Correcto</v>
      </c>
    </row>
    <row r="1427" spans="1:24" ht="18" customHeight="1" x14ac:dyDescent="0.25">
      <c r="A1427" s="205">
        <v>1418</v>
      </c>
      <c r="B1427" s="197" t="s">
        <v>4900</v>
      </c>
      <c r="C1427" s="198">
        <v>42145</v>
      </c>
      <c r="D1427" s="199">
        <v>2</v>
      </c>
      <c r="E1427" s="200" t="s">
        <v>93</v>
      </c>
      <c r="F1427" s="197" t="s">
        <v>1654</v>
      </c>
      <c r="G1427" s="200" t="s">
        <v>202</v>
      </c>
      <c r="H1427" s="201">
        <v>42151</v>
      </c>
      <c r="I1427" s="200" t="s">
        <v>187</v>
      </c>
      <c r="J1427" s="200" t="s">
        <v>103</v>
      </c>
      <c r="K1427" s="200" t="s">
        <v>4901</v>
      </c>
      <c r="L1427" s="201">
        <v>42151</v>
      </c>
      <c r="M1427" s="197" t="s">
        <v>1914</v>
      </c>
      <c r="N1427" s="202" t="s">
        <v>185</v>
      </c>
      <c r="O1427" s="201">
        <v>42151</v>
      </c>
      <c r="P1427" s="203">
        <f t="shared" si="715"/>
        <v>6</v>
      </c>
      <c r="Q1427" s="200" t="s">
        <v>4902</v>
      </c>
      <c r="R1427" s="202" t="s">
        <v>17</v>
      </c>
      <c r="S1427" s="197" t="s">
        <v>101</v>
      </c>
      <c r="T1427" s="197" t="s">
        <v>101</v>
      </c>
      <c r="U1427" s="201">
        <v>42151</v>
      </c>
      <c r="V1427" s="202" t="s">
        <v>186</v>
      </c>
      <c r="W1427" s="204">
        <f t="shared" si="716"/>
        <v>0</v>
      </c>
      <c r="X1427" s="204" t="str">
        <f t="shared" si="717"/>
        <v>Correcto</v>
      </c>
    </row>
    <row r="1428" spans="1:24" ht="18" customHeight="1" x14ac:dyDescent="0.25">
      <c r="A1428" s="205">
        <v>1419</v>
      </c>
      <c r="B1428" s="197" t="s">
        <v>4903</v>
      </c>
      <c r="C1428" s="198">
        <v>42145</v>
      </c>
      <c r="D1428" s="199">
        <v>2</v>
      </c>
      <c r="E1428" s="200" t="s">
        <v>93</v>
      </c>
      <c r="F1428" s="197" t="s">
        <v>1654</v>
      </c>
      <c r="G1428" s="200" t="s">
        <v>202</v>
      </c>
      <c r="H1428" s="201">
        <v>42151</v>
      </c>
      <c r="I1428" s="200" t="s">
        <v>187</v>
      </c>
      <c r="J1428" s="200" t="s">
        <v>103</v>
      </c>
      <c r="K1428" s="200" t="s">
        <v>4904</v>
      </c>
      <c r="L1428" s="201">
        <v>42151</v>
      </c>
      <c r="M1428" s="197" t="s">
        <v>1914</v>
      </c>
      <c r="N1428" s="202" t="s">
        <v>185</v>
      </c>
      <c r="O1428" s="201">
        <v>42151</v>
      </c>
      <c r="P1428" s="203">
        <f t="shared" si="715"/>
        <v>6</v>
      </c>
      <c r="Q1428" s="200" t="s">
        <v>4905</v>
      </c>
      <c r="R1428" s="202" t="s">
        <v>17</v>
      </c>
      <c r="S1428" s="197" t="s">
        <v>101</v>
      </c>
      <c r="T1428" s="197" t="s">
        <v>101</v>
      </c>
      <c r="U1428" s="201">
        <v>42153</v>
      </c>
      <c r="V1428" s="202" t="s">
        <v>186</v>
      </c>
      <c r="W1428" s="204">
        <f t="shared" si="716"/>
        <v>0</v>
      </c>
      <c r="X1428" s="204" t="str">
        <f t="shared" si="717"/>
        <v>Correcto</v>
      </c>
    </row>
    <row r="1429" spans="1:24" ht="18" customHeight="1" x14ac:dyDescent="0.25">
      <c r="A1429" s="205">
        <v>1420</v>
      </c>
      <c r="B1429" s="197" t="s">
        <v>4906</v>
      </c>
      <c r="C1429" s="198">
        <v>42145</v>
      </c>
      <c r="D1429" s="199">
        <v>2</v>
      </c>
      <c r="E1429" s="200" t="s">
        <v>93</v>
      </c>
      <c r="F1429" s="197" t="s">
        <v>1654</v>
      </c>
      <c r="G1429" s="200" t="s">
        <v>202</v>
      </c>
      <c r="H1429" s="201">
        <v>42151</v>
      </c>
      <c r="I1429" s="200" t="s">
        <v>187</v>
      </c>
      <c r="J1429" s="200" t="s">
        <v>103</v>
      </c>
      <c r="K1429" s="200" t="s">
        <v>4907</v>
      </c>
      <c r="L1429" s="201">
        <v>42151</v>
      </c>
      <c r="M1429" s="197" t="s">
        <v>1914</v>
      </c>
      <c r="N1429" s="202" t="s">
        <v>185</v>
      </c>
      <c r="O1429" s="201">
        <v>42152</v>
      </c>
      <c r="P1429" s="203">
        <f t="shared" si="715"/>
        <v>7</v>
      </c>
      <c r="Q1429" s="200" t="s">
        <v>4908</v>
      </c>
      <c r="R1429" s="202" t="s">
        <v>17</v>
      </c>
      <c r="S1429" s="197" t="s">
        <v>101</v>
      </c>
      <c r="T1429" s="197" t="s">
        <v>101</v>
      </c>
      <c r="U1429" s="201">
        <v>42153</v>
      </c>
      <c r="V1429" s="202" t="s">
        <v>186</v>
      </c>
      <c r="W1429" s="204">
        <f t="shared" si="716"/>
        <v>0</v>
      </c>
      <c r="X1429" s="204" t="str">
        <f t="shared" si="717"/>
        <v>Correcto</v>
      </c>
    </row>
    <row r="1430" spans="1:24" ht="18" customHeight="1" x14ac:dyDescent="0.25">
      <c r="A1430" s="205">
        <v>1421</v>
      </c>
      <c r="B1430" s="197" t="s">
        <v>4909</v>
      </c>
      <c r="C1430" s="198">
        <v>42145</v>
      </c>
      <c r="D1430" s="199">
        <v>2</v>
      </c>
      <c r="E1430" s="200" t="s">
        <v>93</v>
      </c>
      <c r="F1430" s="197" t="s">
        <v>1654</v>
      </c>
      <c r="G1430" s="200" t="s">
        <v>202</v>
      </c>
      <c r="H1430" s="201">
        <v>42151</v>
      </c>
      <c r="I1430" s="200" t="s">
        <v>187</v>
      </c>
      <c r="J1430" s="200" t="s">
        <v>103</v>
      </c>
      <c r="K1430" s="200" t="s">
        <v>4910</v>
      </c>
      <c r="L1430" s="201">
        <v>42151</v>
      </c>
      <c r="M1430" s="197" t="s">
        <v>1914</v>
      </c>
      <c r="N1430" s="202" t="s">
        <v>185</v>
      </c>
      <c r="O1430" s="201">
        <v>42151</v>
      </c>
      <c r="P1430" s="203">
        <f t="shared" si="715"/>
        <v>6</v>
      </c>
      <c r="Q1430" s="200" t="s">
        <v>4911</v>
      </c>
      <c r="R1430" s="202" t="s">
        <v>17</v>
      </c>
      <c r="S1430" s="197" t="s">
        <v>101</v>
      </c>
      <c r="T1430" s="197" t="s">
        <v>101</v>
      </c>
      <c r="U1430" s="201">
        <v>42151</v>
      </c>
      <c r="V1430" s="202" t="s">
        <v>186</v>
      </c>
      <c r="W1430" s="204">
        <f t="shared" si="716"/>
        <v>0</v>
      </c>
      <c r="X1430" s="204" t="str">
        <f t="shared" si="717"/>
        <v>Correcto</v>
      </c>
    </row>
    <row r="1431" spans="1:24" ht="18" customHeight="1" x14ac:dyDescent="0.25">
      <c r="A1431" s="205">
        <v>1422</v>
      </c>
      <c r="B1431" s="197" t="s">
        <v>4912</v>
      </c>
      <c r="C1431" s="198">
        <v>42145</v>
      </c>
      <c r="D1431" s="199">
        <v>2</v>
      </c>
      <c r="E1431" s="200" t="s">
        <v>93</v>
      </c>
      <c r="F1431" s="197" t="s">
        <v>1654</v>
      </c>
      <c r="G1431" s="200" t="s">
        <v>202</v>
      </c>
      <c r="H1431" s="201">
        <v>42151</v>
      </c>
      <c r="I1431" s="200" t="s">
        <v>187</v>
      </c>
      <c r="J1431" s="200" t="s">
        <v>103</v>
      </c>
      <c r="K1431" s="200" t="s">
        <v>4913</v>
      </c>
      <c r="L1431" s="201">
        <v>42151</v>
      </c>
      <c r="M1431" s="197" t="s">
        <v>1914</v>
      </c>
      <c r="N1431" s="202" t="s">
        <v>185</v>
      </c>
      <c r="O1431" s="201">
        <v>42151</v>
      </c>
      <c r="P1431" s="203">
        <f t="shared" si="715"/>
        <v>6</v>
      </c>
      <c r="Q1431" s="200" t="s">
        <v>4914</v>
      </c>
      <c r="R1431" s="202" t="s">
        <v>17</v>
      </c>
      <c r="S1431" s="197" t="s">
        <v>101</v>
      </c>
      <c r="T1431" s="197" t="s">
        <v>101</v>
      </c>
      <c r="U1431" s="201">
        <v>42153</v>
      </c>
      <c r="V1431" s="202" t="s">
        <v>186</v>
      </c>
      <c r="W1431" s="204">
        <f t="shared" si="716"/>
        <v>0</v>
      </c>
      <c r="X1431" s="204" t="str">
        <f t="shared" si="717"/>
        <v>Correcto</v>
      </c>
    </row>
    <row r="1432" spans="1:24" ht="18" customHeight="1" x14ac:dyDescent="0.25">
      <c r="A1432" s="205">
        <v>1423</v>
      </c>
      <c r="B1432" s="197" t="s">
        <v>4915</v>
      </c>
      <c r="C1432" s="198">
        <v>42145</v>
      </c>
      <c r="D1432" s="199">
        <v>2</v>
      </c>
      <c r="E1432" s="200" t="s">
        <v>93</v>
      </c>
      <c r="F1432" s="197" t="s">
        <v>1654</v>
      </c>
      <c r="G1432" s="200" t="s">
        <v>202</v>
      </c>
      <c r="H1432" s="201">
        <v>42151</v>
      </c>
      <c r="I1432" s="200" t="s">
        <v>187</v>
      </c>
      <c r="J1432" s="200" t="s">
        <v>103</v>
      </c>
      <c r="K1432" s="200" t="s">
        <v>4916</v>
      </c>
      <c r="L1432" s="201">
        <v>42151</v>
      </c>
      <c r="M1432" s="197" t="s">
        <v>1914</v>
      </c>
      <c r="N1432" s="202" t="s">
        <v>185</v>
      </c>
      <c r="O1432" s="201">
        <v>42151</v>
      </c>
      <c r="P1432" s="203">
        <f t="shared" si="715"/>
        <v>6</v>
      </c>
      <c r="Q1432" s="200" t="s">
        <v>4917</v>
      </c>
      <c r="R1432" s="202" t="s">
        <v>17</v>
      </c>
      <c r="S1432" s="197" t="s">
        <v>101</v>
      </c>
      <c r="T1432" s="197" t="s">
        <v>101</v>
      </c>
      <c r="U1432" s="201">
        <v>42153</v>
      </c>
      <c r="V1432" s="202" t="s">
        <v>186</v>
      </c>
      <c r="W1432" s="204">
        <f t="shared" si="716"/>
        <v>0</v>
      </c>
      <c r="X1432" s="204" t="str">
        <f t="shared" si="717"/>
        <v>Correcto</v>
      </c>
    </row>
    <row r="1433" spans="1:24" ht="18" customHeight="1" x14ac:dyDescent="0.25">
      <c r="A1433" s="205">
        <v>1424</v>
      </c>
      <c r="B1433" s="197" t="s">
        <v>4918</v>
      </c>
      <c r="C1433" s="198">
        <v>42145</v>
      </c>
      <c r="D1433" s="199">
        <v>2</v>
      </c>
      <c r="E1433" s="200" t="s">
        <v>93</v>
      </c>
      <c r="F1433" s="197" t="s">
        <v>1654</v>
      </c>
      <c r="G1433" s="200" t="s">
        <v>202</v>
      </c>
      <c r="H1433" s="201">
        <v>42151</v>
      </c>
      <c r="I1433" s="200" t="s">
        <v>187</v>
      </c>
      <c r="J1433" s="200" t="s">
        <v>103</v>
      </c>
      <c r="K1433" s="200" t="s">
        <v>4919</v>
      </c>
      <c r="L1433" s="201">
        <v>42151</v>
      </c>
      <c r="M1433" s="197" t="s">
        <v>1914</v>
      </c>
      <c r="N1433" s="202" t="s">
        <v>185</v>
      </c>
      <c r="O1433" s="201">
        <v>42151</v>
      </c>
      <c r="P1433" s="203">
        <f t="shared" si="715"/>
        <v>6</v>
      </c>
      <c r="Q1433" s="200" t="s">
        <v>4920</v>
      </c>
      <c r="R1433" s="202" t="s">
        <v>17</v>
      </c>
      <c r="S1433" s="197" t="s">
        <v>101</v>
      </c>
      <c r="T1433" s="197" t="s">
        <v>101</v>
      </c>
      <c r="U1433" s="201">
        <v>42153</v>
      </c>
      <c r="V1433" s="202" t="s">
        <v>186</v>
      </c>
      <c r="W1433" s="204">
        <f t="shared" si="716"/>
        <v>0</v>
      </c>
      <c r="X1433" s="204" t="str">
        <f t="shared" si="717"/>
        <v>Correcto</v>
      </c>
    </row>
    <row r="1434" spans="1:24" ht="18" customHeight="1" x14ac:dyDescent="0.25">
      <c r="A1434" s="205">
        <v>1425</v>
      </c>
      <c r="B1434" s="197" t="s">
        <v>4921</v>
      </c>
      <c r="C1434" s="198">
        <v>42145</v>
      </c>
      <c r="D1434" s="199">
        <v>7</v>
      </c>
      <c r="E1434" s="200" t="s">
        <v>93</v>
      </c>
      <c r="F1434" s="197" t="s">
        <v>1654</v>
      </c>
      <c r="G1434" s="200" t="s">
        <v>202</v>
      </c>
      <c r="H1434" s="201">
        <v>42152</v>
      </c>
      <c r="I1434" s="200" t="s">
        <v>187</v>
      </c>
      <c r="J1434" s="200" t="s">
        <v>103</v>
      </c>
      <c r="K1434" s="200" t="s">
        <v>4922</v>
      </c>
      <c r="L1434" s="201">
        <v>42152</v>
      </c>
      <c r="M1434" s="197" t="s">
        <v>1914</v>
      </c>
      <c r="N1434" s="202" t="s">
        <v>185</v>
      </c>
      <c r="O1434" s="201">
        <v>42153</v>
      </c>
      <c r="P1434" s="203">
        <f t="shared" si="715"/>
        <v>8</v>
      </c>
      <c r="Q1434" s="200" t="s">
        <v>4923</v>
      </c>
      <c r="R1434" s="202" t="s">
        <v>17</v>
      </c>
      <c r="S1434" s="197" t="s">
        <v>101</v>
      </c>
      <c r="T1434" s="197" t="s">
        <v>101</v>
      </c>
      <c r="U1434" s="201">
        <v>42157</v>
      </c>
      <c r="V1434" s="202" t="s">
        <v>186</v>
      </c>
      <c r="W1434" s="204">
        <f t="shared" si="716"/>
        <v>0</v>
      </c>
      <c r="X1434" s="204" t="str">
        <f t="shared" si="717"/>
        <v>Correcto</v>
      </c>
    </row>
    <row r="1435" spans="1:24" ht="18" customHeight="1" x14ac:dyDescent="0.25">
      <c r="A1435" s="205">
        <v>1426</v>
      </c>
      <c r="B1435" s="197" t="s">
        <v>4924</v>
      </c>
      <c r="C1435" s="198">
        <v>42145</v>
      </c>
      <c r="D1435" s="199">
        <v>2</v>
      </c>
      <c r="E1435" s="200" t="s">
        <v>93</v>
      </c>
      <c r="F1435" s="197" t="s">
        <v>1654</v>
      </c>
      <c r="G1435" s="200" t="s">
        <v>202</v>
      </c>
      <c r="H1435" s="201">
        <v>42151</v>
      </c>
      <c r="I1435" s="200" t="s">
        <v>187</v>
      </c>
      <c r="J1435" s="200" t="s">
        <v>103</v>
      </c>
      <c r="K1435" s="200" t="s">
        <v>4925</v>
      </c>
      <c r="L1435" s="201">
        <v>42151</v>
      </c>
      <c r="M1435" s="197" t="s">
        <v>1914</v>
      </c>
      <c r="N1435" s="202" t="s">
        <v>185</v>
      </c>
      <c r="O1435" s="201">
        <v>42151</v>
      </c>
      <c r="P1435" s="203">
        <f t="shared" si="715"/>
        <v>6</v>
      </c>
      <c r="Q1435" s="200" t="s">
        <v>4926</v>
      </c>
      <c r="R1435" s="202" t="s">
        <v>17</v>
      </c>
      <c r="S1435" s="197" t="s">
        <v>101</v>
      </c>
      <c r="T1435" s="197" t="s">
        <v>4927</v>
      </c>
      <c r="U1435" s="201">
        <v>42152</v>
      </c>
      <c r="V1435" s="202" t="s">
        <v>186</v>
      </c>
      <c r="W1435" s="204">
        <f t="shared" si="716"/>
        <v>0</v>
      </c>
      <c r="X1435" s="204" t="str">
        <f t="shared" si="717"/>
        <v>Correcto</v>
      </c>
    </row>
    <row r="1436" spans="1:24" ht="18" customHeight="1" x14ac:dyDescent="0.25">
      <c r="A1436" s="205">
        <v>1427</v>
      </c>
      <c r="B1436" s="197" t="s">
        <v>4928</v>
      </c>
      <c r="C1436" s="198">
        <v>42145</v>
      </c>
      <c r="D1436" s="199">
        <v>140</v>
      </c>
      <c r="E1436" s="200" t="s">
        <v>93</v>
      </c>
      <c r="F1436" s="197" t="s">
        <v>1654</v>
      </c>
      <c r="G1436" s="200" t="s">
        <v>202</v>
      </c>
      <c r="H1436" s="201">
        <v>42150</v>
      </c>
      <c r="I1436" s="200" t="s">
        <v>187</v>
      </c>
      <c r="J1436" s="200" t="s">
        <v>103</v>
      </c>
      <c r="K1436" s="200" t="s">
        <v>4929</v>
      </c>
      <c r="L1436" s="201">
        <v>42150</v>
      </c>
      <c r="M1436" s="197" t="s">
        <v>1914</v>
      </c>
      <c r="N1436" s="202" t="s">
        <v>185</v>
      </c>
      <c r="O1436" s="201">
        <v>42151</v>
      </c>
      <c r="P1436" s="203">
        <f t="shared" si="715"/>
        <v>6</v>
      </c>
      <c r="Q1436" s="200" t="s">
        <v>4930</v>
      </c>
      <c r="R1436" s="202" t="s">
        <v>17</v>
      </c>
      <c r="S1436" s="197" t="s">
        <v>101</v>
      </c>
      <c r="T1436" s="197" t="s">
        <v>4931</v>
      </c>
      <c r="U1436" s="201">
        <v>42152</v>
      </c>
      <c r="V1436" s="202" t="s">
        <v>186</v>
      </c>
      <c r="W1436" s="204">
        <f t="shared" si="716"/>
        <v>0</v>
      </c>
      <c r="X1436" s="204" t="str">
        <f t="shared" si="717"/>
        <v>Correcto</v>
      </c>
    </row>
    <row r="1437" spans="1:24" ht="18" customHeight="1" x14ac:dyDescent="0.25">
      <c r="A1437" s="205">
        <v>1428</v>
      </c>
      <c r="B1437" s="197" t="s">
        <v>4932</v>
      </c>
      <c r="C1437" s="198">
        <v>42145</v>
      </c>
      <c r="D1437" s="199">
        <v>140</v>
      </c>
      <c r="E1437" s="200" t="s">
        <v>93</v>
      </c>
      <c r="F1437" s="197" t="s">
        <v>1654</v>
      </c>
      <c r="G1437" s="200" t="s">
        <v>202</v>
      </c>
      <c r="H1437" s="201">
        <v>42150</v>
      </c>
      <c r="I1437" s="200" t="s">
        <v>187</v>
      </c>
      <c r="J1437" s="200" t="s">
        <v>103</v>
      </c>
      <c r="K1437" s="200" t="s">
        <v>4933</v>
      </c>
      <c r="L1437" s="201">
        <v>42150</v>
      </c>
      <c r="M1437" s="197" t="s">
        <v>1914</v>
      </c>
      <c r="N1437" s="202" t="s">
        <v>185</v>
      </c>
      <c r="O1437" s="201">
        <v>42151</v>
      </c>
      <c r="P1437" s="203">
        <f t="shared" si="715"/>
        <v>6</v>
      </c>
      <c r="Q1437" s="200" t="s">
        <v>4934</v>
      </c>
      <c r="R1437" s="202" t="s">
        <v>2438</v>
      </c>
      <c r="S1437" s="197" t="s">
        <v>101</v>
      </c>
      <c r="T1437" s="197" t="s">
        <v>101</v>
      </c>
      <c r="U1437" s="201">
        <v>42151</v>
      </c>
      <c r="V1437" s="202" t="s">
        <v>186</v>
      </c>
      <c r="W1437" s="204">
        <f t="shared" si="716"/>
        <v>0</v>
      </c>
      <c r="X1437" s="204" t="str">
        <f t="shared" si="717"/>
        <v>Correcto</v>
      </c>
    </row>
    <row r="1438" spans="1:24" ht="18" customHeight="1" x14ac:dyDescent="0.25">
      <c r="A1438" s="205">
        <v>1429</v>
      </c>
      <c r="B1438" s="197" t="s">
        <v>4935</v>
      </c>
      <c r="C1438" s="198">
        <v>42146</v>
      </c>
      <c r="D1438" s="199">
        <v>2</v>
      </c>
      <c r="E1438" s="200" t="s">
        <v>93</v>
      </c>
      <c r="F1438" s="197"/>
      <c r="G1438" s="200" t="s">
        <v>202</v>
      </c>
      <c r="H1438" s="201"/>
      <c r="I1438" s="200" t="s">
        <v>187</v>
      </c>
      <c r="J1438" s="200" t="s">
        <v>103</v>
      </c>
      <c r="K1438" s="200" t="s">
        <v>4936</v>
      </c>
      <c r="L1438" s="201">
        <v>42151</v>
      </c>
      <c r="M1438" s="197" t="s">
        <v>824</v>
      </c>
      <c r="N1438" s="202" t="s">
        <v>185</v>
      </c>
      <c r="O1438" s="201">
        <v>42151</v>
      </c>
      <c r="P1438" s="203">
        <f t="shared" si="715"/>
        <v>5</v>
      </c>
      <c r="Q1438" s="200" t="s">
        <v>4936</v>
      </c>
      <c r="R1438" s="202" t="s">
        <v>2438</v>
      </c>
      <c r="S1438" s="197" t="s">
        <v>101</v>
      </c>
      <c r="T1438" s="197" t="s">
        <v>4931</v>
      </c>
      <c r="U1438" s="201">
        <v>42152</v>
      </c>
      <c r="V1438" s="202" t="s">
        <v>186</v>
      </c>
      <c r="W1438" s="204">
        <f t="shared" si="716"/>
        <v>2</v>
      </c>
      <c r="X1438" s="204" t="str">
        <f t="shared" si="717"/>
        <v>Incorrecto</v>
      </c>
    </row>
    <row r="1439" spans="1:24" ht="18" customHeight="1" x14ac:dyDescent="0.25">
      <c r="A1439" s="205">
        <v>1430</v>
      </c>
      <c r="B1439" s="197" t="s">
        <v>4937</v>
      </c>
      <c r="C1439" s="198">
        <v>42146</v>
      </c>
      <c r="D1439" s="199">
        <v>2</v>
      </c>
      <c r="E1439" s="200" t="s">
        <v>93</v>
      </c>
      <c r="F1439" s="197"/>
      <c r="G1439" s="200" t="s">
        <v>202</v>
      </c>
      <c r="H1439" s="201"/>
      <c r="I1439" s="200" t="s">
        <v>187</v>
      </c>
      <c r="J1439" s="200" t="s">
        <v>103</v>
      </c>
      <c r="K1439" s="200" t="s">
        <v>4938</v>
      </c>
      <c r="L1439" s="201">
        <v>42151</v>
      </c>
      <c r="M1439" s="197" t="s">
        <v>824</v>
      </c>
      <c r="N1439" s="202" t="s">
        <v>185</v>
      </c>
      <c r="O1439" s="201">
        <v>42151</v>
      </c>
      <c r="P1439" s="203">
        <f t="shared" si="715"/>
        <v>5</v>
      </c>
      <c r="Q1439" s="200" t="s">
        <v>4938</v>
      </c>
      <c r="R1439" s="202" t="s">
        <v>2438</v>
      </c>
      <c r="S1439" s="197" t="s">
        <v>101</v>
      </c>
      <c r="T1439" s="197" t="s">
        <v>4931</v>
      </c>
      <c r="U1439" s="201">
        <v>42152</v>
      </c>
      <c r="V1439" s="202" t="s">
        <v>186</v>
      </c>
      <c r="W1439" s="204">
        <f t="shared" si="716"/>
        <v>2</v>
      </c>
      <c r="X1439" s="204" t="str">
        <f t="shared" si="717"/>
        <v>Incorrecto</v>
      </c>
    </row>
    <row r="1440" spans="1:24" ht="18" customHeight="1" x14ac:dyDescent="0.25">
      <c r="A1440" s="205">
        <v>1431</v>
      </c>
      <c r="B1440" s="197" t="s">
        <v>4939</v>
      </c>
      <c r="C1440" s="198">
        <v>42146</v>
      </c>
      <c r="D1440" s="199">
        <v>140</v>
      </c>
      <c r="E1440" s="200" t="s">
        <v>93</v>
      </c>
      <c r="F1440" s="197" t="s">
        <v>1654</v>
      </c>
      <c r="G1440" s="200" t="s">
        <v>202</v>
      </c>
      <c r="H1440" s="201">
        <v>42150</v>
      </c>
      <c r="I1440" s="200" t="s">
        <v>187</v>
      </c>
      <c r="J1440" s="200" t="s">
        <v>103</v>
      </c>
      <c r="K1440" s="200" t="s">
        <v>4940</v>
      </c>
      <c r="L1440" s="201">
        <v>42150</v>
      </c>
      <c r="M1440" s="197" t="s">
        <v>1914</v>
      </c>
      <c r="N1440" s="202" t="s">
        <v>185</v>
      </c>
      <c r="O1440" s="201">
        <v>42151</v>
      </c>
      <c r="P1440" s="203">
        <f t="shared" si="715"/>
        <v>5</v>
      </c>
      <c r="Q1440" s="200" t="s">
        <v>4941</v>
      </c>
      <c r="R1440" s="202" t="s">
        <v>2438</v>
      </c>
      <c r="S1440" s="197" t="s">
        <v>101</v>
      </c>
      <c r="T1440" s="197" t="s">
        <v>4931</v>
      </c>
      <c r="U1440" s="201">
        <v>42152</v>
      </c>
      <c r="V1440" s="202" t="s">
        <v>186</v>
      </c>
      <c r="W1440" s="204">
        <f t="shared" si="716"/>
        <v>0</v>
      </c>
      <c r="X1440" s="204" t="str">
        <f t="shared" si="717"/>
        <v>Correcto</v>
      </c>
    </row>
    <row r="1441" spans="1:24" ht="18" customHeight="1" x14ac:dyDescent="0.25">
      <c r="A1441" s="205">
        <v>1432</v>
      </c>
      <c r="B1441" s="197" t="s">
        <v>4942</v>
      </c>
      <c r="C1441" s="198">
        <v>42146</v>
      </c>
      <c r="D1441" s="199">
        <v>2</v>
      </c>
      <c r="E1441" s="200" t="s">
        <v>93</v>
      </c>
      <c r="F1441" s="197"/>
      <c r="G1441" s="200" t="s">
        <v>202</v>
      </c>
      <c r="H1441" s="201"/>
      <c r="I1441" s="200" t="s">
        <v>187</v>
      </c>
      <c r="J1441" s="200" t="s">
        <v>103</v>
      </c>
      <c r="K1441" s="200" t="s">
        <v>4943</v>
      </c>
      <c r="L1441" s="201">
        <v>42151</v>
      </c>
      <c r="M1441" s="197" t="s">
        <v>824</v>
      </c>
      <c r="N1441" s="202" t="s">
        <v>185</v>
      </c>
      <c r="O1441" s="201">
        <v>42151</v>
      </c>
      <c r="P1441" s="203">
        <f t="shared" si="715"/>
        <v>5</v>
      </c>
      <c r="Q1441" s="200" t="s">
        <v>4943</v>
      </c>
      <c r="R1441" s="202" t="s">
        <v>2438</v>
      </c>
      <c r="S1441" s="197" t="s">
        <v>101</v>
      </c>
      <c r="T1441" s="197" t="s">
        <v>4931</v>
      </c>
      <c r="U1441" s="201">
        <v>42152</v>
      </c>
      <c r="V1441" s="202" t="s">
        <v>186</v>
      </c>
      <c r="W1441" s="204">
        <f t="shared" si="716"/>
        <v>2</v>
      </c>
      <c r="X1441" s="204" t="str">
        <f t="shared" si="717"/>
        <v>Incorrecto</v>
      </c>
    </row>
    <row r="1442" spans="1:24" ht="18" customHeight="1" x14ac:dyDescent="0.25">
      <c r="A1442" s="205">
        <v>1433</v>
      </c>
      <c r="B1442" s="197" t="s">
        <v>4944</v>
      </c>
      <c r="C1442" s="198">
        <v>42146</v>
      </c>
      <c r="D1442" s="199">
        <v>140</v>
      </c>
      <c r="E1442" s="200" t="s">
        <v>93</v>
      </c>
      <c r="F1442" s="197" t="s">
        <v>1654</v>
      </c>
      <c r="G1442" s="200" t="s">
        <v>202</v>
      </c>
      <c r="H1442" s="201">
        <v>42150</v>
      </c>
      <c r="I1442" s="200" t="s">
        <v>187</v>
      </c>
      <c r="J1442" s="200" t="s">
        <v>103</v>
      </c>
      <c r="K1442" s="200" t="s">
        <v>4945</v>
      </c>
      <c r="L1442" s="201">
        <v>42150</v>
      </c>
      <c r="M1442" s="197" t="s">
        <v>1914</v>
      </c>
      <c r="N1442" s="202" t="s">
        <v>185</v>
      </c>
      <c r="O1442" s="201">
        <v>42151</v>
      </c>
      <c r="P1442" s="203">
        <f t="shared" si="715"/>
        <v>5</v>
      </c>
      <c r="Q1442" s="200" t="s">
        <v>4946</v>
      </c>
      <c r="R1442" s="202" t="s">
        <v>2438</v>
      </c>
      <c r="S1442" s="197" t="s">
        <v>101</v>
      </c>
      <c r="T1442" s="197" t="s">
        <v>4931</v>
      </c>
      <c r="U1442" s="201">
        <v>42152</v>
      </c>
      <c r="V1442" s="202" t="s">
        <v>186</v>
      </c>
      <c r="W1442" s="204">
        <f t="shared" si="716"/>
        <v>0</v>
      </c>
      <c r="X1442" s="204" t="str">
        <f t="shared" si="717"/>
        <v>Correcto</v>
      </c>
    </row>
    <row r="1443" spans="1:24" ht="18" customHeight="1" x14ac:dyDescent="0.25">
      <c r="A1443" s="205">
        <v>1434</v>
      </c>
      <c r="B1443" s="197" t="s">
        <v>4947</v>
      </c>
      <c r="C1443" s="198">
        <v>42146</v>
      </c>
      <c r="D1443" s="199">
        <v>2</v>
      </c>
      <c r="E1443" s="200" t="s">
        <v>93</v>
      </c>
      <c r="F1443" s="197"/>
      <c r="G1443" s="200" t="s">
        <v>202</v>
      </c>
      <c r="H1443" s="201"/>
      <c r="I1443" s="200" t="s">
        <v>187</v>
      </c>
      <c r="J1443" s="200" t="s">
        <v>103</v>
      </c>
      <c r="K1443" s="200" t="s">
        <v>4948</v>
      </c>
      <c r="L1443" s="201">
        <v>42151</v>
      </c>
      <c r="M1443" s="197" t="s">
        <v>824</v>
      </c>
      <c r="N1443" s="202" t="s">
        <v>185</v>
      </c>
      <c r="O1443" s="201">
        <v>42151</v>
      </c>
      <c r="P1443" s="203">
        <f t="shared" si="715"/>
        <v>5</v>
      </c>
      <c r="Q1443" s="200" t="s">
        <v>4948</v>
      </c>
      <c r="R1443" s="202" t="s">
        <v>2438</v>
      </c>
      <c r="S1443" s="197" t="s">
        <v>101</v>
      </c>
      <c r="T1443" s="197" t="s">
        <v>4931</v>
      </c>
      <c r="U1443" s="201">
        <v>42152</v>
      </c>
      <c r="V1443" s="202" t="s">
        <v>186</v>
      </c>
      <c r="W1443" s="204">
        <f t="shared" si="716"/>
        <v>2</v>
      </c>
      <c r="X1443" s="204" t="str">
        <f t="shared" si="717"/>
        <v>Incorrecto</v>
      </c>
    </row>
    <row r="1444" spans="1:24" ht="18" customHeight="1" x14ac:dyDescent="0.25">
      <c r="A1444" s="205">
        <v>1435</v>
      </c>
      <c r="B1444" s="197" t="s">
        <v>4949</v>
      </c>
      <c r="C1444" s="198">
        <v>42146</v>
      </c>
      <c r="D1444" s="199">
        <v>2</v>
      </c>
      <c r="E1444" s="200" t="s">
        <v>93</v>
      </c>
      <c r="F1444" s="197" t="s">
        <v>1654</v>
      </c>
      <c r="G1444" s="200" t="s">
        <v>202</v>
      </c>
      <c r="H1444" s="201">
        <v>42151</v>
      </c>
      <c r="I1444" s="200" t="s">
        <v>187</v>
      </c>
      <c r="J1444" s="200" t="s">
        <v>103</v>
      </c>
      <c r="K1444" s="200" t="s">
        <v>4950</v>
      </c>
      <c r="L1444" s="201">
        <v>42151</v>
      </c>
      <c r="M1444" s="197" t="s">
        <v>1914</v>
      </c>
      <c r="N1444" s="202" t="s">
        <v>185</v>
      </c>
      <c r="O1444" s="201">
        <v>42151</v>
      </c>
      <c r="P1444" s="203">
        <f t="shared" si="715"/>
        <v>5</v>
      </c>
      <c r="Q1444" s="200" t="s">
        <v>4951</v>
      </c>
      <c r="R1444" s="202" t="s">
        <v>17</v>
      </c>
      <c r="S1444" s="197" t="s">
        <v>101</v>
      </c>
      <c r="T1444" s="197" t="s">
        <v>101</v>
      </c>
      <c r="U1444" s="201">
        <v>42153</v>
      </c>
      <c r="V1444" s="202" t="s">
        <v>186</v>
      </c>
      <c r="W1444" s="204">
        <f t="shared" si="716"/>
        <v>0</v>
      </c>
      <c r="X1444" s="204" t="str">
        <f t="shared" si="717"/>
        <v>Correcto</v>
      </c>
    </row>
    <row r="1445" spans="1:24" ht="18" customHeight="1" x14ac:dyDescent="0.25">
      <c r="A1445" s="205">
        <v>1436</v>
      </c>
      <c r="B1445" s="197" t="s">
        <v>4952</v>
      </c>
      <c r="C1445" s="198">
        <v>42146</v>
      </c>
      <c r="D1445" s="199">
        <v>2</v>
      </c>
      <c r="E1445" s="200" t="s">
        <v>93</v>
      </c>
      <c r="F1445" s="197" t="s">
        <v>1654</v>
      </c>
      <c r="G1445" s="200" t="s">
        <v>202</v>
      </c>
      <c r="H1445" s="201">
        <v>42151</v>
      </c>
      <c r="I1445" s="200" t="s">
        <v>187</v>
      </c>
      <c r="J1445" s="200" t="s">
        <v>103</v>
      </c>
      <c r="K1445" s="200" t="s">
        <v>4953</v>
      </c>
      <c r="L1445" s="201">
        <v>42151</v>
      </c>
      <c r="M1445" s="197" t="s">
        <v>1914</v>
      </c>
      <c r="N1445" s="202" t="s">
        <v>185</v>
      </c>
      <c r="O1445" s="201">
        <v>42151</v>
      </c>
      <c r="P1445" s="203">
        <f t="shared" si="715"/>
        <v>5</v>
      </c>
      <c r="Q1445" s="200" t="s">
        <v>4954</v>
      </c>
      <c r="R1445" s="202" t="s">
        <v>17</v>
      </c>
      <c r="S1445" s="197" t="s">
        <v>101</v>
      </c>
      <c r="T1445" s="197" t="s">
        <v>101</v>
      </c>
      <c r="U1445" s="201">
        <v>42153</v>
      </c>
      <c r="V1445" s="202" t="s">
        <v>186</v>
      </c>
      <c r="W1445" s="204">
        <f t="shared" si="716"/>
        <v>0</v>
      </c>
      <c r="X1445" s="204" t="str">
        <f t="shared" si="717"/>
        <v>Correcto</v>
      </c>
    </row>
    <row r="1446" spans="1:24" ht="18" customHeight="1" x14ac:dyDescent="0.25">
      <c r="A1446" s="205">
        <v>1437</v>
      </c>
      <c r="B1446" s="197" t="s">
        <v>4955</v>
      </c>
      <c r="C1446" s="198">
        <v>42146</v>
      </c>
      <c r="D1446" s="199">
        <v>2</v>
      </c>
      <c r="E1446" s="200" t="s">
        <v>93</v>
      </c>
      <c r="F1446" s="197"/>
      <c r="G1446" s="200" t="s">
        <v>202</v>
      </c>
      <c r="H1446" s="201"/>
      <c r="I1446" s="200" t="s">
        <v>187</v>
      </c>
      <c r="J1446" s="200" t="s">
        <v>103</v>
      </c>
      <c r="K1446" s="200" t="s">
        <v>4956</v>
      </c>
      <c r="L1446" s="201">
        <v>42152</v>
      </c>
      <c r="M1446" s="197" t="s">
        <v>824</v>
      </c>
      <c r="N1446" s="202" t="s">
        <v>185</v>
      </c>
      <c r="O1446" s="201">
        <v>42152</v>
      </c>
      <c r="P1446" s="203">
        <f t="shared" si="715"/>
        <v>6</v>
      </c>
      <c r="Q1446" s="200" t="s">
        <v>4956</v>
      </c>
      <c r="R1446" s="202" t="s">
        <v>17</v>
      </c>
      <c r="S1446" s="197" t="s">
        <v>101</v>
      </c>
      <c r="T1446" s="197" t="s">
        <v>101</v>
      </c>
      <c r="U1446" s="201">
        <v>42153</v>
      </c>
      <c r="V1446" s="202" t="s">
        <v>186</v>
      </c>
      <c r="W1446" s="204">
        <f t="shared" si="716"/>
        <v>2</v>
      </c>
      <c r="X1446" s="204" t="str">
        <f t="shared" si="717"/>
        <v>Incorrecto</v>
      </c>
    </row>
    <row r="1447" spans="1:24" ht="18" customHeight="1" x14ac:dyDescent="0.25">
      <c r="A1447" s="205">
        <v>1438</v>
      </c>
      <c r="B1447" s="197" t="s">
        <v>4957</v>
      </c>
      <c r="C1447" s="198">
        <v>42146</v>
      </c>
      <c r="D1447" s="199">
        <v>2</v>
      </c>
      <c r="E1447" s="200" t="s">
        <v>93</v>
      </c>
      <c r="F1447" s="197" t="s">
        <v>1654</v>
      </c>
      <c r="G1447" s="200" t="s">
        <v>202</v>
      </c>
      <c r="H1447" s="201">
        <v>42151</v>
      </c>
      <c r="I1447" s="200" t="s">
        <v>187</v>
      </c>
      <c r="J1447" s="200" t="s">
        <v>103</v>
      </c>
      <c r="K1447" s="200" t="s">
        <v>4958</v>
      </c>
      <c r="L1447" s="201">
        <v>42151</v>
      </c>
      <c r="M1447" s="197" t="s">
        <v>1914</v>
      </c>
      <c r="N1447" s="202" t="s">
        <v>185</v>
      </c>
      <c r="O1447" s="201">
        <v>42151</v>
      </c>
      <c r="P1447" s="203">
        <f t="shared" si="715"/>
        <v>5</v>
      </c>
      <c r="Q1447" s="200" t="s">
        <v>4959</v>
      </c>
      <c r="R1447" s="202" t="s">
        <v>17</v>
      </c>
      <c r="S1447" s="197" t="s">
        <v>101</v>
      </c>
      <c r="T1447" s="197" t="s">
        <v>101</v>
      </c>
      <c r="U1447" s="201">
        <v>42153</v>
      </c>
      <c r="V1447" s="202" t="s">
        <v>186</v>
      </c>
      <c r="W1447" s="204">
        <f t="shared" si="716"/>
        <v>0</v>
      </c>
      <c r="X1447" s="204" t="str">
        <f t="shared" si="717"/>
        <v>Correcto</v>
      </c>
    </row>
    <row r="1448" spans="1:24" ht="18" customHeight="1" x14ac:dyDescent="0.25">
      <c r="A1448" s="205">
        <v>1439</v>
      </c>
      <c r="B1448" s="197" t="s">
        <v>4960</v>
      </c>
      <c r="C1448" s="198">
        <v>42146</v>
      </c>
      <c r="D1448" s="199">
        <v>2</v>
      </c>
      <c r="E1448" s="200" t="s">
        <v>93</v>
      </c>
      <c r="F1448" s="197"/>
      <c r="G1448" s="200" t="s">
        <v>202</v>
      </c>
      <c r="H1448" s="201"/>
      <c r="I1448" s="200" t="s">
        <v>187</v>
      </c>
      <c r="J1448" s="200" t="s">
        <v>103</v>
      </c>
      <c r="K1448" s="200" t="s">
        <v>4961</v>
      </c>
      <c r="L1448" s="201">
        <v>42152</v>
      </c>
      <c r="M1448" s="197" t="s">
        <v>824</v>
      </c>
      <c r="N1448" s="202" t="s">
        <v>185</v>
      </c>
      <c r="O1448" s="201">
        <v>42152</v>
      </c>
      <c r="P1448" s="203">
        <f t="shared" si="715"/>
        <v>6</v>
      </c>
      <c r="Q1448" s="200" t="s">
        <v>4961</v>
      </c>
      <c r="R1448" s="202" t="s">
        <v>17</v>
      </c>
      <c r="S1448" s="197" t="s">
        <v>101</v>
      </c>
      <c r="T1448" s="197" t="s">
        <v>101</v>
      </c>
      <c r="U1448" s="201">
        <v>42153</v>
      </c>
      <c r="V1448" s="202" t="s">
        <v>186</v>
      </c>
      <c r="W1448" s="204">
        <f t="shared" si="716"/>
        <v>2</v>
      </c>
      <c r="X1448" s="204" t="str">
        <f t="shared" si="717"/>
        <v>Incorrecto</v>
      </c>
    </row>
    <row r="1449" spans="1:24" ht="18" customHeight="1" x14ac:dyDescent="0.25">
      <c r="A1449" s="205">
        <v>1440</v>
      </c>
      <c r="B1449" s="197" t="s">
        <v>4962</v>
      </c>
      <c r="C1449" s="198">
        <v>42146</v>
      </c>
      <c r="D1449" s="199">
        <v>2</v>
      </c>
      <c r="E1449" s="200" t="s">
        <v>93</v>
      </c>
      <c r="F1449" s="197" t="s">
        <v>1654</v>
      </c>
      <c r="G1449" s="200" t="s">
        <v>202</v>
      </c>
      <c r="H1449" s="201">
        <v>42151</v>
      </c>
      <c r="I1449" s="200" t="s">
        <v>187</v>
      </c>
      <c r="J1449" s="200" t="s">
        <v>103</v>
      </c>
      <c r="K1449" s="200" t="s">
        <v>4963</v>
      </c>
      <c r="L1449" s="201">
        <v>42151</v>
      </c>
      <c r="M1449" s="197" t="s">
        <v>1914</v>
      </c>
      <c r="N1449" s="202" t="s">
        <v>185</v>
      </c>
      <c r="O1449" s="201">
        <v>42151</v>
      </c>
      <c r="P1449" s="203">
        <f t="shared" si="715"/>
        <v>5</v>
      </c>
      <c r="Q1449" s="200" t="s">
        <v>4964</v>
      </c>
      <c r="R1449" s="202" t="s">
        <v>605</v>
      </c>
      <c r="S1449" s="197" t="s">
        <v>101</v>
      </c>
      <c r="T1449" s="197" t="s">
        <v>4965</v>
      </c>
      <c r="U1449" s="201">
        <v>42152</v>
      </c>
      <c r="V1449" s="202" t="s">
        <v>186</v>
      </c>
      <c r="W1449" s="204">
        <f t="shared" si="716"/>
        <v>0</v>
      </c>
      <c r="X1449" s="204" t="str">
        <f t="shared" si="717"/>
        <v>Correcto</v>
      </c>
    </row>
    <row r="1450" spans="1:24" ht="18" customHeight="1" x14ac:dyDescent="0.25">
      <c r="A1450" s="205">
        <v>1441</v>
      </c>
      <c r="B1450" s="197" t="s">
        <v>4966</v>
      </c>
      <c r="C1450" s="198">
        <v>42146</v>
      </c>
      <c r="D1450" s="199">
        <v>2</v>
      </c>
      <c r="E1450" s="200" t="s">
        <v>93</v>
      </c>
      <c r="F1450" s="197" t="s">
        <v>1654</v>
      </c>
      <c r="G1450" s="200" t="s">
        <v>202</v>
      </c>
      <c r="H1450" s="201">
        <v>42151</v>
      </c>
      <c r="I1450" s="200" t="s">
        <v>187</v>
      </c>
      <c r="J1450" s="200" t="s">
        <v>103</v>
      </c>
      <c r="K1450" s="200" t="s">
        <v>4967</v>
      </c>
      <c r="L1450" s="201">
        <v>42151</v>
      </c>
      <c r="M1450" s="197" t="s">
        <v>1914</v>
      </c>
      <c r="N1450" s="202" t="s">
        <v>185</v>
      </c>
      <c r="O1450" s="201">
        <v>42151</v>
      </c>
      <c r="P1450" s="203">
        <f t="shared" si="715"/>
        <v>5</v>
      </c>
      <c r="Q1450" s="200" t="s">
        <v>4968</v>
      </c>
      <c r="R1450" s="202" t="s">
        <v>977</v>
      </c>
      <c r="S1450" s="197" t="s">
        <v>101</v>
      </c>
      <c r="T1450" s="197" t="s">
        <v>4969</v>
      </c>
      <c r="U1450" s="201">
        <v>42152</v>
      </c>
      <c r="V1450" s="202" t="s">
        <v>186</v>
      </c>
      <c r="W1450" s="204">
        <f t="shared" si="716"/>
        <v>0</v>
      </c>
      <c r="X1450" s="204" t="str">
        <f t="shared" si="717"/>
        <v>Correcto</v>
      </c>
    </row>
    <row r="1451" spans="1:24" ht="18" customHeight="1" x14ac:dyDescent="0.25">
      <c r="A1451" s="205">
        <v>1442</v>
      </c>
      <c r="B1451" s="197" t="s">
        <v>4970</v>
      </c>
      <c r="C1451" s="198">
        <v>42146</v>
      </c>
      <c r="D1451" s="199">
        <v>2</v>
      </c>
      <c r="E1451" s="200" t="s">
        <v>93</v>
      </c>
      <c r="F1451" s="197" t="s">
        <v>1654</v>
      </c>
      <c r="G1451" s="200" t="s">
        <v>202</v>
      </c>
      <c r="H1451" s="201">
        <v>42149</v>
      </c>
      <c r="I1451" s="200" t="s">
        <v>187</v>
      </c>
      <c r="J1451" s="200" t="s">
        <v>103</v>
      </c>
      <c r="K1451" s="200" t="s">
        <v>4971</v>
      </c>
      <c r="L1451" s="201">
        <v>42149</v>
      </c>
      <c r="M1451" s="197" t="s">
        <v>1914</v>
      </c>
      <c r="N1451" s="202" t="s">
        <v>185</v>
      </c>
      <c r="O1451" s="201">
        <v>42149</v>
      </c>
      <c r="P1451" s="203">
        <f t="shared" si="715"/>
        <v>3</v>
      </c>
      <c r="Q1451" s="200" t="s">
        <v>4971</v>
      </c>
      <c r="R1451" s="202" t="s">
        <v>17</v>
      </c>
      <c r="S1451" s="197" t="s">
        <v>104</v>
      </c>
      <c r="T1451" s="197">
        <v>1101742474</v>
      </c>
      <c r="U1451" s="201">
        <v>42149</v>
      </c>
      <c r="V1451" s="202" t="s">
        <v>186</v>
      </c>
      <c r="W1451" s="204">
        <f t="shared" si="716"/>
        <v>0</v>
      </c>
      <c r="X1451" s="204" t="str">
        <f t="shared" si="717"/>
        <v>Correcto</v>
      </c>
    </row>
    <row r="1452" spans="1:24" ht="18" customHeight="1" x14ac:dyDescent="0.25">
      <c r="A1452" s="205">
        <v>1443</v>
      </c>
      <c r="B1452" s="197" t="s">
        <v>4972</v>
      </c>
      <c r="C1452" s="198">
        <v>42146</v>
      </c>
      <c r="D1452" s="199">
        <v>2</v>
      </c>
      <c r="E1452" s="200" t="s">
        <v>93</v>
      </c>
      <c r="F1452" s="197" t="s">
        <v>1654</v>
      </c>
      <c r="G1452" s="200" t="s">
        <v>202</v>
      </c>
      <c r="H1452" s="201">
        <v>42149</v>
      </c>
      <c r="I1452" s="200" t="s">
        <v>187</v>
      </c>
      <c r="J1452" s="200" t="s">
        <v>103</v>
      </c>
      <c r="K1452" s="200" t="s">
        <v>4973</v>
      </c>
      <c r="L1452" s="201">
        <v>42149</v>
      </c>
      <c r="M1452" s="197" t="s">
        <v>1914</v>
      </c>
      <c r="N1452" s="202" t="s">
        <v>185</v>
      </c>
      <c r="O1452" s="201">
        <v>42149</v>
      </c>
      <c r="P1452" s="203">
        <f t="shared" si="715"/>
        <v>3</v>
      </c>
      <c r="Q1452" s="200" t="s">
        <v>4973</v>
      </c>
      <c r="R1452" s="202" t="s">
        <v>17</v>
      </c>
      <c r="S1452" s="197" t="s">
        <v>104</v>
      </c>
      <c r="T1452" s="197">
        <v>1103215628</v>
      </c>
      <c r="U1452" s="201">
        <v>42149</v>
      </c>
      <c r="V1452" s="202" t="s">
        <v>186</v>
      </c>
      <c r="W1452" s="204">
        <f t="shared" si="716"/>
        <v>0</v>
      </c>
      <c r="X1452" s="204" t="str">
        <f t="shared" si="717"/>
        <v>Correcto</v>
      </c>
    </row>
    <row r="1453" spans="1:24" ht="18" customHeight="1" x14ac:dyDescent="0.25">
      <c r="A1453" s="205">
        <v>1444</v>
      </c>
      <c r="B1453" s="197" t="s">
        <v>4974</v>
      </c>
      <c r="C1453" s="198">
        <v>42146</v>
      </c>
      <c r="D1453" s="199">
        <v>2</v>
      </c>
      <c r="E1453" s="200" t="s">
        <v>93</v>
      </c>
      <c r="F1453" s="197" t="s">
        <v>1654</v>
      </c>
      <c r="G1453" s="200" t="s">
        <v>202</v>
      </c>
      <c r="H1453" s="201">
        <v>42150</v>
      </c>
      <c r="I1453" s="200" t="s">
        <v>187</v>
      </c>
      <c r="J1453" s="200" t="s">
        <v>103</v>
      </c>
      <c r="K1453" s="200" t="s">
        <v>4975</v>
      </c>
      <c r="L1453" s="201">
        <v>42150</v>
      </c>
      <c r="M1453" s="197" t="s">
        <v>1914</v>
      </c>
      <c r="N1453" s="202" t="s">
        <v>185</v>
      </c>
      <c r="O1453" s="201">
        <v>42150</v>
      </c>
      <c r="P1453" s="203">
        <f t="shared" si="715"/>
        <v>4</v>
      </c>
      <c r="Q1453" s="200" t="s">
        <v>4975</v>
      </c>
      <c r="R1453" s="202" t="s">
        <v>17</v>
      </c>
      <c r="S1453" s="197" t="s">
        <v>104</v>
      </c>
      <c r="T1453" s="197">
        <v>1104244627</v>
      </c>
      <c r="U1453" s="201">
        <v>42150</v>
      </c>
      <c r="V1453" s="202" t="s">
        <v>186</v>
      </c>
      <c r="W1453" s="204">
        <f t="shared" si="716"/>
        <v>0</v>
      </c>
      <c r="X1453" s="204" t="str">
        <f t="shared" si="717"/>
        <v>Correcto</v>
      </c>
    </row>
    <row r="1454" spans="1:24" ht="18" customHeight="1" x14ac:dyDescent="0.25">
      <c r="A1454" s="205">
        <v>1445</v>
      </c>
      <c r="B1454" s="197" t="s">
        <v>4976</v>
      </c>
      <c r="C1454" s="198">
        <v>42146</v>
      </c>
      <c r="D1454" s="199">
        <v>2</v>
      </c>
      <c r="E1454" s="200" t="s">
        <v>93</v>
      </c>
      <c r="F1454" s="197" t="s">
        <v>1654</v>
      </c>
      <c r="G1454" s="200" t="s">
        <v>202</v>
      </c>
      <c r="H1454" s="201">
        <v>42149</v>
      </c>
      <c r="I1454" s="200" t="s">
        <v>187</v>
      </c>
      <c r="J1454" s="200" t="s">
        <v>103</v>
      </c>
      <c r="K1454" s="200" t="s">
        <v>4977</v>
      </c>
      <c r="L1454" s="201">
        <v>42149</v>
      </c>
      <c r="M1454" s="197" t="s">
        <v>1914</v>
      </c>
      <c r="N1454" s="202" t="s">
        <v>185</v>
      </c>
      <c r="O1454" s="201">
        <v>42149</v>
      </c>
      <c r="P1454" s="203">
        <f t="shared" si="715"/>
        <v>3</v>
      </c>
      <c r="Q1454" s="200" t="s">
        <v>4977</v>
      </c>
      <c r="R1454" s="202" t="s">
        <v>17</v>
      </c>
      <c r="S1454" s="197" t="s">
        <v>104</v>
      </c>
      <c r="T1454" s="197">
        <v>1150085114</v>
      </c>
      <c r="U1454" s="201">
        <v>42149</v>
      </c>
      <c r="V1454" s="202" t="s">
        <v>186</v>
      </c>
      <c r="W1454" s="204">
        <f t="shared" si="716"/>
        <v>0</v>
      </c>
      <c r="X1454" s="204" t="str">
        <f t="shared" si="717"/>
        <v>Correcto</v>
      </c>
    </row>
    <row r="1455" spans="1:24" ht="18" customHeight="1" x14ac:dyDescent="0.25">
      <c r="A1455" s="205">
        <v>1446</v>
      </c>
      <c r="B1455" s="197" t="s">
        <v>4978</v>
      </c>
      <c r="C1455" s="198">
        <v>42146</v>
      </c>
      <c r="D1455" s="199">
        <v>2</v>
      </c>
      <c r="E1455" s="200" t="s">
        <v>93</v>
      </c>
      <c r="F1455" s="197" t="s">
        <v>1654</v>
      </c>
      <c r="G1455" s="200" t="s">
        <v>202</v>
      </c>
      <c r="H1455" s="201">
        <v>42149</v>
      </c>
      <c r="I1455" s="200" t="s">
        <v>187</v>
      </c>
      <c r="J1455" s="200" t="s">
        <v>103</v>
      </c>
      <c r="K1455" s="200" t="s">
        <v>4979</v>
      </c>
      <c r="L1455" s="201">
        <v>42149</v>
      </c>
      <c r="M1455" s="197" t="s">
        <v>1914</v>
      </c>
      <c r="N1455" s="202" t="s">
        <v>185</v>
      </c>
      <c r="O1455" s="201">
        <v>42149</v>
      </c>
      <c r="P1455" s="203">
        <f t="shared" si="715"/>
        <v>3</v>
      </c>
      <c r="Q1455" s="200" t="s">
        <v>4979</v>
      </c>
      <c r="R1455" s="202" t="s">
        <v>17</v>
      </c>
      <c r="S1455" s="197" t="s">
        <v>104</v>
      </c>
      <c r="T1455" s="197">
        <v>1103554521</v>
      </c>
      <c r="U1455" s="201">
        <v>42149</v>
      </c>
      <c r="V1455" s="202" t="s">
        <v>186</v>
      </c>
      <c r="W1455" s="204">
        <f t="shared" si="716"/>
        <v>0</v>
      </c>
      <c r="X1455" s="204" t="str">
        <f t="shared" si="717"/>
        <v>Correcto</v>
      </c>
    </row>
    <row r="1456" spans="1:24" ht="18" customHeight="1" x14ac:dyDescent="0.25">
      <c r="A1456" s="205">
        <v>1447</v>
      </c>
      <c r="B1456" s="197" t="s">
        <v>4980</v>
      </c>
      <c r="C1456" s="198">
        <v>42146</v>
      </c>
      <c r="D1456" s="199">
        <v>2</v>
      </c>
      <c r="E1456" s="200" t="s">
        <v>93</v>
      </c>
      <c r="F1456" s="197" t="s">
        <v>1654</v>
      </c>
      <c r="G1456" s="200" t="s">
        <v>202</v>
      </c>
      <c r="H1456" s="201">
        <v>42149</v>
      </c>
      <c r="I1456" s="200" t="s">
        <v>187</v>
      </c>
      <c r="J1456" s="200" t="s">
        <v>103</v>
      </c>
      <c r="K1456" s="200" t="s">
        <v>4981</v>
      </c>
      <c r="L1456" s="201">
        <v>42149</v>
      </c>
      <c r="M1456" s="197" t="s">
        <v>1914</v>
      </c>
      <c r="N1456" s="202" t="s">
        <v>185</v>
      </c>
      <c r="O1456" s="201">
        <v>42149</v>
      </c>
      <c r="P1456" s="203">
        <f t="shared" si="715"/>
        <v>3</v>
      </c>
      <c r="Q1456" s="200" t="s">
        <v>4981</v>
      </c>
      <c r="R1456" s="202" t="s">
        <v>17</v>
      </c>
      <c r="S1456" s="197" t="s">
        <v>104</v>
      </c>
      <c r="T1456" s="197">
        <v>1104613755</v>
      </c>
      <c r="U1456" s="201">
        <v>42149</v>
      </c>
      <c r="V1456" s="202" t="s">
        <v>186</v>
      </c>
      <c r="W1456" s="204">
        <f t="shared" si="716"/>
        <v>0</v>
      </c>
      <c r="X1456" s="204" t="str">
        <f t="shared" si="717"/>
        <v>Correcto</v>
      </c>
    </row>
    <row r="1457" spans="1:24" ht="18" customHeight="1" x14ac:dyDescent="0.25">
      <c r="A1457" s="205">
        <v>1448</v>
      </c>
      <c r="B1457" s="197" t="s">
        <v>4982</v>
      </c>
      <c r="C1457" s="198">
        <v>42146</v>
      </c>
      <c r="D1457" s="199">
        <v>124</v>
      </c>
      <c r="E1457" s="200" t="s">
        <v>93</v>
      </c>
      <c r="F1457" s="197" t="s">
        <v>1654</v>
      </c>
      <c r="G1457" s="200" t="s">
        <v>202</v>
      </c>
      <c r="H1457" s="201">
        <v>42150</v>
      </c>
      <c r="I1457" s="200" t="s">
        <v>187</v>
      </c>
      <c r="J1457" s="200" t="s">
        <v>103</v>
      </c>
      <c r="K1457" s="200" t="s">
        <v>4983</v>
      </c>
      <c r="L1457" s="201">
        <v>42150</v>
      </c>
      <c r="M1457" s="197" t="s">
        <v>1914</v>
      </c>
      <c r="N1457" s="202" t="s">
        <v>185</v>
      </c>
      <c r="O1457" s="201">
        <v>42150</v>
      </c>
      <c r="P1457" s="203">
        <f t="shared" si="715"/>
        <v>4</v>
      </c>
      <c r="Q1457" s="200" t="s">
        <v>4983</v>
      </c>
      <c r="R1457" s="202" t="s">
        <v>17</v>
      </c>
      <c r="S1457" s="197" t="s">
        <v>104</v>
      </c>
      <c r="T1457" s="197">
        <v>1103178362</v>
      </c>
      <c r="U1457" s="201">
        <v>42150</v>
      </c>
      <c r="V1457" s="202" t="s">
        <v>186</v>
      </c>
      <c r="W1457" s="204">
        <f t="shared" si="716"/>
        <v>0</v>
      </c>
      <c r="X1457" s="204" t="str">
        <f t="shared" si="717"/>
        <v>Correcto</v>
      </c>
    </row>
    <row r="1458" spans="1:24" ht="18" customHeight="1" x14ac:dyDescent="0.25">
      <c r="A1458" s="205">
        <v>1449</v>
      </c>
      <c r="B1458" s="197" t="s">
        <v>4984</v>
      </c>
      <c r="C1458" s="198">
        <v>42146</v>
      </c>
      <c r="D1458" s="199">
        <v>2</v>
      </c>
      <c r="E1458" s="200" t="s">
        <v>93</v>
      </c>
      <c r="F1458" s="197" t="s">
        <v>1654</v>
      </c>
      <c r="G1458" s="200" t="s">
        <v>202</v>
      </c>
      <c r="H1458" s="201">
        <v>42151</v>
      </c>
      <c r="I1458" s="200" t="s">
        <v>187</v>
      </c>
      <c r="J1458" s="200" t="s">
        <v>103</v>
      </c>
      <c r="K1458" s="200" t="s">
        <v>4985</v>
      </c>
      <c r="L1458" s="201">
        <v>42151</v>
      </c>
      <c r="M1458" s="197" t="s">
        <v>1914</v>
      </c>
      <c r="N1458" s="202" t="s">
        <v>185</v>
      </c>
      <c r="O1458" s="201">
        <v>42151</v>
      </c>
      <c r="P1458" s="203">
        <f t="shared" ref="P1458:P1521" si="718">O1458-C1458</f>
        <v>5</v>
      </c>
      <c r="Q1458" s="200" t="s">
        <v>4986</v>
      </c>
      <c r="R1458" s="202" t="s">
        <v>17</v>
      </c>
      <c r="S1458" s="197" t="s">
        <v>101</v>
      </c>
      <c r="T1458" s="197" t="s">
        <v>101</v>
      </c>
      <c r="U1458" s="201">
        <v>42153</v>
      </c>
      <c r="V1458" s="202" t="s">
        <v>186</v>
      </c>
      <c r="W1458" s="204">
        <f t="shared" ref="W1458:W1521" si="719">COUNTBLANK(C1458:V1458)</f>
        <v>0</v>
      </c>
      <c r="X1458" s="204" t="str">
        <f t="shared" ref="X1458:X1521" si="720">IF(W1458=0,"Correcto","Incorrecto")</f>
        <v>Correcto</v>
      </c>
    </row>
    <row r="1459" spans="1:24" ht="18" customHeight="1" x14ac:dyDescent="0.25">
      <c r="A1459" s="205">
        <v>1450</v>
      </c>
      <c r="B1459" s="197" t="s">
        <v>4987</v>
      </c>
      <c r="C1459" s="198">
        <v>42146</v>
      </c>
      <c r="D1459" s="199">
        <v>3</v>
      </c>
      <c r="E1459" s="200" t="s">
        <v>93</v>
      </c>
      <c r="F1459" s="197" t="s">
        <v>1654</v>
      </c>
      <c r="G1459" s="200" t="s">
        <v>202</v>
      </c>
      <c r="H1459" s="201">
        <v>42150</v>
      </c>
      <c r="I1459" s="200" t="s">
        <v>187</v>
      </c>
      <c r="J1459" s="200" t="s">
        <v>103</v>
      </c>
      <c r="K1459" s="200" t="s">
        <v>4988</v>
      </c>
      <c r="L1459" s="201">
        <v>42150</v>
      </c>
      <c r="M1459" s="197" t="s">
        <v>1914</v>
      </c>
      <c r="N1459" s="202" t="s">
        <v>185</v>
      </c>
      <c r="O1459" s="201">
        <v>42150</v>
      </c>
      <c r="P1459" s="203">
        <f t="shared" si="718"/>
        <v>4</v>
      </c>
      <c r="Q1459" s="200" t="s">
        <v>4988</v>
      </c>
      <c r="R1459" s="202" t="s">
        <v>17</v>
      </c>
      <c r="S1459" s="197" t="s">
        <v>104</v>
      </c>
      <c r="T1459" s="197">
        <v>103317301001</v>
      </c>
      <c r="U1459" s="201">
        <v>42150</v>
      </c>
      <c r="V1459" s="202" t="s">
        <v>186</v>
      </c>
      <c r="W1459" s="204">
        <f t="shared" si="719"/>
        <v>0</v>
      </c>
      <c r="X1459" s="204" t="str">
        <f t="shared" si="720"/>
        <v>Correcto</v>
      </c>
    </row>
    <row r="1460" spans="1:24" ht="18" customHeight="1" x14ac:dyDescent="0.25">
      <c r="A1460" s="205">
        <v>1451</v>
      </c>
      <c r="B1460" s="197" t="s">
        <v>4989</v>
      </c>
      <c r="C1460" s="198">
        <v>42149</v>
      </c>
      <c r="D1460" s="199">
        <v>2</v>
      </c>
      <c r="E1460" s="200" t="s">
        <v>93</v>
      </c>
      <c r="F1460" s="197" t="s">
        <v>1654</v>
      </c>
      <c r="G1460" s="200" t="s">
        <v>202</v>
      </c>
      <c r="H1460" s="201">
        <v>42151</v>
      </c>
      <c r="I1460" s="200" t="s">
        <v>187</v>
      </c>
      <c r="J1460" s="200" t="s">
        <v>103</v>
      </c>
      <c r="K1460" s="200" t="s">
        <v>4990</v>
      </c>
      <c r="L1460" s="201">
        <v>42151</v>
      </c>
      <c r="M1460" s="197" t="s">
        <v>1914</v>
      </c>
      <c r="N1460" s="202" t="s">
        <v>185</v>
      </c>
      <c r="O1460" s="201">
        <v>42151</v>
      </c>
      <c r="P1460" s="203">
        <f t="shared" si="718"/>
        <v>2</v>
      </c>
      <c r="Q1460" s="200" t="s">
        <v>4991</v>
      </c>
      <c r="R1460" s="202" t="s">
        <v>17</v>
      </c>
      <c r="S1460" s="197" t="s">
        <v>101</v>
      </c>
      <c r="T1460" s="197" t="s">
        <v>101</v>
      </c>
      <c r="U1460" s="201">
        <v>42153</v>
      </c>
      <c r="V1460" s="202" t="s">
        <v>186</v>
      </c>
      <c r="W1460" s="204">
        <f t="shared" si="719"/>
        <v>0</v>
      </c>
      <c r="X1460" s="204" t="str">
        <f t="shared" si="720"/>
        <v>Correcto</v>
      </c>
    </row>
    <row r="1461" spans="1:24" ht="18" customHeight="1" x14ac:dyDescent="0.25">
      <c r="A1461" s="205">
        <v>1452</v>
      </c>
      <c r="B1461" s="197" t="s">
        <v>4992</v>
      </c>
      <c r="C1461" s="198">
        <v>42149</v>
      </c>
      <c r="D1461" s="199">
        <v>4</v>
      </c>
      <c r="E1461" s="200" t="s">
        <v>93</v>
      </c>
      <c r="F1461" s="197" t="s">
        <v>1654</v>
      </c>
      <c r="G1461" s="200" t="s">
        <v>202</v>
      </c>
      <c r="H1461" s="201">
        <v>42150</v>
      </c>
      <c r="I1461" s="200" t="s">
        <v>187</v>
      </c>
      <c r="J1461" s="200" t="s">
        <v>103</v>
      </c>
      <c r="K1461" s="200" t="s">
        <v>4993</v>
      </c>
      <c r="L1461" s="201">
        <v>42150</v>
      </c>
      <c r="M1461" s="197" t="s">
        <v>1914</v>
      </c>
      <c r="N1461" s="202" t="s">
        <v>185</v>
      </c>
      <c r="O1461" s="201">
        <v>42150</v>
      </c>
      <c r="P1461" s="203">
        <f t="shared" si="718"/>
        <v>1</v>
      </c>
      <c r="Q1461" s="200" t="s">
        <v>4993</v>
      </c>
      <c r="R1461" s="202" t="s">
        <v>17</v>
      </c>
      <c r="S1461" s="197" t="s">
        <v>104</v>
      </c>
      <c r="T1461" s="197">
        <v>1103693659</v>
      </c>
      <c r="U1461" s="201">
        <v>42150</v>
      </c>
      <c r="V1461" s="202" t="s">
        <v>186</v>
      </c>
      <c r="W1461" s="204">
        <f t="shared" si="719"/>
        <v>0</v>
      </c>
      <c r="X1461" s="204" t="str">
        <f t="shared" si="720"/>
        <v>Correcto</v>
      </c>
    </row>
    <row r="1462" spans="1:24" ht="18" customHeight="1" x14ac:dyDescent="0.25">
      <c r="A1462" s="205">
        <v>1453</v>
      </c>
      <c r="B1462" s="197" t="s">
        <v>4994</v>
      </c>
      <c r="C1462" s="198">
        <v>42149</v>
      </c>
      <c r="D1462" s="199">
        <v>4</v>
      </c>
      <c r="E1462" s="200" t="s">
        <v>93</v>
      </c>
      <c r="F1462" s="197" t="s">
        <v>1654</v>
      </c>
      <c r="G1462" s="200" t="s">
        <v>202</v>
      </c>
      <c r="H1462" s="201">
        <v>42150</v>
      </c>
      <c r="I1462" s="200" t="s">
        <v>187</v>
      </c>
      <c r="J1462" s="200" t="s">
        <v>103</v>
      </c>
      <c r="K1462" s="200" t="s">
        <v>4995</v>
      </c>
      <c r="L1462" s="201">
        <v>42150</v>
      </c>
      <c r="M1462" s="197" t="s">
        <v>1914</v>
      </c>
      <c r="N1462" s="202" t="s">
        <v>185</v>
      </c>
      <c r="O1462" s="201">
        <v>42150</v>
      </c>
      <c r="P1462" s="203">
        <f t="shared" si="718"/>
        <v>1</v>
      </c>
      <c r="Q1462" s="200" t="s">
        <v>4995</v>
      </c>
      <c r="R1462" s="202" t="s">
        <v>17</v>
      </c>
      <c r="S1462" s="197" t="s">
        <v>104</v>
      </c>
      <c r="T1462" s="197">
        <v>1103693659</v>
      </c>
      <c r="U1462" s="201">
        <v>42150</v>
      </c>
      <c r="V1462" s="202" t="s">
        <v>186</v>
      </c>
      <c r="W1462" s="204">
        <f t="shared" si="719"/>
        <v>0</v>
      </c>
      <c r="X1462" s="204" t="str">
        <f t="shared" si="720"/>
        <v>Correcto</v>
      </c>
    </row>
    <row r="1463" spans="1:24" ht="18" customHeight="1" x14ac:dyDescent="0.25">
      <c r="A1463" s="205">
        <v>1454</v>
      </c>
      <c r="B1463" s="197" t="s">
        <v>4996</v>
      </c>
      <c r="C1463" s="198">
        <v>42149</v>
      </c>
      <c r="D1463" s="199">
        <v>4</v>
      </c>
      <c r="E1463" s="200" t="s">
        <v>93</v>
      </c>
      <c r="F1463" s="197" t="s">
        <v>1654</v>
      </c>
      <c r="G1463" s="200" t="s">
        <v>202</v>
      </c>
      <c r="H1463" s="201">
        <v>42150</v>
      </c>
      <c r="I1463" s="200" t="s">
        <v>187</v>
      </c>
      <c r="J1463" s="200" t="s">
        <v>103</v>
      </c>
      <c r="K1463" s="200" t="s">
        <v>4997</v>
      </c>
      <c r="L1463" s="201">
        <v>42150</v>
      </c>
      <c r="M1463" s="197" t="s">
        <v>1914</v>
      </c>
      <c r="N1463" s="202" t="s">
        <v>185</v>
      </c>
      <c r="O1463" s="201">
        <v>42150</v>
      </c>
      <c r="P1463" s="203">
        <f t="shared" si="718"/>
        <v>1</v>
      </c>
      <c r="Q1463" s="200" t="s">
        <v>4997</v>
      </c>
      <c r="R1463" s="202" t="s">
        <v>17</v>
      </c>
      <c r="S1463" s="197" t="s">
        <v>104</v>
      </c>
      <c r="T1463" s="197">
        <v>1103693659</v>
      </c>
      <c r="U1463" s="201">
        <v>42150</v>
      </c>
      <c r="V1463" s="202" t="s">
        <v>186</v>
      </c>
      <c r="W1463" s="204">
        <f t="shared" si="719"/>
        <v>0</v>
      </c>
      <c r="X1463" s="204" t="str">
        <f t="shared" si="720"/>
        <v>Correcto</v>
      </c>
    </row>
    <row r="1464" spans="1:24" ht="18" customHeight="1" x14ac:dyDescent="0.25">
      <c r="A1464" s="205">
        <v>1455</v>
      </c>
      <c r="B1464" s="197" t="s">
        <v>4998</v>
      </c>
      <c r="C1464" s="198">
        <v>42149</v>
      </c>
      <c r="D1464" s="199">
        <v>97</v>
      </c>
      <c r="E1464" s="200" t="s">
        <v>93</v>
      </c>
      <c r="F1464" s="197" t="s">
        <v>4999</v>
      </c>
      <c r="G1464" s="200" t="s">
        <v>202</v>
      </c>
      <c r="H1464" s="201">
        <v>42165</v>
      </c>
      <c r="I1464" s="200" t="s">
        <v>187</v>
      </c>
      <c r="J1464" s="200" t="s">
        <v>103</v>
      </c>
      <c r="K1464" s="200" t="s">
        <v>5000</v>
      </c>
      <c r="L1464" s="201">
        <v>42165</v>
      </c>
      <c r="M1464" s="197" t="s">
        <v>1914</v>
      </c>
      <c r="N1464" s="202" t="s">
        <v>185</v>
      </c>
      <c r="O1464" s="201">
        <v>42166</v>
      </c>
      <c r="P1464" s="203">
        <f t="shared" si="718"/>
        <v>17</v>
      </c>
      <c r="Q1464" s="200" t="s">
        <v>5001</v>
      </c>
      <c r="R1464" s="202" t="s">
        <v>17</v>
      </c>
      <c r="S1464" s="197" t="s">
        <v>101</v>
      </c>
      <c r="T1464" s="197" t="s">
        <v>101</v>
      </c>
      <c r="U1464" s="201">
        <v>42166</v>
      </c>
      <c r="V1464" s="202" t="s">
        <v>186</v>
      </c>
      <c r="W1464" s="204">
        <f t="shared" si="719"/>
        <v>0</v>
      </c>
      <c r="X1464" s="204" t="str">
        <f t="shared" si="720"/>
        <v>Correcto</v>
      </c>
    </row>
    <row r="1465" spans="1:24" ht="18" customHeight="1" x14ac:dyDescent="0.25">
      <c r="A1465" s="205">
        <v>1456</v>
      </c>
      <c r="B1465" s="197" t="s">
        <v>5002</v>
      </c>
      <c r="C1465" s="198">
        <v>42149</v>
      </c>
      <c r="D1465" s="199">
        <v>2</v>
      </c>
      <c r="E1465" s="200" t="s">
        <v>93</v>
      </c>
      <c r="F1465" s="197" t="s">
        <v>1654</v>
      </c>
      <c r="G1465" s="200" t="s">
        <v>202</v>
      </c>
      <c r="H1465" s="201">
        <v>42151</v>
      </c>
      <c r="I1465" s="200" t="s">
        <v>187</v>
      </c>
      <c r="J1465" s="200" t="s">
        <v>103</v>
      </c>
      <c r="K1465" s="200" t="s">
        <v>5003</v>
      </c>
      <c r="L1465" s="201">
        <v>42151</v>
      </c>
      <c r="M1465" s="197" t="s">
        <v>1914</v>
      </c>
      <c r="N1465" s="202" t="s">
        <v>185</v>
      </c>
      <c r="O1465" s="201">
        <v>42151</v>
      </c>
      <c r="P1465" s="203">
        <f t="shared" si="718"/>
        <v>2</v>
      </c>
      <c r="Q1465" s="200" t="s">
        <v>5004</v>
      </c>
      <c r="R1465" s="202" t="s">
        <v>17</v>
      </c>
      <c r="S1465" s="197" t="s">
        <v>101</v>
      </c>
      <c r="T1465" s="197" t="s">
        <v>5005</v>
      </c>
      <c r="U1465" s="201">
        <v>42152</v>
      </c>
      <c r="V1465" s="202" t="s">
        <v>186</v>
      </c>
      <c r="W1465" s="204">
        <f t="shared" si="719"/>
        <v>0</v>
      </c>
      <c r="X1465" s="204" t="str">
        <f t="shared" si="720"/>
        <v>Correcto</v>
      </c>
    </row>
    <row r="1466" spans="1:24" ht="18" customHeight="1" x14ac:dyDescent="0.25">
      <c r="A1466" s="205">
        <v>1457</v>
      </c>
      <c r="B1466" s="197" t="s">
        <v>5006</v>
      </c>
      <c r="C1466" s="198">
        <v>42149</v>
      </c>
      <c r="D1466" s="199">
        <v>2</v>
      </c>
      <c r="E1466" s="200" t="s">
        <v>93</v>
      </c>
      <c r="F1466" s="197" t="s">
        <v>1654</v>
      </c>
      <c r="G1466" s="200" t="s">
        <v>202</v>
      </c>
      <c r="H1466" s="201">
        <v>42151</v>
      </c>
      <c r="I1466" s="200" t="s">
        <v>187</v>
      </c>
      <c r="J1466" s="200" t="s">
        <v>103</v>
      </c>
      <c r="K1466" s="200" t="s">
        <v>5007</v>
      </c>
      <c r="L1466" s="201">
        <v>42151</v>
      </c>
      <c r="M1466" s="197" t="s">
        <v>1914</v>
      </c>
      <c r="N1466" s="202" t="s">
        <v>185</v>
      </c>
      <c r="O1466" s="201">
        <v>42151</v>
      </c>
      <c r="P1466" s="203">
        <f t="shared" si="718"/>
        <v>2</v>
      </c>
      <c r="Q1466" s="200" t="s">
        <v>5008</v>
      </c>
      <c r="R1466" s="202" t="s">
        <v>17</v>
      </c>
      <c r="S1466" s="197" t="s">
        <v>101</v>
      </c>
      <c r="T1466" s="197" t="s">
        <v>101</v>
      </c>
      <c r="U1466" s="201">
        <v>42153</v>
      </c>
      <c r="V1466" s="202" t="s">
        <v>186</v>
      </c>
      <c r="W1466" s="204">
        <f t="shared" si="719"/>
        <v>0</v>
      </c>
      <c r="X1466" s="204" t="str">
        <f t="shared" si="720"/>
        <v>Correcto</v>
      </c>
    </row>
    <row r="1467" spans="1:24" ht="18" customHeight="1" x14ac:dyDescent="0.25">
      <c r="A1467" s="205">
        <v>1458</v>
      </c>
      <c r="B1467" s="197" t="s">
        <v>5009</v>
      </c>
      <c r="C1467" s="198">
        <v>42149</v>
      </c>
      <c r="D1467" s="199">
        <v>2</v>
      </c>
      <c r="E1467" s="200" t="s">
        <v>93</v>
      </c>
      <c r="F1467" s="197" t="s">
        <v>1654</v>
      </c>
      <c r="G1467" s="200" t="s">
        <v>202</v>
      </c>
      <c r="H1467" s="201">
        <v>42149</v>
      </c>
      <c r="I1467" s="200" t="s">
        <v>187</v>
      </c>
      <c r="J1467" s="200" t="s">
        <v>103</v>
      </c>
      <c r="K1467" s="200" t="s">
        <v>5010</v>
      </c>
      <c r="L1467" s="201">
        <v>42149</v>
      </c>
      <c r="M1467" s="197" t="s">
        <v>1914</v>
      </c>
      <c r="N1467" s="202" t="s">
        <v>185</v>
      </c>
      <c r="O1467" s="201">
        <v>42149</v>
      </c>
      <c r="P1467" s="203">
        <f t="shared" si="718"/>
        <v>0</v>
      </c>
      <c r="Q1467" s="200" t="s">
        <v>5010</v>
      </c>
      <c r="R1467" s="202" t="s">
        <v>17</v>
      </c>
      <c r="S1467" s="197" t="s">
        <v>104</v>
      </c>
      <c r="T1467" s="197">
        <v>1103370902</v>
      </c>
      <c r="U1467" s="201">
        <v>42149</v>
      </c>
      <c r="V1467" s="202" t="s">
        <v>186</v>
      </c>
      <c r="W1467" s="204">
        <f t="shared" si="719"/>
        <v>0</v>
      </c>
      <c r="X1467" s="204" t="str">
        <f t="shared" si="720"/>
        <v>Correcto</v>
      </c>
    </row>
    <row r="1468" spans="1:24" ht="18" customHeight="1" x14ac:dyDescent="0.25">
      <c r="A1468" s="205">
        <v>1459</v>
      </c>
      <c r="B1468" s="197" t="s">
        <v>5011</v>
      </c>
      <c r="C1468" s="198">
        <v>42149</v>
      </c>
      <c r="D1468" s="199">
        <v>2</v>
      </c>
      <c r="E1468" s="200" t="s">
        <v>93</v>
      </c>
      <c r="F1468" s="197" t="s">
        <v>1654</v>
      </c>
      <c r="G1468" s="200" t="s">
        <v>202</v>
      </c>
      <c r="H1468" s="201">
        <v>42150</v>
      </c>
      <c r="I1468" s="200" t="s">
        <v>187</v>
      </c>
      <c r="J1468" s="200" t="s">
        <v>103</v>
      </c>
      <c r="K1468" s="200" t="s">
        <v>5012</v>
      </c>
      <c r="L1468" s="201">
        <v>42150</v>
      </c>
      <c r="M1468" s="197" t="s">
        <v>1914</v>
      </c>
      <c r="N1468" s="202" t="s">
        <v>185</v>
      </c>
      <c r="O1468" s="201">
        <v>42150</v>
      </c>
      <c r="P1468" s="203">
        <f t="shared" si="718"/>
        <v>1</v>
      </c>
      <c r="Q1468" s="200" t="s">
        <v>5012</v>
      </c>
      <c r="R1468" s="202" t="s">
        <v>17</v>
      </c>
      <c r="S1468" s="197" t="s">
        <v>104</v>
      </c>
      <c r="T1468" s="197">
        <v>1103348551</v>
      </c>
      <c r="U1468" s="201">
        <v>42150</v>
      </c>
      <c r="V1468" s="202" t="s">
        <v>186</v>
      </c>
      <c r="W1468" s="204">
        <f t="shared" si="719"/>
        <v>0</v>
      </c>
      <c r="X1468" s="204" t="str">
        <f t="shared" si="720"/>
        <v>Correcto</v>
      </c>
    </row>
    <row r="1469" spans="1:24" ht="18" customHeight="1" x14ac:dyDescent="0.25">
      <c r="A1469" s="205">
        <v>1460</v>
      </c>
      <c r="B1469" s="197" t="s">
        <v>5013</v>
      </c>
      <c r="C1469" s="198">
        <v>42149</v>
      </c>
      <c r="D1469" s="199">
        <v>2</v>
      </c>
      <c r="E1469" s="200" t="s">
        <v>93</v>
      </c>
      <c r="F1469" s="197" t="s">
        <v>1654</v>
      </c>
      <c r="G1469" s="200" t="s">
        <v>202</v>
      </c>
      <c r="H1469" s="201">
        <v>42150</v>
      </c>
      <c r="I1469" s="200" t="s">
        <v>187</v>
      </c>
      <c r="J1469" s="200" t="s">
        <v>103</v>
      </c>
      <c r="K1469" s="200" t="s">
        <v>5014</v>
      </c>
      <c r="L1469" s="201">
        <v>42150</v>
      </c>
      <c r="M1469" s="197" t="s">
        <v>1914</v>
      </c>
      <c r="N1469" s="202" t="s">
        <v>185</v>
      </c>
      <c r="O1469" s="201">
        <v>42150</v>
      </c>
      <c r="P1469" s="203">
        <f t="shared" si="718"/>
        <v>1</v>
      </c>
      <c r="Q1469" s="200" t="s">
        <v>5014</v>
      </c>
      <c r="R1469" s="202" t="s">
        <v>17</v>
      </c>
      <c r="S1469" s="197" t="s">
        <v>104</v>
      </c>
      <c r="T1469" s="197">
        <v>1104179468</v>
      </c>
      <c r="U1469" s="201">
        <v>42150</v>
      </c>
      <c r="V1469" s="202" t="s">
        <v>186</v>
      </c>
      <c r="W1469" s="204">
        <f t="shared" si="719"/>
        <v>0</v>
      </c>
      <c r="X1469" s="204" t="str">
        <f t="shared" si="720"/>
        <v>Correcto</v>
      </c>
    </row>
    <row r="1470" spans="1:24" ht="18" customHeight="1" x14ac:dyDescent="0.25">
      <c r="A1470" s="205">
        <v>1461</v>
      </c>
      <c r="B1470" s="197" t="s">
        <v>5015</v>
      </c>
      <c r="C1470" s="198">
        <v>42149</v>
      </c>
      <c r="D1470" s="199">
        <v>2</v>
      </c>
      <c r="E1470" s="200" t="s">
        <v>93</v>
      </c>
      <c r="F1470" s="197" t="s">
        <v>1654</v>
      </c>
      <c r="G1470" s="200" t="s">
        <v>202</v>
      </c>
      <c r="H1470" s="201">
        <v>42151</v>
      </c>
      <c r="I1470" s="200" t="s">
        <v>187</v>
      </c>
      <c r="J1470" s="200" t="s">
        <v>103</v>
      </c>
      <c r="K1470" s="200" t="s">
        <v>5016</v>
      </c>
      <c r="L1470" s="201">
        <v>42151</v>
      </c>
      <c r="M1470" s="197" t="s">
        <v>1914</v>
      </c>
      <c r="N1470" s="202" t="s">
        <v>185</v>
      </c>
      <c r="O1470" s="201">
        <v>42151</v>
      </c>
      <c r="P1470" s="203">
        <f t="shared" si="718"/>
        <v>2</v>
      </c>
      <c r="Q1470" s="200" t="s">
        <v>5017</v>
      </c>
      <c r="R1470" s="202" t="s">
        <v>17</v>
      </c>
      <c r="S1470" s="197" t="s">
        <v>101</v>
      </c>
      <c r="T1470" s="197" t="s">
        <v>101</v>
      </c>
      <c r="U1470" s="201">
        <v>42153</v>
      </c>
      <c r="V1470" s="202" t="s">
        <v>186</v>
      </c>
      <c r="W1470" s="204">
        <f t="shared" si="719"/>
        <v>0</v>
      </c>
      <c r="X1470" s="204" t="str">
        <f t="shared" si="720"/>
        <v>Correcto</v>
      </c>
    </row>
    <row r="1471" spans="1:24" ht="18" customHeight="1" x14ac:dyDescent="0.25">
      <c r="A1471" s="205">
        <v>1462</v>
      </c>
      <c r="B1471" s="197" t="s">
        <v>5018</v>
      </c>
      <c r="C1471" s="198">
        <v>42149</v>
      </c>
      <c r="D1471" s="199">
        <v>2</v>
      </c>
      <c r="E1471" s="200" t="s">
        <v>93</v>
      </c>
      <c r="F1471" s="197" t="s">
        <v>1654</v>
      </c>
      <c r="G1471" s="200" t="s">
        <v>202</v>
      </c>
      <c r="H1471" s="201">
        <v>42151</v>
      </c>
      <c r="I1471" s="200" t="s">
        <v>187</v>
      </c>
      <c r="J1471" s="200" t="s">
        <v>103</v>
      </c>
      <c r="K1471" s="200" t="s">
        <v>5019</v>
      </c>
      <c r="L1471" s="201">
        <v>42151</v>
      </c>
      <c r="M1471" s="197" t="s">
        <v>1914</v>
      </c>
      <c r="N1471" s="202" t="s">
        <v>185</v>
      </c>
      <c r="O1471" s="201">
        <v>42151</v>
      </c>
      <c r="P1471" s="203">
        <f t="shared" si="718"/>
        <v>2</v>
      </c>
      <c r="Q1471" s="200" t="s">
        <v>5020</v>
      </c>
      <c r="R1471" s="202" t="s">
        <v>17</v>
      </c>
      <c r="S1471" s="197" t="s">
        <v>101</v>
      </c>
      <c r="T1471" s="197" t="s">
        <v>101</v>
      </c>
      <c r="U1471" s="201">
        <v>42153</v>
      </c>
      <c r="V1471" s="202" t="s">
        <v>186</v>
      </c>
      <c r="W1471" s="204">
        <f t="shared" si="719"/>
        <v>0</v>
      </c>
      <c r="X1471" s="204" t="str">
        <f t="shared" si="720"/>
        <v>Correcto</v>
      </c>
    </row>
    <row r="1472" spans="1:24" ht="18" customHeight="1" x14ac:dyDescent="0.25">
      <c r="A1472" s="205">
        <v>1463</v>
      </c>
      <c r="B1472" s="197" t="s">
        <v>5021</v>
      </c>
      <c r="C1472" s="198">
        <v>42149</v>
      </c>
      <c r="D1472" s="199">
        <v>2</v>
      </c>
      <c r="E1472" s="200" t="s">
        <v>93</v>
      </c>
      <c r="F1472" s="197" t="s">
        <v>1654</v>
      </c>
      <c r="G1472" s="200" t="s">
        <v>202</v>
      </c>
      <c r="H1472" s="201">
        <v>42151</v>
      </c>
      <c r="I1472" s="200" t="s">
        <v>187</v>
      </c>
      <c r="J1472" s="200" t="s">
        <v>103</v>
      </c>
      <c r="K1472" s="200" t="s">
        <v>5022</v>
      </c>
      <c r="L1472" s="201">
        <v>42151</v>
      </c>
      <c r="M1472" s="197" t="s">
        <v>1914</v>
      </c>
      <c r="N1472" s="202" t="s">
        <v>185</v>
      </c>
      <c r="O1472" s="201">
        <v>42151</v>
      </c>
      <c r="P1472" s="203">
        <f t="shared" si="718"/>
        <v>2</v>
      </c>
      <c r="Q1472" s="200" t="s">
        <v>5023</v>
      </c>
      <c r="R1472" s="202" t="s">
        <v>17</v>
      </c>
      <c r="S1472" s="197" t="s">
        <v>101</v>
      </c>
      <c r="T1472" s="197" t="s">
        <v>101</v>
      </c>
      <c r="U1472" s="201">
        <v>42153</v>
      </c>
      <c r="V1472" s="202" t="s">
        <v>186</v>
      </c>
      <c r="W1472" s="204">
        <f t="shared" si="719"/>
        <v>0</v>
      </c>
      <c r="X1472" s="204" t="str">
        <f t="shared" si="720"/>
        <v>Correcto</v>
      </c>
    </row>
    <row r="1473" spans="1:24" ht="18" customHeight="1" x14ac:dyDescent="0.25">
      <c r="A1473" s="205">
        <v>1464</v>
      </c>
      <c r="B1473" s="197" t="s">
        <v>5024</v>
      </c>
      <c r="C1473" s="198">
        <v>42149</v>
      </c>
      <c r="D1473" s="199">
        <v>6</v>
      </c>
      <c r="E1473" s="200" t="s">
        <v>93</v>
      </c>
      <c r="F1473" s="197" t="s">
        <v>1654</v>
      </c>
      <c r="G1473" s="200" t="s">
        <v>202</v>
      </c>
      <c r="H1473" s="201">
        <v>42152</v>
      </c>
      <c r="I1473" s="200" t="s">
        <v>187</v>
      </c>
      <c r="J1473" s="200" t="s">
        <v>103</v>
      </c>
      <c r="K1473" s="200" t="s">
        <v>5025</v>
      </c>
      <c r="L1473" s="201">
        <v>42152</v>
      </c>
      <c r="M1473" s="197" t="s">
        <v>1914</v>
      </c>
      <c r="N1473" s="202" t="s">
        <v>185</v>
      </c>
      <c r="O1473" s="201">
        <v>42153</v>
      </c>
      <c r="P1473" s="203">
        <f t="shared" si="718"/>
        <v>4</v>
      </c>
      <c r="Q1473" s="200" t="s">
        <v>5026</v>
      </c>
      <c r="R1473" s="202" t="s">
        <v>17</v>
      </c>
      <c r="S1473" s="197" t="s">
        <v>101</v>
      </c>
      <c r="T1473" s="197" t="s">
        <v>101</v>
      </c>
      <c r="U1473" s="201">
        <v>42157</v>
      </c>
      <c r="V1473" s="202" t="s">
        <v>186</v>
      </c>
      <c r="W1473" s="204">
        <f t="shared" si="719"/>
        <v>0</v>
      </c>
      <c r="X1473" s="204" t="str">
        <f t="shared" si="720"/>
        <v>Correcto</v>
      </c>
    </row>
    <row r="1474" spans="1:24" ht="18" customHeight="1" x14ac:dyDescent="0.25">
      <c r="A1474" s="205">
        <v>1465</v>
      </c>
      <c r="B1474" s="197" t="s">
        <v>5027</v>
      </c>
      <c r="C1474" s="198">
        <v>42149</v>
      </c>
      <c r="D1474" s="199">
        <v>2</v>
      </c>
      <c r="E1474" s="200" t="s">
        <v>93</v>
      </c>
      <c r="F1474" s="197" t="s">
        <v>1654</v>
      </c>
      <c r="G1474" s="200" t="s">
        <v>202</v>
      </c>
      <c r="H1474" s="201">
        <v>42151</v>
      </c>
      <c r="I1474" s="200" t="s">
        <v>187</v>
      </c>
      <c r="J1474" s="200" t="s">
        <v>103</v>
      </c>
      <c r="K1474" s="200" t="s">
        <v>5028</v>
      </c>
      <c r="L1474" s="201">
        <v>42151</v>
      </c>
      <c r="M1474" s="197" t="s">
        <v>1914</v>
      </c>
      <c r="N1474" s="202" t="s">
        <v>185</v>
      </c>
      <c r="O1474" s="201">
        <v>42151</v>
      </c>
      <c r="P1474" s="203">
        <f t="shared" si="718"/>
        <v>2</v>
      </c>
      <c r="Q1474" s="200" t="s">
        <v>5029</v>
      </c>
      <c r="R1474" s="202" t="s">
        <v>17</v>
      </c>
      <c r="S1474" s="197" t="s">
        <v>101</v>
      </c>
      <c r="T1474" s="197" t="s">
        <v>101</v>
      </c>
      <c r="U1474" s="201">
        <v>42153</v>
      </c>
      <c r="V1474" s="202" t="s">
        <v>186</v>
      </c>
      <c r="W1474" s="204">
        <f t="shared" si="719"/>
        <v>0</v>
      </c>
      <c r="X1474" s="204" t="str">
        <f t="shared" si="720"/>
        <v>Correcto</v>
      </c>
    </row>
    <row r="1475" spans="1:24" ht="18" customHeight="1" x14ac:dyDescent="0.25">
      <c r="A1475" s="205">
        <v>1466</v>
      </c>
      <c r="B1475" s="197" t="s">
        <v>5030</v>
      </c>
      <c r="C1475" s="198">
        <v>42149</v>
      </c>
      <c r="D1475" s="199">
        <v>2</v>
      </c>
      <c r="E1475" s="200" t="s">
        <v>93</v>
      </c>
      <c r="F1475" s="197" t="s">
        <v>1654</v>
      </c>
      <c r="G1475" s="200" t="s">
        <v>202</v>
      </c>
      <c r="H1475" s="201">
        <v>42151</v>
      </c>
      <c r="I1475" s="200" t="s">
        <v>187</v>
      </c>
      <c r="J1475" s="200" t="s">
        <v>103</v>
      </c>
      <c r="K1475" s="200" t="s">
        <v>5031</v>
      </c>
      <c r="L1475" s="201">
        <v>42151</v>
      </c>
      <c r="M1475" s="197" t="s">
        <v>1914</v>
      </c>
      <c r="N1475" s="202" t="s">
        <v>185</v>
      </c>
      <c r="O1475" s="201">
        <v>42152</v>
      </c>
      <c r="P1475" s="203">
        <f t="shared" si="718"/>
        <v>3</v>
      </c>
      <c r="Q1475" s="200" t="s">
        <v>5032</v>
      </c>
      <c r="R1475" s="202" t="s">
        <v>17</v>
      </c>
      <c r="S1475" s="197" t="s">
        <v>101</v>
      </c>
      <c r="T1475" s="197" t="s">
        <v>101</v>
      </c>
      <c r="U1475" s="201">
        <v>42153</v>
      </c>
      <c r="V1475" s="202" t="s">
        <v>186</v>
      </c>
      <c r="W1475" s="204">
        <f t="shared" si="719"/>
        <v>0</v>
      </c>
      <c r="X1475" s="204" t="str">
        <f t="shared" si="720"/>
        <v>Correcto</v>
      </c>
    </row>
    <row r="1476" spans="1:24" ht="18" customHeight="1" x14ac:dyDescent="0.25">
      <c r="A1476" s="205">
        <v>1467</v>
      </c>
      <c r="B1476" s="197" t="s">
        <v>5033</v>
      </c>
      <c r="C1476" s="198">
        <v>42149</v>
      </c>
      <c r="D1476" s="199">
        <v>2</v>
      </c>
      <c r="E1476" s="200" t="s">
        <v>93</v>
      </c>
      <c r="F1476" s="197" t="s">
        <v>1654</v>
      </c>
      <c r="G1476" s="200" t="s">
        <v>202</v>
      </c>
      <c r="H1476" s="201">
        <v>42151</v>
      </c>
      <c r="I1476" s="200" t="s">
        <v>187</v>
      </c>
      <c r="J1476" s="200" t="s">
        <v>103</v>
      </c>
      <c r="K1476" s="200" t="s">
        <v>5034</v>
      </c>
      <c r="L1476" s="201">
        <v>42151</v>
      </c>
      <c r="M1476" s="197" t="s">
        <v>1914</v>
      </c>
      <c r="N1476" s="202" t="s">
        <v>185</v>
      </c>
      <c r="O1476" s="201">
        <v>42151</v>
      </c>
      <c r="P1476" s="203">
        <f t="shared" si="718"/>
        <v>2</v>
      </c>
      <c r="Q1476" s="200" t="s">
        <v>5035</v>
      </c>
      <c r="R1476" s="202" t="s">
        <v>17</v>
      </c>
      <c r="S1476" s="197" t="s">
        <v>101</v>
      </c>
      <c r="T1476" s="197" t="s">
        <v>101</v>
      </c>
      <c r="U1476" s="201">
        <v>42153</v>
      </c>
      <c r="V1476" s="202" t="s">
        <v>186</v>
      </c>
      <c r="W1476" s="204">
        <f t="shared" si="719"/>
        <v>0</v>
      </c>
      <c r="X1476" s="204" t="str">
        <f t="shared" si="720"/>
        <v>Correcto</v>
      </c>
    </row>
    <row r="1477" spans="1:24" ht="18" customHeight="1" x14ac:dyDescent="0.25">
      <c r="A1477" s="205">
        <v>1468</v>
      </c>
      <c r="B1477" s="197" t="s">
        <v>5036</v>
      </c>
      <c r="C1477" s="198">
        <v>42149</v>
      </c>
      <c r="D1477" s="199">
        <v>2</v>
      </c>
      <c r="E1477" s="200" t="s">
        <v>93</v>
      </c>
      <c r="F1477" s="197" t="s">
        <v>1654</v>
      </c>
      <c r="G1477" s="200" t="s">
        <v>202</v>
      </c>
      <c r="H1477" s="201">
        <v>42151</v>
      </c>
      <c r="I1477" s="200" t="s">
        <v>187</v>
      </c>
      <c r="J1477" s="200" t="s">
        <v>103</v>
      </c>
      <c r="K1477" s="200" t="s">
        <v>5037</v>
      </c>
      <c r="L1477" s="201">
        <v>42151</v>
      </c>
      <c r="M1477" s="197" t="s">
        <v>1914</v>
      </c>
      <c r="N1477" s="202" t="s">
        <v>185</v>
      </c>
      <c r="O1477" s="201">
        <v>42151</v>
      </c>
      <c r="P1477" s="203">
        <f t="shared" si="718"/>
        <v>2</v>
      </c>
      <c r="Q1477" s="200" t="s">
        <v>5038</v>
      </c>
      <c r="R1477" s="202" t="s">
        <v>17</v>
      </c>
      <c r="S1477" s="197" t="s">
        <v>101</v>
      </c>
      <c r="T1477" s="197" t="s">
        <v>101</v>
      </c>
      <c r="U1477" s="201">
        <v>42153</v>
      </c>
      <c r="V1477" s="202" t="s">
        <v>186</v>
      </c>
      <c r="W1477" s="204">
        <f t="shared" si="719"/>
        <v>0</v>
      </c>
      <c r="X1477" s="204" t="str">
        <f t="shared" si="720"/>
        <v>Correcto</v>
      </c>
    </row>
    <row r="1478" spans="1:24" ht="18" customHeight="1" x14ac:dyDescent="0.25">
      <c r="A1478" s="205">
        <v>1469</v>
      </c>
      <c r="B1478" s="197" t="s">
        <v>5039</v>
      </c>
      <c r="C1478" s="198">
        <v>42149</v>
      </c>
      <c r="D1478" s="199">
        <v>2</v>
      </c>
      <c r="E1478" s="200" t="s">
        <v>93</v>
      </c>
      <c r="F1478" s="197" t="s">
        <v>1654</v>
      </c>
      <c r="G1478" s="200" t="s">
        <v>202</v>
      </c>
      <c r="H1478" s="201">
        <v>42150</v>
      </c>
      <c r="I1478" s="200" t="s">
        <v>187</v>
      </c>
      <c r="J1478" s="200" t="s">
        <v>103</v>
      </c>
      <c r="K1478" s="200" t="s">
        <v>5040</v>
      </c>
      <c r="L1478" s="201">
        <v>42150</v>
      </c>
      <c r="M1478" s="197" t="s">
        <v>1914</v>
      </c>
      <c r="N1478" s="202" t="s">
        <v>185</v>
      </c>
      <c r="O1478" s="201">
        <v>42151</v>
      </c>
      <c r="P1478" s="203">
        <f t="shared" si="718"/>
        <v>2</v>
      </c>
      <c r="Q1478" s="200" t="s">
        <v>5041</v>
      </c>
      <c r="R1478" s="202" t="s">
        <v>2438</v>
      </c>
      <c r="S1478" s="197" t="s">
        <v>101</v>
      </c>
      <c r="T1478" s="197" t="s">
        <v>4931</v>
      </c>
      <c r="U1478" s="201">
        <v>42151</v>
      </c>
      <c r="V1478" s="202" t="s">
        <v>186</v>
      </c>
      <c r="W1478" s="204">
        <f t="shared" si="719"/>
        <v>0</v>
      </c>
      <c r="X1478" s="204" t="str">
        <f t="shared" si="720"/>
        <v>Correcto</v>
      </c>
    </row>
    <row r="1479" spans="1:24" ht="18" customHeight="1" x14ac:dyDescent="0.25">
      <c r="A1479" s="205">
        <v>1470</v>
      </c>
      <c r="B1479" s="197" t="s">
        <v>5042</v>
      </c>
      <c r="C1479" s="198">
        <v>42149</v>
      </c>
      <c r="D1479" s="199">
        <v>2</v>
      </c>
      <c r="E1479" s="200" t="s">
        <v>93</v>
      </c>
      <c r="F1479" s="197" t="s">
        <v>1654</v>
      </c>
      <c r="G1479" s="200" t="s">
        <v>202</v>
      </c>
      <c r="H1479" s="201">
        <v>42150</v>
      </c>
      <c r="I1479" s="200" t="s">
        <v>187</v>
      </c>
      <c r="J1479" s="200" t="s">
        <v>103</v>
      </c>
      <c r="K1479" s="200" t="s">
        <v>5043</v>
      </c>
      <c r="L1479" s="201">
        <v>42150</v>
      </c>
      <c r="M1479" s="197" t="s">
        <v>1914</v>
      </c>
      <c r="N1479" s="202" t="s">
        <v>185</v>
      </c>
      <c r="O1479" s="201">
        <v>42151</v>
      </c>
      <c r="P1479" s="203">
        <f t="shared" si="718"/>
        <v>2</v>
      </c>
      <c r="Q1479" s="200" t="s">
        <v>5044</v>
      </c>
      <c r="R1479" s="202" t="s">
        <v>2438</v>
      </c>
      <c r="S1479" s="197" t="s">
        <v>101</v>
      </c>
      <c r="T1479" s="197" t="s">
        <v>4931</v>
      </c>
      <c r="U1479" s="201">
        <v>42151</v>
      </c>
      <c r="V1479" s="202" t="s">
        <v>186</v>
      </c>
      <c r="W1479" s="204">
        <f t="shared" si="719"/>
        <v>0</v>
      </c>
      <c r="X1479" s="204" t="str">
        <f t="shared" si="720"/>
        <v>Correcto</v>
      </c>
    </row>
    <row r="1480" spans="1:24" ht="18" customHeight="1" x14ac:dyDescent="0.25">
      <c r="A1480" s="205">
        <v>1471</v>
      </c>
      <c r="B1480" s="197" t="s">
        <v>5045</v>
      </c>
      <c r="C1480" s="198">
        <v>42149</v>
      </c>
      <c r="D1480" s="199">
        <v>2</v>
      </c>
      <c r="E1480" s="200" t="s">
        <v>93</v>
      </c>
      <c r="F1480" s="197" t="s">
        <v>4999</v>
      </c>
      <c r="G1480" s="200" t="s">
        <v>202</v>
      </c>
      <c r="H1480" s="201">
        <v>42182</v>
      </c>
      <c r="I1480" s="200" t="s">
        <v>187</v>
      </c>
      <c r="J1480" s="200" t="s">
        <v>103</v>
      </c>
      <c r="K1480" s="200" t="s">
        <v>5046</v>
      </c>
      <c r="L1480" s="201">
        <v>42151</v>
      </c>
      <c r="M1480" s="197" t="s">
        <v>824</v>
      </c>
      <c r="N1480" s="202" t="s">
        <v>185</v>
      </c>
      <c r="O1480" s="201">
        <v>42151</v>
      </c>
      <c r="P1480" s="203">
        <f t="shared" si="718"/>
        <v>2</v>
      </c>
      <c r="Q1480" s="200" t="s">
        <v>5046</v>
      </c>
      <c r="R1480" s="202" t="s">
        <v>2438</v>
      </c>
      <c r="S1480" s="197" t="s">
        <v>101</v>
      </c>
      <c r="T1480" s="197" t="s">
        <v>4931</v>
      </c>
      <c r="U1480" s="201">
        <v>42151</v>
      </c>
      <c r="V1480" s="202" t="s">
        <v>186</v>
      </c>
      <c r="W1480" s="204">
        <f t="shared" si="719"/>
        <v>0</v>
      </c>
      <c r="X1480" s="204" t="str">
        <f t="shared" si="720"/>
        <v>Correcto</v>
      </c>
    </row>
    <row r="1481" spans="1:24" ht="18" customHeight="1" x14ac:dyDescent="0.25">
      <c r="A1481" s="205">
        <v>1472</v>
      </c>
      <c r="B1481" s="197" t="s">
        <v>5047</v>
      </c>
      <c r="C1481" s="198">
        <v>42149</v>
      </c>
      <c r="D1481" s="199">
        <v>2</v>
      </c>
      <c r="E1481" s="200" t="s">
        <v>93</v>
      </c>
      <c r="F1481" s="197" t="s">
        <v>1654</v>
      </c>
      <c r="G1481" s="200" t="s">
        <v>202</v>
      </c>
      <c r="H1481" s="201">
        <v>42150</v>
      </c>
      <c r="I1481" s="200" t="s">
        <v>187</v>
      </c>
      <c r="J1481" s="200" t="s">
        <v>103</v>
      </c>
      <c r="K1481" s="200" t="s">
        <v>5048</v>
      </c>
      <c r="L1481" s="201">
        <v>42150</v>
      </c>
      <c r="M1481" s="197" t="s">
        <v>1914</v>
      </c>
      <c r="N1481" s="202" t="s">
        <v>185</v>
      </c>
      <c r="O1481" s="201">
        <v>42151</v>
      </c>
      <c r="P1481" s="203">
        <f t="shared" si="718"/>
        <v>2</v>
      </c>
      <c r="Q1481" s="200" t="s">
        <v>5049</v>
      </c>
      <c r="R1481" s="202" t="s">
        <v>2438</v>
      </c>
      <c r="S1481" s="197" t="s">
        <v>101</v>
      </c>
      <c r="T1481" s="197" t="s">
        <v>4931</v>
      </c>
      <c r="U1481" s="201">
        <v>42151</v>
      </c>
      <c r="V1481" s="202" t="s">
        <v>186</v>
      </c>
      <c r="W1481" s="204">
        <f t="shared" si="719"/>
        <v>0</v>
      </c>
      <c r="X1481" s="204" t="str">
        <f t="shared" si="720"/>
        <v>Correcto</v>
      </c>
    </row>
    <row r="1482" spans="1:24" ht="18" customHeight="1" x14ac:dyDescent="0.25">
      <c r="A1482" s="205">
        <v>1473</v>
      </c>
      <c r="B1482" s="197" t="s">
        <v>5050</v>
      </c>
      <c r="C1482" s="198">
        <v>42150</v>
      </c>
      <c r="D1482" s="199">
        <v>2</v>
      </c>
      <c r="E1482" s="200" t="s">
        <v>93</v>
      </c>
      <c r="F1482" s="197" t="s">
        <v>1654</v>
      </c>
      <c r="G1482" s="200" t="s">
        <v>202</v>
      </c>
      <c r="H1482" s="201">
        <v>42153</v>
      </c>
      <c r="I1482" s="200" t="s">
        <v>187</v>
      </c>
      <c r="J1482" s="200" t="s">
        <v>103</v>
      </c>
      <c r="K1482" s="200" t="s">
        <v>5051</v>
      </c>
      <c r="L1482" s="201">
        <v>42153</v>
      </c>
      <c r="M1482" s="197" t="s">
        <v>1914</v>
      </c>
      <c r="N1482" s="202" t="s">
        <v>185</v>
      </c>
      <c r="O1482" s="201">
        <v>42153</v>
      </c>
      <c r="P1482" s="203">
        <f t="shared" si="718"/>
        <v>3</v>
      </c>
      <c r="Q1482" s="200" t="s">
        <v>5052</v>
      </c>
      <c r="R1482" s="202" t="s">
        <v>17</v>
      </c>
      <c r="S1482" s="197" t="s">
        <v>101</v>
      </c>
      <c r="T1482" s="197" t="s">
        <v>101</v>
      </c>
      <c r="U1482" s="201">
        <v>42157</v>
      </c>
      <c r="V1482" s="202" t="s">
        <v>186</v>
      </c>
      <c r="W1482" s="204">
        <f t="shared" si="719"/>
        <v>0</v>
      </c>
      <c r="X1482" s="204" t="str">
        <f t="shared" si="720"/>
        <v>Correcto</v>
      </c>
    </row>
    <row r="1483" spans="1:24" ht="18" customHeight="1" x14ac:dyDescent="0.25">
      <c r="A1483" s="205">
        <v>1474</v>
      </c>
      <c r="B1483" s="197" t="s">
        <v>5053</v>
      </c>
      <c r="C1483" s="198">
        <v>42150</v>
      </c>
      <c r="D1483" s="199">
        <v>2</v>
      </c>
      <c r="E1483" s="200" t="s">
        <v>93</v>
      </c>
      <c r="F1483" s="197" t="s">
        <v>1654</v>
      </c>
      <c r="G1483" s="200" t="s">
        <v>202</v>
      </c>
      <c r="H1483" s="201">
        <v>42153</v>
      </c>
      <c r="I1483" s="200" t="s">
        <v>187</v>
      </c>
      <c r="J1483" s="200" t="s">
        <v>103</v>
      </c>
      <c r="K1483" s="200" t="s">
        <v>5054</v>
      </c>
      <c r="L1483" s="201">
        <v>42153</v>
      </c>
      <c r="M1483" s="197" t="s">
        <v>1914</v>
      </c>
      <c r="N1483" s="202" t="s">
        <v>185</v>
      </c>
      <c r="O1483" s="201">
        <v>42153</v>
      </c>
      <c r="P1483" s="203">
        <f t="shared" si="718"/>
        <v>3</v>
      </c>
      <c r="Q1483" s="200" t="s">
        <v>5055</v>
      </c>
      <c r="R1483" s="202" t="s">
        <v>17</v>
      </c>
      <c r="S1483" s="197" t="s">
        <v>101</v>
      </c>
      <c r="T1483" s="197" t="s">
        <v>101</v>
      </c>
      <c r="U1483" s="201">
        <v>42157</v>
      </c>
      <c r="V1483" s="202" t="s">
        <v>186</v>
      </c>
      <c r="W1483" s="204">
        <f t="shared" si="719"/>
        <v>0</v>
      </c>
      <c r="X1483" s="204" t="str">
        <f t="shared" si="720"/>
        <v>Correcto</v>
      </c>
    </row>
    <row r="1484" spans="1:24" ht="18" customHeight="1" x14ac:dyDescent="0.25">
      <c r="A1484" s="205">
        <v>1475</v>
      </c>
      <c r="B1484" s="197" t="s">
        <v>5056</v>
      </c>
      <c r="C1484" s="198">
        <v>42150</v>
      </c>
      <c r="D1484" s="199">
        <v>2</v>
      </c>
      <c r="E1484" s="200" t="s">
        <v>93</v>
      </c>
      <c r="F1484" s="197" t="s">
        <v>1654</v>
      </c>
      <c r="G1484" s="200" t="s">
        <v>202</v>
      </c>
      <c r="H1484" s="201">
        <v>42153</v>
      </c>
      <c r="I1484" s="200" t="s">
        <v>187</v>
      </c>
      <c r="J1484" s="200" t="s">
        <v>103</v>
      </c>
      <c r="K1484" s="200" t="s">
        <v>5057</v>
      </c>
      <c r="L1484" s="201">
        <v>42153</v>
      </c>
      <c r="M1484" s="197" t="s">
        <v>1914</v>
      </c>
      <c r="N1484" s="202" t="s">
        <v>185</v>
      </c>
      <c r="O1484" s="201">
        <v>42153</v>
      </c>
      <c r="P1484" s="203">
        <f t="shared" si="718"/>
        <v>3</v>
      </c>
      <c r="Q1484" s="200" t="s">
        <v>5058</v>
      </c>
      <c r="R1484" s="202" t="s">
        <v>17</v>
      </c>
      <c r="S1484" s="197" t="s">
        <v>101</v>
      </c>
      <c r="T1484" s="197" t="s">
        <v>101</v>
      </c>
      <c r="U1484" s="201">
        <v>42157</v>
      </c>
      <c r="V1484" s="202" t="s">
        <v>186</v>
      </c>
      <c r="W1484" s="204">
        <f t="shared" si="719"/>
        <v>0</v>
      </c>
      <c r="X1484" s="204" t="str">
        <f t="shared" si="720"/>
        <v>Correcto</v>
      </c>
    </row>
    <row r="1485" spans="1:24" ht="18" customHeight="1" x14ac:dyDescent="0.25">
      <c r="A1485" s="205">
        <v>1476</v>
      </c>
      <c r="B1485" s="197" t="s">
        <v>5059</v>
      </c>
      <c r="C1485" s="198">
        <v>42150</v>
      </c>
      <c r="D1485" s="199">
        <v>2</v>
      </c>
      <c r="E1485" s="200" t="s">
        <v>93</v>
      </c>
      <c r="F1485" s="197" t="s">
        <v>1654</v>
      </c>
      <c r="G1485" s="200" t="s">
        <v>202</v>
      </c>
      <c r="H1485" s="201">
        <v>42153</v>
      </c>
      <c r="I1485" s="200" t="s">
        <v>187</v>
      </c>
      <c r="J1485" s="200" t="s">
        <v>103</v>
      </c>
      <c r="K1485" s="200" t="s">
        <v>5060</v>
      </c>
      <c r="L1485" s="201">
        <v>42153</v>
      </c>
      <c r="M1485" s="197" t="s">
        <v>1914</v>
      </c>
      <c r="N1485" s="202" t="s">
        <v>185</v>
      </c>
      <c r="O1485" s="201">
        <v>42153</v>
      </c>
      <c r="P1485" s="203">
        <f t="shared" si="718"/>
        <v>3</v>
      </c>
      <c r="Q1485" s="200" t="s">
        <v>5060</v>
      </c>
      <c r="R1485" s="202" t="s">
        <v>17</v>
      </c>
      <c r="S1485" s="197" t="s">
        <v>104</v>
      </c>
      <c r="T1485" s="197">
        <v>1708312499</v>
      </c>
      <c r="U1485" s="201">
        <v>42153</v>
      </c>
      <c r="V1485" s="202" t="s">
        <v>186</v>
      </c>
      <c r="W1485" s="204">
        <f t="shared" si="719"/>
        <v>0</v>
      </c>
      <c r="X1485" s="204" t="str">
        <f t="shared" si="720"/>
        <v>Correcto</v>
      </c>
    </row>
    <row r="1486" spans="1:24" ht="18" customHeight="1" x14ac:dyDescent="0.25">
      <c r="A1486" s="205">
        <v>1477</v>
      </c>
      <c r="B1486" s="197" t="s">
        <v>5061</v>
      </c>
      <c r="C1486" s="198">
        <v>42150</v>
      </c>
      <c r="D1486" s="199">
        <v>2</v>
      </c>
      <c r="E1486" s="200" t="s">
        <v>93</v>
      </c>
      <c r="F1486" s="197" t="s">
        <v>1654</v>
      </c>
      <c r="G1486" s="200" t="s">
        <v>202</v>
      </c>
      <c r="H1486" s="201">
        <v>42153</v>
      </c>
      <c r="I1486" s="200" t="s">
        <v>187</v>
      </c>
      <c r="J1486" s="200" t="s">
        <v>103</v>
      </c>
      <c r="K1486" s="200" t="s">
        <v>5062</v>
      </c>
      <c r="L1486" s="201">
        <v>42153</v>
      </c>
      <c r="M1486" s="197" t="s">
        <v>1914</v>
      </c>
      <c r="N1486" s="202" t="s">
        <v>185</v>
      </c>
      <c r="O1486" s="201">
        <v>42153</v>
      </c>
      <c r="P1486" s="203">
        <f t="shared" si="718"/>
        <v>3</v>
      </c>
      <c r="Q1486" s="200" t="s">
        <v>5062</v>
      </c>
      <c r="R1486" s="202" t="s">
        <v>17</v>
      </c>
      <c r="S1486" s="197" t="s">
        <v>104</v>
      </c>
      <c r="T1486" s="197">
        <v>1101453320</v>
      </c>
      <c r="U1486" s="201">
        <v>42153</v>
      </c>
      <c r="V1486" s="202" t="s">
        <v>186</v>
      </c>
      <c r="W1486" s="204">
        <f t="shared" si="719"/>
        <v>0</v>
      </c>
      <c r="X1486" s="204" t="str">
        <f t="shared" si="720"/>
        <v>Correcto</v>
      </c>
    </row>
    <row r="1487" spans="1:24" ht="18" customHeight="1" x14ac:dyDescent="0.25">
      <c r="A1487" s="205">
        <v>1478</v>
      </c>
      <c r="B1487" s="197" t="s">
        <v>5063</v>
      </c>
      <c r="C1487" s="198">
        <v>42150</v>
      </c>
      <c r="D1487" s="199">
        <v>2</v>
      </c>
      <c r="E1487" s="200" t="s">
        <v>93</v>
      </c>
      <c r="F1487" s="197" t="s">
        <v>1654</v>
      </c>
      <c r="G1487" s="200" t="s">
        <v>202</v>
      </c>
      <c r="H1487" s="201">
        <v>42153</v>
      </c>
      <c r="I1487" s="200" t="s">
        <v>187</v>
      </c>
      <c r="J1487" s="200" t="s">
        <v>103</v>
      </c>
      <c r="K1487" s="200" t="s">
        <v>5064</v>
      </c>
      <c r="L1487" s="201">
        <v>42153</v>
      </c>
      <c r="M1487" s="197" t="s">
        <v>1914</v>
      </c>
      <c r="N1487" s="202" t="s">
        <v>185</v>
      </c>
      <c r="O1487" s="201">
        <v>42153</v>
      </c>
      <c r="P1487" s="203">
        <f t="shared" si="718"/>
        <v>3</v>
      </c>
      <c r="Q1487" s="200" t="s">
        <v>5065</v>
      </c>
      <c r="R1487" s="202" t="s">
        <v>17</v>
      </c>
      <c r="S1487" s="197" t="s">
        <v>101</v>
      </c>
      <c r="T1487" s="197" t="s">
        <v>101</v>
      </c>
      <c r="U1487" s="201">
        <v>42157</v>
      </c>
      <c r="V1487" s="202" t="s">
        <v>186</v>
      </c>
      <c r="W1487" s="204">
        <f t="shared" si="719"/>
        <v>0</v>
      </c>
      <c r="X1487" s="204" t="str">
        <f t="shared" si="720"/>
        <v>Correcto</v>
      </c>
    </row>
    <row r="1488" spans="1:24" ht="18" customHeight="1" x14ac:dyDescent="0.25">
      <c r="A1488" s="205">
        <v>1479</v>
      </c>
      <c r="B1488" s="197" t="s">
        <v>5066</v>
      </c>
      <c r="C1488" s="198">
        <v>42150</v>
      </c>
      <c r="D1488" s="199">
        <v>2</v>
      </c>
      <c r="E1488" s="200" t="s">
        <v>93</v>
      </c>
      <c r="F1488" s="197" t="s">
        <v>1654</v>
      </c>
      <c r="G1488" s="200" t="s">
        <v>202</v>
      </c>
      <c r="H1488" s="201">
        <v>42153</v>
      </c>
      <c r="I1488" s="200" t="s">
        <v>187</v>
      </c>
      <c r="J1488" s="200" t="s">
        <v>103</v>
      </c>
      <c r="K1488" s="200" t="s">
        <v>5067</v>
      </c>
      <c r="L1488" s="201">
        <v>42153</v>
      </c>
      <c r="M1488" s="197" t="s">
        <v>1914</v>
      </c>
      <c r="N1488" s="202" t="s">
        <v>185</v>
      </c>
      <c r="O1488" s="201">
        <v>42153</v>
      </c>
      <c r="P1488" s="203">
        <f t="shared" si="718"/>
        <v>3</v>
      </c>
      <c r="Q1488" s="200" t="s">
        <v>5068</v>
      </c>
      <c r="R1488" s="202" t="s">
        <v>17</v>
      </c>
      <c r="S1488" s="197" t="s">
        <v>101</v>
      </c>
      <c r="T1488" s="197" t="s">
        <v>101</v>
      </c>
      <c r="U1488" s="201">
        <v>42157</v>
      </c>
      <c r="V1488" s="202" t="s">
        <v>186</v>
      </c>
      <c r="W1488" s="204">
        <f t="shared" si="719"/>
        <v>0</v>
      </c>
      <c r="X1488" s="204" t="str">
        <f t="shared" si="720"/>
        <v>Correcto</v>
      </c>
    </row>
    <row r="1489" spans="1:24" ht="18" customHeight="1" x14ac:dyDescent="0.25">
      <c r="A1489" s="205">
        <v>1480</v>
      </c>
      <c r="B1489" s="197" t="s">
        <v>5069</v>
      </c>
      <c r="C1489" s="198">
        <v>42150</v>
      </c>
      <c r="D1489" s="199">
        <v>2</v>
      </c>
      <c r="E1489" s="200" t="s">
        <v>93</v>
      </c>
      <c r="F1489" s="197" t="s">
        <v>1654</v>
      </c>
      <c r="G1489" s="200" t="s">
        <v>202</v>
      </c>
      <c r="H1489" s="201">
        <v>42153</v>
      </c>
      <c r="I1489" s="200" t="s">
        <v>187</v>
      </c>
      <c r="J1489" s="200" t="s">
        <v>103</v>
      </c>
      <c r="K1489" s="200" t="s">
        <v>5070</v>
      </c>
      <c r="L1489" s="201">
        <v>42153</v>
      </c>
      <c r="M1489" s="197" t="s">
        <v>1914</v>
      </c>
      <c r="N1489" s="202" t="s">
        <v>185</v>
      </c>
      <c r="O1489" s="201">
        <v>42153</v>
      </c>
      <c r="P1489" s="203">
        <f t="shared" si="718"/>
        <v>3</v>
      </c>
      <c r="Q1489" s="200" t="s">
        <v>5071</v>
      </c>
      <c r="R1489" s="202" t="s">
        <v>17</v>
      </c>
      <c r="S1489" s="197" t="s">
        <v>101</v>
      </c>
      <c r="T1489" s="197" t="s">
        <v>101</v>
      </c>
      <c r="U1489" s="201">
        <v>42157</v>
      </c>
      <c r="V1489" s="202" t="s">
        <v>186</v>
      </c>
      <c r="W1489" s="204">
        <f t="shared" si="719"/>
        <v>0</v>
      </c>
      <c r="X1489" s="204" t="str">
        <f t="shared" si="720"/>
        <v>Correcto</v>
      </c>
    </row>
    <row r="1490" spans="1:24" ht="18" customHeight="1" x14ac:dyDescent="0.25">
      <c r="A1490" s="205">
        <v>1481</v>
      </c>
      <c r="B1490" s="197" t="s">
        <v>5072</v>
      </c>
      <c r="C1490" s="198">
        <v>42150</v>
      </c>
      <c r="D1490" s="199">
        <v>52</v>
      </c>
      <c r="E1490" s="200" t="s">
        <v>93</v>
      </c>
      <c r="F1490" s="197" t="s">
        <v>1654</v>
      </c>
      <c r="G1490" s="200" t="s">
        <v>202</v>
      </c>
      <c r="H1490" s="201">
        <v>42152</v>
      </c>
      <c r="I1490" s="200" t="s">
        <v>187</v>
      </c>
      <c r="J1490" s="200" t="s">
        <v>103</v>
      </c>
      <c r="K1490" s="200" t="s">
        <v>5073</v>
      </c>
      <c r="L1490" s="201">
        <v>42152</v>
      </c>
      <c r="M1490" s="197" t="s">
        <v>1914</v>
      </c>
      <c r="N1490" s="202" t="s">
        <v>185</v>
      </c>
      <c r="O1490" s="201">
        <v>42152</v>
      </c>
      <c r="P1490" s="203">
        <f t="shared" si="718"/>
        <v>2</v>
      </c>
      <c r="Q1490" s="200" t="s">
        <v>5073</v>
      </c>
      <c r="R1490" s="202" t="s">
        <v>17</v>
      </c>
      <c r="S1490" s="197" t="s">
        <v>104</v>
      </c>
      <c r="T1490" s="197">
        <v>1900155324</v>
      </c>
      <c r="U1490" s="201">
        <v>42152</v>
      </c>
      <c r="V1490" s="202" t="s">
        <v>186</v>
      </c>
      <c r="W1490" s="204">
        <f t="shared" si="719"/>
        <v>0</v>
      </c>
      <c r="X1490" s="204" t="str">
        <f t="shared" si="720"/>
        <v>Correcto</v>
      </c>
    </row>
    <row r="1491" spans="1:24" ht="18" customHeight="1" x14ac:dyDescent="0.25">
      <c r="A1491" s="205">
        <v>1482</v>
      </c>
      <c r="B1491" s="197" t="s">
        <v>5074</v>
      </c>
      <c r="C1491" s="198">
        <v>42150</v>
      </c>
      <c r="D1491" s="199">
        <v>2</v>
      </c>
      <c r="E1491" s="200" t="s">
        <v>93</v>
      </c>
      <c r="F1491" s="197" t="s">
        <v>1654</v>
      </c>
      <c r="G1491" s="200" t="s">
        <v>202</v>
      </c>
      <c r="H1491" s="201">
        <v>42153</v>
      </c>
      <c r="I1491" s="200" t="s">
        <v>187</v>
      </c>
      <c r="J1491" s="200" t="s">
        <v>103</v>
      </c>
      <c r="K1491" s="200" t="s">
        <v>5075</v>
      </c>
      <c r="L1491" s="201">
        <v>42153</v>
      </c>
      <c r="M1491" s="197" t="s">
        <v>1914</v>
      </c>
      <c r="N1491" s="202" t="s">
        <v>185</v>
      </c>
      <c r="O1491" s="201">
        <v>42153</v>
      </c>
      <c r="P1491" s="203">
        <f t="shared" si="718"/>
        <v>3</v>
      </c>
      <c r="Q1491" s="200" t="s">
        <v>5076</v>
      </c>
      <c r="R1491" s="202" t="s">
        <v>17</v>
      </c>
      <c r="S1491" s="197" t="s">
        <v>101</v>
      </c>
      <c r="T1491" s="197" t="s">
        <v>101</v>
      </c>
      <c r="U1491" s="201">
        <v>42157</v>
      </c>
      <c r="V1491" s="202" t="s">
        <v>186</v>
      </c>
      <c r="W1491" s="204">
        <f t="shared" si="719"/>
        <v>0</v>
      </c>
      <c r="X1491" s="204" t="str">
        <f t="shared" si="720"/>
        <v>Correcto</v>
      </c>
    </row>
    <row r="1492" spans="1:24" ht="18" customHeight="1" x14ac:dyDescent="0.25">
      <c r="A1492" s="205">
        <v>1483</v>
      </c>
      <c r="B1492" s="197" t="s">
        <v>5077</v>
      </c>
      <c r="C1492" s="198">
        <v>42150</v>
      </c>
      <c r="D1492" s="199">
        <v>2</v>
      </c>
      <c r="E1492" s="200" t="s">
        <v>93</v>
      </c>
      <c r="F1492" s="197" t="s">
        <v>1654</v>
      </c>
      <c r="G1492" s="200" t="s">
        <v>202</v>
      </c>
      <c r="H1492" s="201">
        <v>42153</v>
      </c>
      <c r="I1492" s="200" t="s">
        <v>187</v>
      </c>
      <c r="J1492" s="200" t="s">
        <v>103</v>
      </c>
      <c r="K1492" s="200" t="s">
        <v>5078</v>
      </c>
      <c r="L1492" s="201">
        <v>42153</v>
      </c>
      <c r="M1492" s="197" t="s">
        <v>1914</v>
      </c>
      <c r="N1492" s="202" t="s">
        <v>185</v>
      </c>
      <c r="O1492" s="201">
        <v>42153</v>
      </c>
      <c r="P1492" s="203">
        <f t="shared" si="718"/>
        <v>3</v>
      </c>
      <c r="Q1492" s="200" t="s">
        <v>5079</v>
      </c>
      <c r="R1492" s="202" t="s">
        <v>17</v>
      </c>
      <c r="S1492" s="197" t="s">
        <v>101</v>
      </c>
      <c r="T1492" s="197" t="s">
        <v>101</v>
      </c>
      <c r="U1492" s="201">
        <v>42157</v>
      </c>
      <c r="V1492" s="202" t="s">
        <v>186</v>
      </c>
      <c r="W1492" s="204">
        <f t="shared" si="719"/>
        <v>0</v>
      </c>
      <c r="X1492" s="204" t="str">
        <f t="shared" si="720"/>
        <v>Correcto</v>
      </c>
    </row>
    <row r="1493" spans="1:24" ht="18" customHeight="1" x14ac:dyDescent="0.25">
      <c r="A1493" s="205">
        <v>1484</v>
      </c>
      <c r="B1493" s="197" t="s">
        <v>5080</v>
      </c>
      <c r="C1493" s="198">
        <v>42150</v>
      </c>
      <c r="D1493" s="199">
        <v>4</v>
      </c>
      <c r="E1493" s="200" t="s">
        <v>93</v>
      </c>
      <c r="F1493" s="197" t="s">
        <v>5081</v>
      </c>
      <c r="G1493" s="200" t="s">
        <v>202</v>
      </c>
      <c r="H1493" s="201">
        <v>42156</v>
      </c>
      <c r="I1493" s="200" t="s">
        <v>187</v>
      </c>
      <c r="J1493" s="200" t="s">
        <v>103</v>
      </c>
      <c r="K1493" s="200" t="s">
        <v>5082</v>
      </c>
      <c r="L1493" s="201">
        <v>42156</v>
      </c>
      <c r="M1493" s="197" t="s">
        <v>5083</v>
      </c>
      <c r="N1493" s="202" t="s">
        <v>1079</v>
      </c>
      <c r="O1493" s="201">
        <v>42158</v>
      </c>
      <c r="P1493" s="203">
        <f t="shared" si="718"/>
        <v>8</v>
      </c>
      <c r="Q1493" s="200" t="s">
        <v>5084</v>
      </c>
      <c r="R1493" s="202" t="s">
        <v>17</v>
      </c>
      <c r="S1493" s="197" t="s">
        <v>104</v>
      </c>
      <c r="T1493" s="197">
        <v>1101453320</v>
      </c>
      <c r="U1493" s="201">
        <v>42150</v>
      </c>
      <c r="V1493" s="202" t="s">
        <v>186</v>
      </c>
      <c r="W1493" s="204">
        <f t="shared" si="719"/>
        <v>0</v>
      </c>
      <c r="X1493" s="204" t="str">
        <f t="shared" si="720"/>
        <v>Correcto</v>
      </c>
    </row>
    <row r="1494" spans="1:24" ht="18" customHeight="1" x14ac:dyDescent="0.25">
      <c r="A1494" s="205">
        <v>1485</v>
      </c>
      <c r="B1494" s="197" t="s">
        <v>5085</v>
      </c>
      <c r="C1494" s="198">
        <v>42150</v>
      </c>
      <c r="D1494" s="199">
        <v>2</v>
      </c>
      <c r="E1494" s="200" t="s">
        <v>93</v>
      </c>
      <c r="F1494" s="197" t="s">
        <v>1654</v>
      </c>
      <c r="G1494" s="200" t="s">
        <v>202</v>
      </c>
      <c r="H1494" s="201">
        <v>42153</v>
      </c>
      <c r="I1494" s="200" t="s">
        <v>187</v>
      </c>
      <c r="J1494" s="200" t="s">
        <v>103</v>
      </c>
      <c r="K1494" s="200" t="s">
        <v>5086</v>
      </c>
      <c r="L1494" s="201">
        <v>42153</v>
      </c>
      <c r="M1494" s="197" t="s">
        <v>1914</v>
      </c>
      <c r="N1494" s="202" t="s">
        <v>185</v>
      </c>
      <c r="O1494" s="201">
        <v>42153</v>
      </c>
      <c r="P1494" s="203">
        <f t="shared" si="718"/>
        <v>3</v>
      </c>
      <c r="Q1494" s="200" t="s">
        <v>5087</v>
      </c>
      <c r="R1494" s="202" t="s">
        <v>17</v>
      </c>
      <c r="S1494" s="197" t="s">
        <v>101</v>
      </c>
      <c r="T1494" s="197" t="s">
        <v>101</v>
      </c>
      <c r="U1494" s="201">
        <v>42157</v>
      </c>
      <c r="V1494" s="202" t="s">
        <v>186</v>
      </c>
      <c r="W1494" s="204">
        <f t="shared" si="719"/>
        <v>0</v>
      </c>
      <c r="X1494" s="204" t="str">
        <f t="shared" si="720"/>
        <v>Correcto</v>
      </c>
    </row>
    <row r="1495" spans="1:24" ht="18" customHeight="1" x14ac:dyDescent="0.25">
      <c r="A1495" s="205">
        <v>1486</v>
      </c>
      <c r="B1495" s="197" t="s">
        <v>5088</v>
      </c>
      <c r="C1495" s="198">
        <v>42151</v>
      </c>
      <c r="D1495" s="199">
        <v>2</v>
      </c>
      <c r="E1495" s="200" t="s">
        <v>93</v>
      </c>
      <c r="F1495" s="197" t="s">
        <v>825</v>
      </c>
      <c r="G1495" s="200" t="s">
        <v>202</v>
      </c>
      <c r="H1495" s="201">
        <v>42165</v>
      </c>
      <c r="I1495" s="200" t="s">
        <v>187</v>
      </c>
      <c r="J1495" s="200" t="s">
        <v>103</v>
      </c>
      <c r="K1495" s="200" t="s">
        <v>5089</v>
      </c>
      <c r="L1495" s="201">
        <v>42165</v>
      </c>
      <c r="M1495" s="197" t="s">
        <v>1914</v>
      </c>
      <c r="N1495" s="202" t="s">
        <v>185</v>
      </c>
      <c r="O1495" s="201">
        <v>42165</v>
      </c>
      <c r="P1495" s="203">
        <f t="shared" si="718"/>
        <v>14</v>
      </c>
      <c r="Q1495" s="200" t="s">
        <v>5090</v>
      </c>
      <c r="R1495" s="202" t="s">
        <v>17</v>
      </c>
      <c r="S1495" s="197" t="s">
        <v>101</v>
      </c>
      <c r="T1495" s="197" t="s">
        <v>5091</v>
      </c>
      <c r="U1495" s="201">
        <v>42165</v>
      </c>
      <c r="V1495" s="202" t="s">
        <v>186</v>
      </c>
      <c r="W1495" s="204">
        <f t="shared" si="719"/>
        <v>0</v>
      </c>
      <c r="X1495" s="204" t="str">
        <f t="shared" si="720"/>
        <v>Correcto</v>
      </c>
    </row>
    <row r="1496" spans="1:24" ht="18" customHeight="1" x14ac:dyDescent="0.25">
      <c r="A1496" s="205">
        <v>1487</v>
      </c>
      <c r="B1496" s="197" t="s">
        <v>5092</v>
      </c>
      <c r="C1496" s="198">
        <v>42151</v>
      </c>
      <c r="D1496" s="199">
        <v>2</v>
      </c>
      <c r="E1496" s="200" t="s">
        <v>93</v>
      </c>
      <c r="F1496" s="197" t="s">
        <v>1654</v>
      </c>
      <c r="G1496" s="200" t="s">
        <v>202</v>
      </c>
      <c r="H1496" s="201">
        <v>42153</v>
      </c>
      <c r="I1496" s="200" t="s">
        <v>187</v>
      </c>
      <c r="J1496" s="200" t="s">
        <v>103</v>
      </c>
      <c r="K1496" s="200" t="s">
        <v>5093</v>
      </c>
      <c r="L1496" s="201">
        <v>42153</v>
      </c>
      <c r="M1496" s="197" t="s">
        <v>1914</v>
      </c>
      <c r="N1496" s="202" t="s">
        <v>185</v>
      </c>
      <c r="O1496" s="201">
        <v>42153</v>
      </c>
      <c r="P1496" s="203">
        <f t="shared" si="718"/>
        <v>2</v>
      </c>
      <c r="Q1496" s="200" t="s">
        <v>5094</v>
      </c>
      <c r="R1496" s="202" t="s">
        <v>17</v>
      </c>
      <c r="S1496" s="197" t="s">
        <v>101</v>
      </c>
      <c r="T1496" s="197" t="s">
        <v>101</v>
      </c>
      <c r="U1496" s="201">
        <v>42157</v>
      </c>
      <c r="V1496" s="202" t="s">
        <v>186</v>
      </c>
      <c r="W1496" s="204">
        <f t="shared" si="719"/>
        <v>0</v>
      </c>
      <c r="X1496" s="204" t="str">
        <f t="shared" si="720"/>
        <v>Correcto</v>
      </c>
    </row>
    <row r="1497" spans="1:24" ht="18" customHeight="1" x14ac:dyDescent="0.25">
      <c r="A1497" s="205">
        <v>1488</v>
      </c>
      <c r="B1497" s="197" t="s">
        <v>5095</v>
      </c>
      <c r="C1497" s="198">
        <v>42151</v>
      </c>
      <c r="D1497" s="199">
        <v>2</v>
      </c>
      <c r="E1497" s="200" t="s">
        <v>93</v>
      </c>
      <c r="F1497" s="197" t="s">
        <v>1654</v>
      </c>
      <c r="G1497" s="200" t="s">
        <v>202</v>
      </c>
      <c r="H1497" s="201">
        <v>42153</v>
      </c>
      <c r="I1497" s="200" t="s">
        <v>187</v>
      </c>
      <c r="J1497" s="200" t="s">
        <v>103</v>
      </c>
      <c r="K1497" s="200" t="s">
        <v>5096</v>
      </c>
      <c r="L1497" s="201">
        <v>42153</v>
      </c>
      <c r="M1497" s="197" t="s">
        <v>1914</v>
      </c>
      <c r="N1497" s="202" t="s">
        <v>185</v>
      </c>
      <c r="O1497" s="201">
        <v>42153</v>
      </c>
      <c r="P1497" s="203">
        <f t="shared" si="718"/>
        <v>2</v>
      </c>
      <c r="Q1497" s="200" t="s">
        <v>5097</v>
      </c>
      <c r="R1497" s="202" t="s">
        <v>17</v>
      </c>
      <c r="S1497" s="197" t="s">
        <v>101</v>
      </c>
      <c r="T1497" s="197" t="s">
        <v>101</v>
      </c>
      <c r="U1497" s="201">
        <v>42157</v>
      </c>
      <c r="V1497" s="202" t="s">
        <v>186</v>
      </c>
      <c r="W1497" s="204">
        <f t="shared" si="719"/>
        <v>0</v>
      </c>
      <c r="X1497" s="204" t="str">
        <f t="shared" si="720"/>
        <v>Correcto</v>
      </c>
    </row>
    <row r="1498" spans="1:24" ht="18" customHeight="1" x14ac:dyDescent="0.25">
      <c r="A1498" s="205">
        <v>1489</v>
      </c>
      <c r="B1498" s="197" t="s">
        <v>5098</v>
      </c>
      <c r="C1498" s="198">
        <v>42151</v>
      </c>
      <c r="D1498" s="199">
        <v>2</v>
      </c>
      <c r="E1498" s="200" t="s">
        <v>93</v>
      </c>
      <c r="F1498" s="197" t="s">
        <v>1654</v>
      </c>
      <c r="G1498" s="200" t="s">
        <v>202</v>
      </c>
      <c r="H1498" s="201">
        <v>42152</v>
      </c>
      <c r="I1498" s="200" t="s">
        <v>187</v>
      </c>
      <c r="J1498" s="200" t="s">
        <v>103</v>
      </c>
      <c r="K1498" s="200" t="s">
        <v>5099</v>
      </c>
      <c r="L1498" s="201">
        <v>42152</v>
      </c>
      <c r="M1498" s="197" t="s">
        <v>1914</v>
      </c>
      <c r="N1498" s="202" t="s">
        <v>185</v>
      </c>
      <c r="O1498" s="201">
        <v>42152</v>
      </c>
      <c r="P1498" s="203">
        <f t="shared" si="718"/>
        <v>1</v>
      </c>
      <c r="Q1498" s="200" t="s">
        <v>5099</v>
      </c>
      <c r="R1498" s="202" t="s">
        <v>17</v>
      </c>
      <c r="S1498" s="197" t="s">
        <v>104</v>
      </c>
      <c r="T1498" s="197">
        <v>1104750516</v>
      </c>
      <c r="U1498" s="201">
        <v>42152</v>
      </c>
      <c r="V1498" s="202" t="s">
        <v>186</v>
      </c>
      <c r="W1498" s="204">
        <f t="shared" si="719"/>
        <v>0</v>
      </c>
      <c r="X1498" s="204" t="str">
        <f t="shared" si="720"/>
        <v>Correcto</v>
      </c>
    </row>
    <row r="1499" spans="1:24" ht="18" customHeight="1" x14ac:dyDescent="0.25">
      <c r="A1499" s="205">
        <v>1490</v>
      </c>
      <c r="B1499" s="197" t="s">
        <v>5100</v>
      </c>
      <c r="C1499" s="198">
        <v>42151</v>
      </c>
      <c r="D1499" s="199">
        <v>54</v>
      </c>
      <c r="E1499" s="200" t="s">
        <v>93</v>
      </c>
      <c r="F1499" s="197" t="s">
        <v>1654</v>
      </c>
      <c r="G1499" s="200" t="s">
        <v>202</v>
      </c>
      <c r="H1499" s="201">
        <v>42159</v>
      </c>
      <c r="I1499" s="200" t="s">
        <v>187</v>
      </c>
      <c r="J1499" s="200" t="s">
        <v>103</v>
      </c>
      <c r="K1499" s="200" t="s">
        <v>5101</v>
      </c>
      <c r="L1499" s="201">
        <v>42159</v>
      </c>
      <c r="M1499" s="197" t="s">
        <v>1914</v>
      </c>
      <c r="N1499" s="202" t="s">
        <v>185</v>
      </c>
      <c r="O1499" s="201">
        <v>42159</v>
      </c>
      <c r="P1499" s="203">
        <f t="shared" si="718"/>
        <v>8</v>
      </c>
      <c r="Q1499" s="200" t="s">
        <v>5102</v>
      </c>
      <c r="R1499" s="202" t="s">
        <v>605</v>
      </c>
      <c r="S1499" s="197" t="s">
        <v>101</v>
      </c>
      <c r="T1499" s="197" t="s">
        <v>5103</v>
      </c>
      <c r="U1499" s="201">
        <v>42159</v>
      </c>
      <c r="V1499" s="202" t="s">
        <v>186</v>
      </c>
      <c r="W1499" s="204">
        <f t="shared" si="719"/>
        <v>0</v>
      </c>
      <c r="X1499" s="204" t="str">
        <f t="shared" si="720"/>
        <v>Correcto</v>
      </c>
    </row>
    <row r="1500" spans="1:24" ht="18" customHeight="1" x14ac:dyDescent="0.25">
      <c r="A1500" s="205">
        <v>1491</v>
      </c>
      <c r="B1500" s="197" t="s">
        <v>5104</v>
      </c>
      <c r="C1500" s="198">
        <v>42151</v>
      </c>
      <c r="D1500" s="199">
        <v>54</v>
      </c>
      <c r="E1500" s="200" t="s">
        <v>93</v>
      </c>
      <c r="F1500" s="197" t="s">
        <v>1654</v>
      </c>
      <c r="G1500" s="200" t="s">
        <v>202</v>
      </c>
      <c r="H1500" s="201">
        <v>42159</v>
      </c>
      <c r="I1500" s="200" t="s">
        <v>187</v>
      </c>
      <c r="J1500" s="200" t="s">
        <v>103</v>
      </c>
      <c r="K1500" s="200" t="s">
        <v>5105</v>
      </c>
      <c r="L1500" s="201">
        <v>42159</v>
      </c>
      <c r="M1500" s="197" t="s">
        <v>1914</v>
      </c>
      <c r="N1500" s="202" t="s">
        <v>185</v>
      </c>
      <c r="O1500" s="201">
        <v>42159</v>
      </c>
      <c r="P1500" s="203">
        <f t="shared" si="718"/>
        <v>8</v>
      </c>
      <c r="Q1500" s="200" t="s">
        <v>5106</v>
      </c>
      <c r="R1500" s="202" t="s">
        <v>605</v>
      </c>
      <c r="S1500" s="197" t="s">
        <v>101</v>
      </c>
      <c r="T1500" s="197" t="s">
        <v>5103</v>
      </c>
      <c r="U1500" s="201">
        <v>42159</v>
      </c>
      <c r="V1500" s="202" t="s">
        <v>186</v>
      </c>
      <c r="W1500" s="204">
        <f t="shared" si="719"/>
        <v>0</v>
      </c>
      <c r="X1500" s="204" t="str">
        <f t="shared" si="720"/>
        <v>Correcto</v>
      </c>
    </row>
    <row r="1501" spans="1:24" ht="18" customHeight="1" x14ac:dyDescent="0.25">
      <c r="A1501" s="205">
        <v>1492</v>
      </c>
      <c r="B1501" s="197" t="s">
        <v>5107</v>
      </c>
      <c r="C1501" s="198">
        <v>42151</v>
      </c>
      <c r="D1501" s="199">
        <v>54</v>
      </c>
      <c r="E1501" s="200" t="s">
        <v>93</v>
      </c>
      <c r="F1501" s="197" t="s">
        <v>1654</v>
      </c>
      <c r="G1501" s="200" t="s">
        <v>202</v>
      </c>
      <c r="H1501" s="201">
        <v>42159</v>
      </c>
      <c r="I1501" s="200" t="s">
        <v>187</v>
      </c>
      <c r="J1501" s="200" t="s">
        <v>103</v>
      </c>
      <c r="K1501" s="200" t="s">
        <v>5108</v>
      </c>
      <c r="L1501" s="201">
        <v>42159</v>
      </c>
      <c r="M1501" s="197" t="s">
        <v>1914</v>
      </c>
      <c r="N1501" s="202" t="s">
        <v>185</v>
      </c>
      <c r="O1501" s="201">
        <v>42159</v>
      </c>
      <c r="P1501" s="203">
        <f t="shared" si="718"/>
        <v>8</v>
      </c>
      <c r="Q1501" s="200" t="s">
        <v>5109</v>
      </c>
      <c r="R1501" s="202" t="s">
        <v>605</v>
      </c>
      <c r="S1501" s="197" t="s">
        <v>101</v>
      </c>
      <c r="T1501" s="197" t="s">
        <v>5103</v>
      </c>
      <c r="U1501" s="201">
        <v>42159</v>
      </c>
      <c r="V1501" s="202" t="s">
        <v>186</v>
      </c>
      <c r="W1501" s="204">
        <f t="shared" si="719"/>
        <v>0</v>
      </c>
      <c r="X1501" s="204" t="str">
        <f t="shared" si="720"/>
        <v>Correcto</v>
      </c>
    </row>
    <row r="1502" spans="1:24" ht="18" customHeight="1" x14ac:dyDescent="0.25">
      <c r="A1502" s="205">
        <v>1493</v>
      </c>
      <c r="B1502" s="197" t="s">
        <v>5110</v>
      </c>
      <c r="C1502" s="198">
        <v>42151</v>
      </c>
      <c r="D1502" s="199">
        <v>2</v>
      </c>
      <c r="E1502" s="200" t="s">
        <v>93</v>
      </c>
      <c r="F1502" s="197" t="s">
        <v>1654</v>
      </c>
      <c r="G1502" s="200" t="s">
        <v>202</v>
      </c>
      <c r="H1502" s="201">
        <v>42152</v>
      </c>
      <c r="I1502" s="200" t="s">
        <v>187</v>
      </c>
      <c r="J1502" s="200" t="s">
        <v>103</v>
      </c>
      <c r="K1502" s="200" t="s">
        <v>5111</v>
      </c>
      <c r="L1502" s="201">
        <v>42152</v>
      </c>
      <c r="M1502" s="197" t="s">
        <v>1914</v>
      </c>
      <c r="N1502" s="202" t="s">
        <v>185</v>
      </c>
      <c r="O1502" s="201">
        <v>42152</v>
      </c>
      <c r="P1502" s="203">
        <f t="shared" si="718"/>
        <v>1</v>
      </c>
      <c r="Q1502" s="200" t="s">
        <v>5111</v>
      </c>
      <c r="R1502" s="202" t="s">
        <v>17</v>
      </c>
      <c r="S1502" s="197" t="s">
        <v>104</v>
      </c>
      <c r="T1502" s="197">
        <v>702794561</v>
      </c>
      <c r="U1502" s="201">
        <v>42152</v>
      </c>
      <c r="V1502" s="202" t="s">
        <v>186</v>
      </c>
      <c r="W1502" s="204">
        <f t="shared" si="719"/>
        <v>0</v>
      </c>
      <c r="X1502" s="204" t="str">
        <f t="shared" si="720"/>
        <v>Correcto</v>
      </c>
    </row>
    <row r="1503" spans="1:24" ht="18" customHeight="1" x14ac:dyDescent="0.25">
      <c r="A1503" s="205">
        <v>1494</v>
      </c>
      <c r="B1503" s="197" t="s">
        <v>5112</v>
      </c>
      <c r="C1503" s="198">
        <v>42151</v>
      </c>
      <c r="D1503" s="199">
        <v>2</v>
      </c>
      <c r="E1503" s="200" t="s">
        <v>93</v>
      </c>
      <c r="F1503" s="197" t="s">
        <v>1654</v>
      </c>
      <c r="G1503" s="200" t="s">
        <v>202</v>
      </c>
      <c r="H1503" s="201">
        <v>42152</v>
      </c>
      <c r="I1503" s="200" t="s">
        <v>187</v>
      </c>
      <c r="J1503" s="200" t="s">
        <v>103</v>
      </c>
      <c r="K1503" s="200" t="s">
        <v>5113</v>
      </c>
      <c r="L1503" s="201">
        <v>42152</v>
      </c>
      <c r="M1503" s="197" t="s">
        <v>1914</v>
      </c>
      <c r="N1503" s="202" t="s">
        <v>185</v>
      </c>
      <c r="O1503" s="201">
        <v>42152</v>
      </c>
      <c r="P1503" s="203">
        <f t="shared" si="718"/>
        <v>1</v>
      </c>
      <c r="Q1503" s="200" t="s">
        <v>5113</v>
      </c>
      <c r="R1503" s="202" t="s">
        <v>17</v>
      </c>
      <c r="S1503" s="197" t="s">
        <v>104</v>
      </c>
      <c r="T1503" s="197">
        <v>1104485972</v>
      </c>
      <c r="U1503" s="201">
        <v>42152</v>
      </c>
      <c r="V1503" s="202" t="s">
        <v>186</v>
      </c>
      <c r="W1503" s="204">
        <f t="shared" si="719"/>
        <v>0</v>
      </c>
      <c r="X1503" s="204" t="str">
        <f t="shared" si="720"/>
        <v>Correcto</v>
      </c>
    </row>
    <row r="1504" spans="1:24" ht="18" customHeight="1" x14ac:dyDescent="0.25">
      <c r="A1504" s="205">
        <v>1495</v>
      </c>
      <c r="B1504" s="197" t="s">
        <v>5114</v>
      </c>
      <c r="C1504" s="198">
        <v>42151</v>
      </c>
      <c r="D1504" s="199">
        <v>54</v>
      </c>
      <c r="E1504" s="200" t="s">
        <v>93</v>
      </c>
      <c r="F1504" s="197" t="s">
        <v>1654</v>
      </c>
      <c r="G1504" s="200" t="s">
        <v>202</v>
      </c>
      <c r="H1504" s="201">
        <v>42159</v>
      </c>
      <c r="I1504" s="200" t="s">
        <v>187</v>
      </c>
      <c r="J1504" s="200" t="s">
        <v>103</v>
      </c>
      <c r="K1504" s="200" t="s">
        <v>5115</v>
      </c>
      <c r="L1504" s="201">
        <v>42159</v>
      </c>
      <c r="M1504" s="197" t="s">
        <v>1914</v>
      </c>
      <c r="N1504" s="202" t="s">
        <v>185</v>
      </c>
      <c r="O1504" s="201">
        <v>42159</v>
      </c>
      <c r="P1504" s="203">
        <f t="shared" si="718"/>
        <v>8</v>
      </c>
      <c r="Q1504" s="200" t="s">
        <v>5116</v>
      </c>
      <c r="R1504" s="202" t="s">
        <v>605</v>
      </c>
      <c r="S1504" s="197" t="s">
        <v>101</v>
      </c>
      <c r="T1504" s="197" t="s">
        <v>5103</v>
      </c>
      <c r="U1504" s="201">
        <v>42159</v>
      </c>
      <c r="V1504" s="202" t="s">
        <v>186</v>
      </c>
      <c r="W1504" s="204">
        <f t="shared" si="719"/>
        <v>0</v>
      </c>
      <c r="X1504" s="204" t="str">
        <f t="shared" si="720"/>
        <v>Correcto</v>
      </c>
    </row>
    <row r="1505" spans="1:24" ht="18" customHeight="1" x14ac:dyDescent="0.25">
      <c r="A1505" s="205">
        <v>1496</v>
      </c>
      <c r="B1505" s="197" t="s">
        <v>5117</v>
      </c>
      <c r="C1505" s="198">
        <v>42151</v>
      </c>
      <c r="D1505" s="199">
        <v>3</v>
      </c>
      <c r="E1505" s="200" t="s">
        <v>93</v>
      </c>
      <c r="F1505" s="197" t="s">
        <v>1654</v>
      </c>
      <c r="G1505" s="200" t="s">
        <v>202</v>
      </c>
      <c r="H1505" s="201">
        <v>42153</v>
      </c>
      <c r="I1505" s="200" t="s">
        <v>187</v>
      </c>
      <c r="J1505" s="200" t="s">
        <v>103</v>
      </c>
      <c r="K1505" s="200" t="s">
        <v>5118</v>
      </c>
      <c r="L1505" s="201">
        <v>42153</v>
      </c>
      <c r="M1505" s="197" t="s">
        <v>1914</v>
      </c>
      <c r="N1505" s="202" t="s">
        <v>185</v>
      </c>
      <c r="O1505" s="201">
        <v>42153</v>
      </c>
      <c r="P1505" s="203">
        <f t="shared" si="718"/>
        <v>2</v>
      </c>
      <c r="Q1505" s="200" t="s">
        <v>5118</v>
      </c>
      <c r="R1505" s="202" t="s">
        <v>17</v>
      </c>
      <c r="S1505" s="197" t="s">
        <v>104</v>
      </c>
      <c r="T1505" s="197">
        <v>1103018824</v>
      </c>
      <c r="U1505" s="201">
        <v>42153</v>
      </c>
      <c r="V1505" s="202" t="s">
        <v>186</v>
      </c>
      <c r="W1505" s="204">
        <f t="shared" si="719"/>
        <v>0</v>
      </c>
      <c r="X1505" s="204" t="str">
        <f t="shared" si="720"/>
        <v>Correcto</v>
      </c>
    </row>
    <row r="1506" spans="1:24" ht="18" customHeight="1" x14ac:dyDescent="0.25">
      <c r="A1506" s="205">
        <v>1497</v>
      </c>
      <c r="B1506" s="197" t="s">
        <v>5119</v>
      </c>
      <c r="C1506" s="198">
        <v>42151</v>
      </c>
      <c r="D1506" s="199">
        <v>54</v>
      </c>
      <c r="E1506" s="200" t="s">
        <v>93</v>
      </c>
      <c r="F1506" s="197" t="s">
        <v>1654</v>
      </c>
      <c r="G1506" s="200" t="s">
        <v>202</v>
      </c>
      <c r="H1506" s="201">
        <v>42159</v>
      </c>
      <c r="I1506" s="200" t="s">
        <v>187</v>
      </c>
      <c r="J1506" s="200" t="s">
        <v>103</v>
      </c>
      <c r="K1506" s="200" t="s">
        <v>5120</v>
      </c>
      <c r="L1506" s="201">
        <v>42159</v>
      </c>
      <c r="M1506" s="197" t="s">
        <v>1914</v>
      </c>
      <c r="N1506" s="202" t="s">
        <v>185</v>
      </c>
      <c r="O1506" s="201">
        <v>42159</v>
      </c>
      <c r="P1506" s="203">
        <f t="shared" si="718"/>
        <v>8</v>
      </c>
      <c r="Q1506" s="200" t="s">
        <v>5121</v>
      </c>
      <c r="R1506" s="202" t="s">
        <v>605</v>
      </c>
      <c r="S1506" s="197" t="s">
        <v>101</v>
      </c>
      <c r="T1506" s="197" t="s">
        <v>5103</v>
      </c>
      <c r="U1506" s="201">
        <v>42159</v>
      </c>
      <c r="V1506" s="202" t="s">
        <v>186</v>
      </c>
      <c r="W1506" s="204">
        <f t="shared" si="719"/>
        <v>0</v>
      </c>
      <c r="X1506" s="204" t="str">
        <f t="shared" si="720"/>
        <v>Correcto</v>
      </c>
    </row>
    <row r="1507" spans="1:24" ht="18" customHeight="1" x14ac:dyDescent="0.25">
      <c r="A1507" s="205">
        <v>1498</v>
      </c>
      <c r="B1507" s="197" t="s">
        <v>5122</v>
      </c>
      <c r="C1507" s="198">
        <v>42151</v>
      </c>
      <c r="D1507" s="199">
        <v>54</v>
      </c>
      <c r="E1507" s="200" t="s">
        <v>93</v>
      </c>
      <c r="F1507" s="197" t="s">
        <v>1654</v>
      </c>
      <c r="G1507" s="200" t="s">
        <v>202</v>
      </c>
      <c r="H1507" s="201">
        <v>42159</v>
      </c>
      <c r="I1507" s="200" t="s">
        <v>187</v>
      </c>
      <c r="J1507" s="200" t="s">
        <v>103</v>
      </c>
      <c r="K1507" s="200" t="s">
        <v>5123</v>
      </c>
      <c r="L1507" s="201">
        <v>42159</v>
      </c>
      <c r="M1507" s="197" t="s">
        <v>1914</v>
      </c>
      <c r="N1507" s="202" t="s">
        <v>185</v>
      </c>
      <c r="O1507" s="201">
        <v>42159</v>
      </c>
      <c r="P1507" s="203">
        <f t="shared" si="718"/>
        <v>8</v>
      </c>
      <c r="Q1507" s="200" t="s">
        <v>5124</v>
      </c>
      <c r="R1507" s="202" t="s">
        <v>605</v>
      </c>
      <c r="S1507" s="197" t="s">
        <v>101</v>
      </c>
      <c r="T1507" s="197" t="s">
        <v>5103</v>
      </c>
      <c r="U1507" s="201">
        <v>42159</v>
      </c>
      <c r="V1507" s="202" t="s">
        <v>186</v>
      </c>
      <c r="W1507" s="204">
        <f t="shared" si="719"/>
        <v>0</v>
      </c>
      <c r="X1507" s="204" t="str">
        <f t="shared" si="720"/>
        <v>Correcto</v>
      </c>
    </row>
    <row r="1508" spans="1:24" ht="18" customHeight="1" x14ac:dyDescent="0.25">
      <c r="A1508" s="205">
        <v>1499</v>
      </c>
      <c r="B1508" s="197" t="s">
        <v>5125</v>
      </c>
      <c r="C1508" s="198">
        <v>42151</v>
      </c>
      <c r="D1508" s="199">
        <v>54</v>
      </c>
      <c r="E1508" s="200" t="s">
        <v>93</v>
      </c>
      <c r="F1508" s="197" t="s">
        <v>1654</v>
      </c>
      <c r="G1508" s="200" t="s">
        <v>202</v>
      </c>
      <c r="H1508" s="201">
        <v>42159</v>
      </c>
      <c r="I1508" s="200" t="s">
        <v>187</v>
      </c>
      <c r="J1508" s="200" t="s">
        <v>103</v>
      </c>
      <c r="K1508" s="200" t="s">
        <v>5126</v>
      </c>
      <c r="L1508" s="201">
        <v>42159</v>
      </c>
      <c r="M1508" s="197" t="s">
        <v>1914</v>
      </c>
      <c r="N1508" s="202" t="s">
        <v>185</v>
      </c>
      <c r="O1508" s="201">
        <v>42159</v>
      </c>
      <c r="P1508" s="203">
        <f t="shared" si="718"/>
        <v>8</v>
      </c>
      <c r="Q1508" s="200" t="s">
        <v>5127</v>
      </c>
      <c r="R1508" s="202" t="s">
        <v>605</v>
      </c>
      <c r="S1508" s="197" t="s">
        <v>101</v>
      </c>
      <c r="T1508" s="197" t="s">
        <v>5103</v>
      </c>
      <c r="U1508" s="201">
        <v>42159</v>
      </c>
      <c r="V1508" s="202" t="s">
        <v>186</v>
      </c>
      <c r="W1508" s="204">
        <f t="shared" si="719"/>
        <v>0</v>
      </c>
      <c r="X1508" s="204" t="str">
        <f t="shared" si="720"/>
        <v>Correcto</v>
      </c>
    </row>
    <row r="1509" spans="1:24" ht="18" customHeight="1" x14ac:dyDescent="0.25">
      <c r="A1509" s="205">
        <v>1500</v>
      </c>
      <c r="B1509" s="197" t="s">
        <v>5128</v>
      </c>
      <c r="C1509" s="198">
        <v>42151</v>
      </c>
      <c r="D1509" s="199">
        <v>54</v>
      </c>
      <c r="E1509" s="200" t="s">
        <v>93</v>
      </c>
      <c r="F1509" s="197" t="s">
        <v>1654</v>
      </c>
      <c r="G1509" s="200" t="s">
        <v>202</v>
      </c>
      <c r="H1509" s="201">
        <v>42159</v>
      </c>
      <c r="I1509" s="200" t="s">
        <v>187</v>
      </c>
      <c r="J1509" s="200" t="s">
        <v>103</v>
      </c>
      <c r="K1509" s="200" t="s">
        <v>5129</v>
      </c>
      <c r="L1509" s="201">
        <v>42159</v>
      </c>
      <c r="M1509" s="197" t="s">
        <v>1914</v>
      </c>
      <c r="N1509" s="202" t="s">
        <v>185</v>
      </c>
      <c r="O1509" s="201">
        <v>42159</v>
      </c>
      <c r="P1509" s="203">
        <f t="shared" si="718"/>
        <v>8</v>
      </c>
      <c r="Q1509" s="200" t="s">
        <v>5130</v>
      </c>
      <c r="R1509" s="202" t="s">
        <v>605</v>
      </c>
      <c r="S1509" s="197" t="s">
        <v>101</v>
      </c>
      <c r="T1509" s="197" t="s">
        <v>5103</v>
      </c>
      <c r="U1509" s="201">
        <v>42159</v>
      </c>
      <c r="V1509" s="202" t="s">
        <v>186</v>
      </c>
      <c r="W1509" s="204">
        <f t="shared" si="719"/>
        <v>0</v>
      </c>
      <c r="X1509" s="204" t="str">
        <f t="shared" si="720"/>
        <v>Correcto</v>
      </c>
    </row>
    <row r="1510" spans="1:24" ht="18" customHeight="1" x14ac:dyDescent="0.25">
      <c r="A1510" s="205">
        <v>1501</v>
      </c>
      <c r="B1510" s="197" t="s">
        <v>5131</v>
      </c>
      <c r="C1510" s="198">
        <v>42151</v>
      </c>
      <c r="D1510" s="199">
        <v>2</v>
      </c>
      <c r="E1510" s="200" t="s">
        <v>93</v>
      </c>
      <c r="F1510" s="197" t="s">
        <v>1654</v>
      </c>
      <c r="G1510" s="200" t="s">
        <v>202</v>
      </c>
      <c r="H1510" s="201">
        <v>42152</v>
      </c>
      <c r="I1510" s="200" t="s">
        <v>187</v>
      </c>
      <c r="J1510" s="200" t="s">
        <v>103</v>
      </c>
      <c r="K1510" s="200" t="s">
        <v>5132</v>
      </c>
      <c r="L1510" s="201">
        <v>42152</v>
      </c>
      <c r="M1510" s="197" t="s">
        <v>1914</v>
      </c>
      <c r="N1510" s="202" t="s">
        <v>185</v>
      </c>
      <c r="O1510" s="201">
        <v>42152</v>
      </c>
      <c r="P1510" s="203">
        <f t="shared" si="718"/>
        <v>1</v>
      </c>
      <c r="Q1510" s="200" t="s">
        <v>5132</v>
      </c>
      <c r="R1510" s="202" t="s">
        <v>605</v>
      </c>
      <c r="S1510" s="197" t="s">
        <v>104</v>
      </c>
      <c r="T1510" s="197">
        <v>1103571954</v>
      </c>
      <c r="U1510" s="201">
        <v>42152</v>
      </c>
      <c r="V1510" s="202" t="s">
        <v>186</v>
      </c>
      <c r="W1510" s="204">
        <f t="shared" si="719"/>
        <v>0</v>
      </c>
      <c r="X1510" s="204" t="str">
        <f t="shared" si="720"/>
        <v>Correcto</v>
      </c>
    </row>
    <row r="1511" spans="1:24" ht="18" customHeight="1" x14ac:dyDescent="0.25">
      <c r="A1511" s="205">
        <v>1502</v>
      </c>
      <c r="B1511" s="197" t="s">
        <v>5133</v>
      </c>
      <c r="C1511" s="198">
        <v>42152</v>
      </c>
      <c r="D1511" s="199">
        <v>2</v>
      </c>
      <c r="E1511" s="200" t="s">
        <v>93</v>
      </c>
      <c r="F1511" s="197" t="s">
        <v>1654</v>
      </c>
      <c r="G1511" s="200" t="s">
        <v>202</v>
      </c>
      <c r="H1511" s="201">
        <v>42153</v>
      </c>
      <c r="I1511" s="200" t="s">
        <v>187</v>
      </c>
      <c r="J1511" s="200" t="s">
        <v>103</v>
      </c>
      <c r="K1511" s="200" t="s">
        <v>5134</v>
      </c>
      <c r="L1511" s="201">
        <v>42153</v>
      </c>
      <c r="M1511" s="197" t="s">
        <v>1914</v>
      </c>
      <c r="N1511" s="202" t="s">
        <v>185</v>
      </c>
      <c r="O1511" s="201">
        <v>42153</v>
      </c>
      <c r="P1511" s="203">
        <f t="shared" si="718"/>
        <v>1</v>
      </c>
      <c r="Q1511" s="200" t="s">
        <v>5135</v>
      </c>
      <c r="R1511" s="202" t="s">
        <v>605</v>
      </c>
      <c r="S1511" s="197" t="s">
        <v>101</v>
      </c>
      <c r="T1511" s="197" t="s">
        <v>5136</v>
      </c>
      <c r="U1511" s="201">
        <v>42156</v>
      </c>
      <c r="V1511" s="202" t="s">
        <v>186</v>
      </c>
      <c r="W1511" s="204">
        <f t="shared" si="719"/>
        <v>0</v>
      </c>
      <c r="X1511" s="204" t="str">
        <f t="shared" si="720"/>
        <v>Correcto</v>
      </c>
    </row>
    <row r="1512" spans="1:24" ht="18" customHeight="1" x14ac:dyDescent="0.25">
      <c r="A1512" s="205">
        <v>1503</v>
      </c>
      <c r="B1512" s="197" t="s">
        <v>5137</v>
      </c>
      <c r="C1512" s="198">
        <v>42152</v>
      </c>
      <c r="D1512" s="199">
        <v>54</v>
      </c>
      <c r="E1512" s="200" t="s">
        <v>93</v>
      </c>
      <c r="F1512" s="197" t="s">
        <v>1654</v>
      </c>
      <c r="G1512" s="200" t="s">
        <v>202</v>
      </c>
      <c r="H1512" s="201">
        <v>42159</v>
      </c>
      <c r="I1512" s="200" t="s">
        <v>187</v>
      </c>
      <c r="J1512" s="200" t="s">
        <v>103</v>
      </c>
      <c r="K1512" s="200" t="s">
        <v>5138</v>
      </c>
      <c r="L1512" s="201">
        <v>42159</v>
      </c>
      <c r="M1512" s="197" t="s">
        <v>1914</v>
      </c>
      <c r="N1512" s="202" t="s">
        <v>185</v>
      </c>
      <c r="O1512" s="201">
        <v>42159</v>
      </c>
      <c r="P1512" s="203">
        <f t="shared" si="718"/>
        <v>7</v>
      </c>
      <c r="Q1512" s="200" t="s">
        <v>5139</v>
      </c>
      <c r="R1512" s="202" t="s">
        <v>605</v>
      </c>
      <c r="S1512" s="197" t="s">
        <v>101</v>
      </c>
      <c r="T1512" s="197" t="s">
        <v>5103</v>
      </c>
      <c r="U1512" s="201">
        <v>42159</v>
      </c>
      <c r="V1512" s="202" t="s">
        <v>186</v>
      </c>
      <c r="W1512" s="204">
        <f t="shared" si="719"/>
        <v>0</v>
      </c>
      <c r="X1512" s="204" t="str">
        <f t="shared" si="720"/>
        <v>Correcto</v>
      </c>
    </row>
    <row r="1513" spans="1:24" ht="18" customHeight="1" x14ac:dyDescent="0.25">
      <c r="A1513" s="205">
        <v>1504</v>
      </c>
      <c r="B1513" s="197" t="s">
        <v>5140</v>
      </c>
      <c r="C1513" s="198">
        <v>42152</v>
      </c>
      <c r="D1513" s="199">
        <v>54</v>
      </c>
      <c r="E1513" s="200" t="s">
        <v>93</v>
      </c>
      <c r="F1513" s="197" t="s">
        <v>1654</v>
      </c>
      <c r="G1513" s="200" t="s">
        <v>202</v>
      </c>
      <c r="H1513" s="201">
        <v>42159</v>
      </c>
      <c r="I1513" s="200" t="s">
        <v>187</v>
      </c>
      <c r="J1513" s="200" t="s">
        <v>103</v>
      </c>
      <c r="K1513" s="200" t="s">
        <v>5141</v>
      </c>
      <c r="L1513" s="201">
        <v>42159</v>
      </c>
      <c r="M1513" s="197" t="s">
        <v>1914</v>
      </c>
      <c r="N1513" s="202" t="s">
        <v>185</v>
      </c>
      <c r="O1513" s="201">
        <v>42159</v>
      </c>
      <c r="P1513" s="203">
        <f t="shared" si="718"/>
        <v>7</v>
      </c>
      <c r="Q1513" s="200" t="s">
        <v>5142</v>
      </c>
      <c r="R1513" s="202" t="s">
        <v>605</v>
      </c>
      <c r="S1513" s="197" t="s">
        <v>101</v>
      </c>
      <c r="T1513" s="197" t="s">
        <v>5103</v>
      </c>
      <c r="U1513" s="201">
        <v>42159</v>
      </c>
      <c r="V1513" s="202" t="s">
        <v>186</v>
      </c>
      <c r="W1513" s="204">
        <f t="shared" si="719"/>
        <v>0</v>
      </c>
      <c r="X1513" s="204" t="str">
        <f t="shared" si="720"/>
        <v>Correcto</v>
      </c>
    </row>
    <row r="1514" spans="1:24" ht="18" customHeight="1" x14ac:dyDescent="0.25">
      <c r="A1514" s="205">
        <v>1505</v>
      </c>
      <c r="B1514" s="197" t="s">
        <v>5143</v>
      </c>
      <c r="C1514" s="198">
        <v>42152</v>
      </c>
      <c r="D1514" s="199">
        <v>54</v>
      </c>
      <c r="E1514" s="200" t="s">
        <v>93</v>
      </c>
      <c r="F1514" s="197" t="s">
        <v>1654</v>
      </c>
      <c r="G1514" s="200" t="s">
        <v>202</v>
      </c>
      <c r="H1514" s="201">
        <v>42159</v>
      </c>
      <c r="I1514" s="200" t="s">
        <v>187</v>
      </c>
      <c r="J1514" s="200" t="s">
        <v>103</v>
      </c>
      <c r="K1514" s="200" t="s">
        <v>5144</v>
      </c>
      <c r="L1514" s="201">
        <v>42159</v>
      </c>
      <c r="M1514" s="197" t="s">
        <v>1914</v>
      </c>
      <c r="N1514" s="202" t="s">
        <v>185</v>
      </c>
      <c r="O1514" s="201">
        <v>42159</v>
      </c>
      <c r="P1514" s="203">
        <f t="shared" si="718"/>
        <v>7</v>
      </c>
      <c r="Q1514" s="200" t="s">
        <v>5145</v>
      </c>
      <c r="R1514" s="202" t="s">
        <v>605</v>
      </c>
      <c r="S1514" s="197" t="s">
        <v>101</v>
      </c>
      <c r="T1514" s="197" t="s">
        <v>5103</v>
      </c>
      <c r="U1514" s="201">
        <v>42159</v>
      </c>
      <c r="V1514" s="202" t="s">
        <v>186</v>
      </c>
      <c r="W1514" s="204">
        <f t="shared" si="719"/>
        <v>0</v>
      </c>
      <c r="X1514" s="204" t="str">
        <f t="shared" si="720"/>
        <v>Correcto</v>
      </c>
    </row>
    <row r="1515" spans="1:24" ht="18" customHeight="1" x14ac:dyDescent="0.25">
      <c r="A1515" s="205">
        <v>1506</v>
      </c>
      <c r="B1515" s="197" t="s">
        <v>5146</v>
      </c>
      <c r="C1515" s="198">
        <v>42152</v>
      </c>
      <c r="D1515" s="199">
        <v>54</v>
      </c>
      <c r="E1515" s="200" t="s">
        <v>93</v>
      </c>
      <c r="F1515" s="197" t="s">
        <v>1654</v>
      </c>
      <c r="G1515" s="200" t="s">
        <v>202</v>
      </c>
      <c r="H1515" s="201">
        <v>42159</v>
      </c>
      <c r="I1515" s="200" t="s">
        <v>187</v>
      </c>
      <c r="J1515" s="200" t="s">
        <v>103</v>
      </c>
      <c r="K1515" s="200" t="s">
        <v>5147</v>
      </c>
      <c r="L1515" s="201">
        <v>42159</v>
      </c>
      <c r="M1515" s="197" t="s">
        <v>1914</v>
      </c>
      <c r="N1515" s="202" t="s">
        <v>185</v>
      </c>
      <c r="O1515" s="201">
        <v>42159</v>
      </c>
      <c r="P1515" s="203">
        <f t="shared" si="718"/>
        <v>7</v>
      </c>
      <c r="Q1515" s="200" t="s">
        <v>5148</v>
      </c>
      <c r="R1515" s="202" t="s">
        <v>605</v>
      </c>
      <c r="S1515" s="197" t="s">
        <v>101</v>
      </c>
      <c r="T1515" s="197" t="s">
        <v>5103</v>
      </c>
      <c r="U1515" s="201">
        <v>42159</v>
      </c>
      <c r="V1515" s="202" t="s">
        <v>186</v>
      </c>
      <c r="W1515" s="204">
        <f t="shared" si="719"/>
        <v>0</v>
      </c>
      <c r="X1515" s="204" t="str">
        <f t="shared" si="720"/>
        <v>Correcto</v>
      </c>
    </row>
    <row r="1516" spans="1:24" ht="18" customHeight="1" x14ac:dyDescent="0.25">
      <c r="A1516" s="205">
        <v>1507</v>
      </c>
      <c r="B1516" s="197" t="s">
        <v>5149</v>
      </c>
      <c r="C1516" s="198">
        <v>42152</v>
      </c>
      <c r="D1516" s="199">
        <v>2</v>
      </c>
      <c r="E1516" s="200" t="s">
        <v>93</v>
      </c>
      <c r="F1516" s="197" t="s">
        <v>1654</v>
      </c>
      <c r="G1516" s="200" t="s">
        <v>202</v>
      </c>
      <c r="H1516" s="201">
        <v>42153</v>
      </c>
      <c r="I1516" s="200" t="s">
        <v>187</v>
      </c>
      <c r="J1516" s="200" t="s">
        <v>103</v>
      </c>
      <c r="K1516" s="200" t="s">
        <v>5150</v>
      </c>
      <c r="L1516" s="201">
        <v>42153</v>
      </c>
      <c r="M1516" s="197" t="s">
        <v>1914</v>
      </c>
      <c r="N1516" s="202" t="s">
        <v>185</v>
      </c>
      <c r="O1516" s="201">
        <v>42153</v>
      </c>
      <c r="P1516" s="203">
        <f t="shared" si="718"/>
        <v>1</v>
      </c>
      <c r="Q1516" s="200" t="s">
        <v>5151</v>
      </c>
      <c r="R1516" s="202" t="s">
        <v>17</v>
      </c>
      <c r="S1516" s="197" t="s">
        <v>101</v>
      </c>
      <c r="T1516" s="197" t="s">
        <v>101</v>
      </c>
      <c r="U1516" s="201">
        <v>42157</v>
      </c>
      <c r="V1516" s="202" t="s">
        <v>186</v>
      </c>
      <c r="W1516" s="204">
        <f t="shared" si="719"/>
        <v>0</v>
      </c>
      <c r="X1516" s="204" t="str">
        <f t="shared" si="720"/>
        <v>Correcto</v>
      </c>
    </row>
    <row r="1517" spans="1:24" ht="18" customHeight="1" x14ac:dyDescent="0.25">
      <c r="A1517" s="205">
        <v>1508</v>
      </c>
      <c r="B1517" s="197" t="s">
        <v>5152</v>
      </c>
      <c r="C1517" s="198">
        <v>42152</v>
      </c>
      <c r="D1517" s="199">
        <v>2</v>
      </c>
      <c r="E1517" s="200" t="s">
        <v>93</v>
      </c>
      <c r="F1517" s="197" t="s">
        <v>1654</v>
      </c>
      <c r="G1517" s="200" t="s">
        <v>202</v>
      </c>
      <c r="H1517" s="201">
        <v>42153</v>
      </c>
      <c r="I1517" s="200" t="s">
        <v>187</v>
      </c>
      <c r="J1517" s="200" t="s">
        <v>103</v>
      </c>
      <c r="K1517" s="200" t="s">
        <v>5153</v>
      </c>
      <c r="L1517" s="201">
        <v>42153</v>
      </c>
      <c r="M1517" s="197" t="s">
        <v>1914</v>
      </c>
      <c r="N1517" s="202" t="s">
        <v>185</v>
      </c>
      <c r="O1517" s="201">
        <v>42153</v>
      </c>
      <c r="P1517" s="203">
        <f t="shared" si="718"/>
        <v>1</v>
      </c>
      <c r="Q1517" s="200" t="s">
        <v>5154</v>
      </c>
      <c r="R1517" s="202" t="s">
        <v>17</v>
      </c>
      <c r="S1517" s="197" t="s">
        <v>101</v>
      </c>
      <c r="T1517" s="197" t="s">
        <v>101</v>
      </c>
      <c r="U1517" s="201">
        <v>42157</v>
      </c>
      <c r="V1517" s="202" t="s">
        <v>186</v>
      </c>
      <c r="W1517" s="204">
        <f t="shared" si="719"/>
        <v>0</v>
      </c>
      <c r="X1517" s="204" t="str">
        <f t="shared" si="720"/>
        <v>Correcto</v>
      </c>
    </row>
    <row r="1518" spans="1:24" ht="18" customHeight="1" x14ac:dyDescent="0.25">
      <c r="A1518" s="205">
        <v>1509</v>
      </c>
      <c r="B1518" s="197" t="s">
        <v>5155</v>
      </c>
      <c r="C1518" s="198">
        <v>42152</v>
      </c>
      <c r="D1518" s="199">
        <v>2</v>
      </c>
      <c r="E1518" s="200" t="s">
        <v>93</v>
      </c>
      <c r="F1518" s="197" t="s">
        <v>1654</v>
      </c>
      <c r="G1518" s="200" t="s">
        <v>202</v>
      </c>
      <c r="H1518" s="201">
        <v>42153</v>
      </c>
      <c r="I1518" s="200" t="s">
        <v>187</v>
      </c>
      <c r="J1518" s="200" t="s">
        <v>103</v>
      </c>
      <c r="K1518" s="200" t="s">
        <v>5156</v>
      </c>
      <c r="L1518" s="201">
        <v>42153</v>
      </c>
      <c r="M1518" s="197" t="s">
        <v>1914</v>
      </c>
      <c r="N1518" s="202" t="s">
        <v>185</v>
      </c>
      <c r="O1518" s="201">
        <v>42153</v>
      </c>
      <c r="P1518" s="203">
        <f t="shared" si="718"/>
        <v>1</v>
      </c>
      <c r="Q1518" s="200" t="s">
        <v>5157</v>
      </c>
      <c r="R1518" s="202" t="s">
        <v>17</v>
      </c>
      <c r="S1518" s="197" t="s">
        <v>101</v>
      </c>
      <c r="T1518" s="197" t="s">
        <v>5158</v>
      </c>
      <c r="U1518" s="201">
        <v>42156</v>
      </c>
      <c r="V1518" s="202" t="s">
        <v>186</v>
      </c>
      <c r="W1518" s="204">
        <f t="shared" si="719"/>
        <v>0</v>
      </c>
      <c r="X1518" s="204" t="str">
        <f t="shared" si="720"/>
        <v>Correcto</v>
      </c>
    </row>
    <row r="1519" spans="1:24" ht="18" customHeight="1" x14ac:dyDescent="0.25">
      <c r="A1519" s="205">
        <v>1510</v>
      </c>
      <c r="B1519" s="197" t="s">
        <v>5159</v>
      </c>
      <c r="C1519" s="198">
        <v>42152</v>
      </c>
      <c r="D1519" s="199">
        <v>2</v>
      </c>
      <c r="E1519" s="200" t="s">
        <v>93</v>
      </c>
      <c r="F1519" s="197" t="s">
        <v>1654</v>
      </c>
      <c r="G1519" s="200" t="s">
        <v>202</v>
      </c>
      <c r="H1519" s="201">
        <v>42153</v>
      </c>
      <c r="I1519" s="200" t="s">
        <v>187</v>
      </c>
      <c r="J1519" s="200" t="s">
        <v>103</v>
      </c>
      <c r="K1519" s="200" t="s">
        <v>5160</v>
      </c>
      <c r="L1519" s="201">
        <v>42153</v>
      </c>
      <c r="M1519" s="197" t="s">
        <v>1914</v>
      </c>
      <c r="N1519" s="202" t="s">
        <v>185</v>
      </c>
      <c r="O1519" s="201">
        <v>42153</v>
      </c>
      <c r="P1519" s="203">
        <f t="shared" si="718"/>
        <v>1</v>
      </c>
      <c r="Q1519" s="200" t="s">
        <v>5161</v>
      </c>
      <c r="R1519" s="202" t="s">
        <v>17</v>
      </c>
      <c r="S1519" s="197" t="s">
        <v>101</v>
      </c>
      <c r="T1519" s="197" t="s">
        <v>101</v>
      </c>
      <c r="U1519" s="201">
        <v>42157</v>
      </c>
      <c r="V1519" s="202" t="s">
        <v>186</v>
      </c>
      <c r="W1519" s="204">
        <f t="shared" si="719"/>
        <v>0</v>
      </c>
      <c r="X1519" s="204" t="str">
        <f t="shared" si="720"/>
        <v>Correcto</v>
      </c>
    </row>
    <row r="1520" spans="1:24" ht="18" customHeight="1" x14ac:dyDescent="0.25">
      <c r="A1520" s="205">
        <v>1511</v>
      </c>
      <c r="B1520" s="197" t="s">
        <v>5162</v>
      </c>
      <c r="C1520" s="198">
        <v>42152</v>
      </c>
      <c r="D1520" s="199">
        <v>2</v>
      </c>
      <c r="E1520" s="200" t="s">
        <v>93</v>
      </c>
      <c r="F1520" s="197" t="s">
        <v>1654</v>
      </c>
      <c r="G1520" s="200" t="s">
        <v>202</v>
      </c>
      <c r="H1520" s="201">
        <v>42153</v>
      </c>
      <c r="I1520" s="200" t="s">
        <v>187</v>
      </c>
      <c r="J1520" s="200" t="s">
        <v>103</v>
      </c>
      <c r="K1520" s="200" t="s">
        <v>5163</v>
      </c>
      <c r="L1520" s="201">
        <v>42153</v>
      </c>
      <c r="M1520" s="197" t="s">
        <v>1914</v>
      </c>
      <c r="N1520" s="202" t="s">
        <v>185</v>
      </c>
      <c r="O1520" s="201">
        <v>42153</v>
      </c>
      <c r="P1520" s="203">
        <f t="shared" si="718"/>
        <v>1</v>
      </c>
      <c r="Q1520" s="200" t="s">
        <v>5164</v>
      </c>
      <c r="R1520" s="202" t="s">
        <v>17</v>
      </c>
      <c r="S1520" s="197" t="s">
        <v>101</v>
      </c>
      <c r="T1520" s="197" t="s">
        <v>101</v>
      </c>
      <c r="U1520" s="201">
        <v>42157</v>
      </c>
      <c r="V1520" s="202" t="s">
        <v>186</v>
      </c>
      <c r="W1520" s="204">
        <f t="shared" si="719"/>
        <v>0</v>
      </c>
      <c r="X1520" s="204" t="str">
        <f t="shared" si="720"/>
        <v>Correcto</v>
      </c>
    </row>
    <row r="1521" spans="1:24" ht="18" customHeight="1" x14ac:dyDescent="0.25">
      <c r="A1521" s="205">
        <v>1512</v>
      </c>
      <c r="B1521" s="197" t="s">
        <v>5165</v>
      </c>
      <c r="C1521" s="198">
        <v>42152</v>
      </c>
      <c r="D1521" s="199">
        <v>8</v>
      </c>
      <c r="E1521" s="200" t="s">
        <v>93</v>
      </c>
      <c r="F1521" s="197" t="s">
        <v>1654</v>
      </c>
      <c r="G1521" s="200" t="s">
        <v>202</v>
      </c>
      <c r="H1521" s="201">
        <v>42157</v>
      </c>
      <c r="I1521" s="200" t="s">
        <v>187</v>
      </c>
      <c r="J1521" s="200" t="s">
        <v>103</v>
      </c>
      <c r="K1521" s="200" t="s">
        <v>5166</v>
      </c>
      <c r="L1521" s="201">
        <v>42157</v>
      </c>
      <c r="M1521" s="197" t="s">
        <v>1914</v>
      </c>
      <c r="N1521" s="202" t="s">
        <v>185</v>
      </c>
      <c r="O1521" s="201">
        <v>42157</v>
      </c>
      <c r="P1521" s="203">
        <f t="shared" si="718"/>
        <v>5</v>
      </c>
      <c r="Q1521" s="200" t="s">
        <v>5167</v>
      </c>
      <c r="R1521" s="202" t="s">
        <v>17</v>
      </c>
      <c r="S1521" s="197" t="s">
        <v>101</v>
      </c>
      <c r="T1521" s="197" t="s">
        <v>101</v>
      </c>
      <c r="U1521" s="201">
        <v>42157</v>
      </c>
      <c r="V1521" s="202" t="s">
        <v>186</v>
      </c>
      <c r="W1521" s="204">
        <f t="shared" si="719"/>
        <v>0</v>
      </c>
      <c r="X1521" s="204" t="str">
        <f t="shared" si="720"/>
        <v>Correcto</v>
      </c>
    </row>
    <row r="1522" spans="1:24" ht="18" customHeight="1" x14ac:dyDescent="0.25">
      <c r="A1522" s="205">
        <v>1513</v>
      </c>
      <c r="B1522" s="197" t="s">
        <v>5168</v>
      </c>
      <c r="C1522" s="198">
        <v>42152</v>
      </c>
      <c r="D1522" s="199">
        <v>2</v>
      </c>
      <c r="E1522" s="200" t="s">
        <v>93</v>
      </c>
      <c r="F1522" s="197" t="s">
        <v>1654</v>
      </c>
      <c r="G1522" s="200" t="s">
        <v>202</v>
      </c>
      <c r="H1522" s="201">
        <v>42157</v>
      </c>
      <c r="I1522" s="200" t="s">
        <v>187</v>
      </c>
      <c r="J1522" s="200" t="s">
        <v>103</v>
      </c>
      <c r="K1522" s="200" t="s">
        <v>5169</v>
      </c>
      <c r="L1522" s="201">
        <v>42157</v>
      </c>
      <c r="M1522" s="197" t="s">
        <v>1914</v>
      </c>
      <c r="N1522" s="202" t="s">
        <v>185</v>
      </c>
      <c r="O1522" s="201">
        <v>42157</v>
      </c>
      <c r="P1522" s="203">
        <f t="shared" ref="P1522:P1585" si="721">O1522-C1522</f>
        <v>5</v>
      </c>
      <c r="Q1522" s="200" t="s">
        <v>5170</v>
      </c>
      <c r="R1522" s="202" t="s">
        <v>17</v>
      </c>
      <c r="S1522" s="197" t="s">
        <v>101</v>
      </c>
      <c r="T1522" s="197" t="s">
        <v>101</v>
      </c>
      <c r="U1522" s="201">
        <v>42157</v>
      </c>
      <c r="V1522" s="202" t="s">
        <v>186</v>
      </c>
      <c r="W1522" s="204">
        <f t="shared" ref="W1522:W1585" si="722">COUNTBLANK(C1522:V1522)</f>
        <v>0</v>
      </c>
      <c r="X1522" s="204" t="str">
        <f t="shared" ref="X1522:X1585" si="723">IF(W1522=0,"Correcto","Incorrecto")</f>
        <v>Correcto</v>
      </c>
    </row>
    <row r="1523" spans="1:24" ht="18" customHeight="1" x14ac:dyDescent="0.25">
      <c r="A1523" s="205">
        <v>1514</v>
      </c>
      <c r="B1523" s="197" t="s">
        <v>5171</v>
      </c>
      <c r="C1523" s="198">
        <v>42152</v>
      </c>
      <c r="D1523" s="199">
        <v>20</v>
      </c>
      <c r="E1523" s="200" t="s">
        <v>93</v>
      </c>
      <c r="F1523" s="197" t="s">
        <v>825</v>
      </c>
      <c r="G1523" s="200" t="s">
        <v>202</v>
      </c>
      <c r="H1523" s="201">
        <v>42153</v>
      </c>
      <c r="I1523" s="200" t="s">
        <v>187</v>
      </c>
      <c r="J1523" s="200" t="s">
        <v>103</v>
      </c>
      <c r="K1523" s="200" t="s">
        <v>5170</v>
      </c>
      <c r="L1523" s="201">
        <v>42153</v>
      </c>
      <c r="M1523" s="197" t="s">
        <v>1914</v>
      </c>
      <c r="N1523" s="202" t="s">
        <v>185</v>
      </c>
      <c r="O1523" s="201">
        <v>42153</v>
      </c>
      <c r="P1523" s="203">
        <f t="shared" si="721"/>
        <v>1</v>
      </c>
      <c r="Q1523" s="200" t="s">
        <v>5170</v>
      </c>
      <c r="R1523" s="202" t="s">
        <v>17</v>
      </c>
      <c r="S1523" s="197" t="s">
        <v>104</v>
      </c>
      <c r="T1523" s="197">
        <v>1102089545</v>
      </c>
      <c r="U1523" s="201">
        <v>42153</v>
      </c>
      <c r="V1523" s="202" t="s">
        <v>186</v>
      </c>
      <c r="W1523" s="204">
        <f t="shared" si="722"/>
        <v>0</v>
      </c>
      <c r="X1523" s="204" t="str">
        <f t="shared" si="723"/>
        <v>Correcto</v>
      </c>
    </row>
    <row r="1524" spans="1:24" ht="18" customHeight="1" x14ac:dyDescent="0.25">
      <c r="A1524" s="205">
        <v>1515</v>
      </c>
      <c r="B1524" s="197" t="s">
        <v>5172</v>
      </c>
      <c r="C1524" s="198">
        <v>42152</v>
      </c>
      <c r="D1524" s="199">
        <v>2</v>
      </c>
      <c r="E1524" s="200" t="s">
        <v>93</v>
      </c>
      <c r="F1524" s="197" t="s">
        <v>825</v>
      </c>
      <c r="G1524" s="200" t="s">
        <v>202</v>
      </c>
      <c r="H1524" s="201">
        <v>42166</v>
      </c>
      <c r="I1524" s="200" t="s">
        <v>187</v>
      </c>
      <c r="J1524" s="200" t="s">
        <v>103</v>
      </c>
      <c r="K1524" s="200" t="s">
        <v>5173</v>
      </c>
      <c r="L1524" s="201">
        <v>42166</v>
      </c>
      <c r="M1524" s="197" t="s">
        <v>1914</v>
      </c>
      <c r="N1524" s="202" t="s">
        <v>185</v>
      </c>
      <c r="O1524" s="201">
        <v>42166</v>
      </c>
      <c r="P1524" s="203">
        <f t="shared" si="721"/>
        <v>14</v>
      </c>
      <c r="Q1524" s="200" t="s">
        <v>5174</v>
      </c>
      <c r="R1524" s="202" t="s">
        <v>5175</v>
      </c>
      <c r="S1524" s="197" t="s">
        <v>101</v>
      </c>
      <c r="T1524" s="197" t="s">
        <v>5176</v>
      </c>
      <c r="U1524" s="201">
        <v>42167</v>
      </c>
      <c r="V1524" s="202" t="s">
        <v>186</v>
      </c>
      <c r="W1524" s="204">
        <f t="shared" si="722"/>
        <v>0</v>
      </c>
      <c r="X1524" s="204" t="str">
        <f t="shared" si="723"/>
        <v>Correcto</v>
      </c>
    </row>
    <row r="1525" spans="1:24" ht="18" customHeight="1" x14ac:dyDescent="0.25">
      <c r="A1525" s="205">
        <v>1516</v>
      </c>
      <c r="B1525" s="197" t="s">
        <v>5177</v>
      </c>
      <c r="C1525" s="198">
        <v>42152</v>
      </c>
      <c r="D1525" s="199">
        <v>7</v>
      </c>
      <c r="E1525" s="200" t="s">
        <v>93</v>
      </c>
      <c r="F1525" s="197" t="s">
        <v>1654</v>
      </c>
      <c r="G1525" s="200" t="s">
        <v>202</v>
      </c>
      <c r="H1525" s="201">
        <v>42157</v>
      </c>
      <c r="I1525" s="200" t="s">
        <v>187</v>
      </c>
      <c r="J1525" s="200" t="s">
        <v>103</v>
      </c>
      <c r="K1525" s="200" t="s">
        <v>5178</v>
      </c>
      <c r="L1525" s="201">
        <v>42157</v>
      </c>
      <c r="M1525" s="197" t="s">
        <v>1914</v>
      </c>
      <c r="N1525" s="202" t="s">
        <v>185</v>
      </c>
      <c r="O1525" s="201">
        <v>42157</v>
      </c>
      <c r="P1525" s="203">
        <f t="shared" si="721"/>
        <v>5</v>
      </c>
      <c r="Q1525" s="200" t="s">
        <v>5179</v>
      </c>
      <c r="R1525" s="202" t="s">
        <v>17</v>
      </c>
      <c r="S1525" s="197" t="s">
        <v>101</v>
      </c>
      <c r="T1525" s="197" t="s">
        <v>101</v>
      </c>
      <c r="U1525" s="201">
        <v>42157</v>
      </c>
      <c r="V1525" s="202" t="s">
        <v>186</v>
      </c>
      <c r="W1525" s="204">
        <f t="shared" si="722"/>
        <v>0</v>
      </c>
      <c r="X1525" s="204" t="str">
        <f t="shared" si="723"/>
        <v>Correcto</v>
      </c>
    </row>
    <row r="1526" spans="1:24" ht="18" customHeight="1" x14ac:dyDescent="0.25">
      <c r="A1526" s="205">
        <v>1517</v>
      </c>
      <c r="B1526" s="197" t="s">
        <v>5180</v>
      </c>
      <c r="C1526" s="198">
        <v>42152</v>
      </c>
      <c r="D1526" s="199">
        <v>2</v>
      </c>
      <c r="E1526" s="200" t="s">
        <v>93</v>
      </c>
      <c r="F1526" s="197" t="s">
        <v>1654</v>
      </c>
      <c r="G1526" s="200" t="s">
        <v>202</v>
      </c>
      <c r="H1526" s="201">
        <v>42153</v>
      </c>
      <c r="I1526" s="200" t="s">
        <v>187</v>
      </c>
      <c r="J1526" s="200" t="s">
        <v>103</v>
      </c>
      <c r="K1526" s="200" t="s">
        <v>5181</v>
      </c>
      <c r="L1526" s="201">
        <v>42153</v>
      </c>
      <c r="M1526" s="197" t="s">
        <v>1914</v>
      </c>
      <c r="N1526" s="202" t="s">
        <v>185</v>
      </c>
      <c r="O1526" s="201">
        <v>42153</v>
      </c>
      <c r="P1526" s="203">
        <f t="shared" si="721"/>
        <v>1</v>
      </c>
      <c r="Q1526" s="200" t="s">
        <v>5181</v>
      </c>
      <c r="R1526" s="202" t="s">
        <v>17</v>
      </c>
      <c r="S1526" s="197" t="s">
        <v>104</v>
      </c>
      <c r="T1526" s="197">
        <v>1103088215</v>
      </c>
      <c r="U1526" s="201">
        <v>42153</v>
      </c>
      <c r="V1526" s="202" t="s">
        <v>186</v>
      </c>
      <c r="W1526" s="204">
        <f t="shared" si="722"/>
        <v>0</v>
      </c>
      <c r="X1526" s="204" t="str">
        <f t="shared" si="723"/>
        <v>Correcto</v>
      </c>
    </row>
    <row r="1527" spans="1:24" ht="18" customHeight="1" x14ac:dyDescent="0.25">
      <c r="A1527" s="205">
        <v>1518</v>
      </c>
      <c r="B1527" s="197" t="s">
        <v>5182</v>
      </c>
      <c r="C1527" s="198">
        <v>42152</v>
      </c>
      <c r="D1527" s="199">
        <v>2</v>
      </c>
      <c r="E1527" s="200" t="s">
        <v>93</v>
      </c>
      <c r="F1527" s="197" t="s">
        <v>1654</v>
      </c>
      <c r="G1527" s="200" t="s">
        <v>202</v>
      </c>
      <c r="H1527" s="201">
        <v>42153</v>
      </c>
      <c r="I1527" s="200" t="s">
        <v>187</v>
      </c>
      <c r="J1527" s="200" t="s">
        <v>103</v>
      </c>
      <c r="K1527" s="200" t="s">
        <v>5183</v>
      </c>
      <c r="L1527" s="201">
        <v>42153</v>
      </c>
      <c r="M1527" s="197" t="s">
        <v>1914</v>
      </c>
      <c r="N1527" s="202" t="s">
        <v>185</v>
      </c>
      <c r="O1527" s="201">
        <v>42153</v>
      </c>
      <c r="P1527" s="203">
        <f t="shared" si="721"/>
        <v>1</v>
      </c>
      <c r="Q1527" s="200" t="s">
        <v>5183</v>
      </c>
      <c r="R1527" s="202" t="s">
        <v>17</v>
      </c>
      <c r="S1527" s="197" t="s">
        <v>104</v>
      </c>
      <c r="T1527" s="197">
        <v>1104208952</v>
      </c>
      <c r="U1527" s="201">
        <v>42153</v>
      </c>
      <c r="V1527" s="202" t="s">
        <v>186</v>
      </c>
      <c r="W1527" s="204">
        <f t="shared" si="722"/>
        <v>0</v>
      </c>
      <c r="X1527" s="204" t="str">
        <f t="shared" si="723"/>
        <v>Correcto</v>
      </c>
    </row>
    <row r="1528" spans="1:24" ht="18" customHeight="1" x14ac:dyDescent="0.25">
      <c r="A1528" s="205">
        <v>1519</v>
      </c>
      <c r="B1528" s="197" t="s">
        <v>5184</v>
      </c>
      <c r="C1528" s="198">
        <v>42152</v>
      </c>
      <c r="D1528" s="199">
        <v>2</v>
      </c>
      <c r="E1528" s="200" t="s">
        <v>93</v>
      </c>
      <c r="F1528" s="197" t="s">
        <v>825</v>
      </c>
      <c r="G1528" s="200" t="s">
        <v>202</v>
      </c>
      <c r="H1528" s="201">
        <v>42157</v>
      </c>
      <c r="I1528" s="200" t="s">
        <v>187</v>
      </c>
      <c r="J1528" s="200" t="s">
        <v>103</v>
      </c>
      <c r="K1528" s="200" t="s">
        <v>5185</v>
      </c>
      <c r="L1528" s="201">
        <v>42157</v>
      </c>
      <c r="M1528" s="197" t="s">
        <v>5083</v>
      </c>
      <c r="N1528" s="202" t="s">
        <v>1079</v>
      </c>
      <c r="O1528" s="201">
        <v>42163</v>
      </c>
      <c r="P1528" s="203">
        <f t="shared" si="721"/>
        <v>11</v>
      </c>
      <c r="Q1528" s="200" t="s">
        <v>5186</v>
      </c>
      <c r="R1528" s="202" t="s">
        <v>977</v>
      </c>
      <c r="S1528" s="197" t="s">
        <v>101</v>
      </c>
      <c r="T1528" s="197" t="s">
        <v>5187</v>
      </c>
      <c r="U1528" s="201">
        <v>42173</v>
      </c>
      <c r="V1528" s="202" t="s">
        <v>186</v>
      </c>
      <c r="W1528" s="204">
        <f t="shared" si="722"/>
        <v>0</v>
      </c>
      <c r="X1528" s="204" t="str">
        <f t="shared" si="723"/>
        <v>Correcto</v>
      </c>
    </row>
    <row r="1529" spans="1:24" ht="18" customHeight="1" x14ac:dyDescent="0.25">
      <c r="A1529" s="205">
        <v>1520</v>
      </c>
      <c r="B1529" s="197" t="s">
        <v>5188</v>
      </c>
      <c r="C1529" s="198">
        <v>42152</v>
      </c>
      <c r="D1529" s="199">
        <v>2</v>
      </c>
      <c r="E1529" s="200" t="s">
        <v>93</v>
      </c>
      <c r="F1529" s="197" t="s">
        <v>825</v>
      </c>
      <c r="G1529" s="200" t="s">
        <v>202</v>
      </c>
      <c r="H1529" s="201">
        <v>42157</v>
      </c>
      <c r="I1529" s="200" t="s">
        <v>187</v>
      </c>
      <c r="J1529" s="200" t="s">
        <v>103</v>
      </c>
      <c r="K1529" s="200" t="s">
        <v>5189</v>
      </c>
      <c r="L1529" s="201">
        <v>42157</v>
      </c>
      <c r="M1529" s="197" t="s">
        <v>5083</v>
      </c>
      <c r="N1529" s="202" t="s">
        <v>1079</v>
      </c>
      <c r="O1529" s="201">
        <v>42163</v>
      </c>
      <c r="P1529" s="203">
        <f t="shared" si="721"/>
        <v>11</v>
      </c>
      <c r="Q1529" s="200" t="s">
        <v>5190</v>
      </c>
      <c r="R1529" s="202" t="s">
        <v>977</v>
      </c>
      <c r="S1529" s="197" t="s">
        <v>101</v>
      </c>
      <c r="T1529" s="197" t="s">
        <v>5187</v>
      </c>
      <c r="U1529" s="201">
        <v>42173</v>
      </c>
      <c r="V1529" s="202" t="s">
        <v>186</v>
      </c>
      <c r="W1529" s="204">
        <f t="shared" si="722"/>
        <v>0</v>
      </c>
      <c r="X1529" s="204" t="str">
        <f t="shared" si="723"/>
        <v>Correcto</v>
      </c>
    </row>
    <row r="1530" spans="1:24" ht="18" customHeight="1" x14ac:dyDescent="0.25">
      <c r="A1530" s="205">
        <v>1521</v>
      </c>
      <c r="B1530" s="197" t="s">
        <v>5191</v>
      </c>
      <c r="C1530" s="198">
        <v>42152</v>
      </c>
      <c r="D1530" s="199">
        <v>2</v>
      </c>
      <c r="E1530" s="200" t="s">
        <v>93</v>
      </c>
      <c r="F1530" s="197" t="s">
        <v>1654</v>
      </c>
      <c r="G1530" s="200" t="s">
        <v>202</v>
      </c>
      <c r="H1530" s="201">
        <v>42153</v>
      </c>
      <c r="I1530" s="200" t="s">
        <v>187</v>
      </c>
      <c r="J1530" s="200" t="s">
        <v>103</v>
      </c>
      <c r="K1530" s="200" t="s">
        <v>5192</v>
      </c>
      <c r="L1530" s="201">
        <v>42153</v>
      </c>
      <c r="M1530" s="197" t="s">
        <v>1914</v>
      </c>
      <c r="N1530" s="202" t="s">
        <v>185</v>
      </c>
      <c r="O1530" s="201">
        <v>42153</v>
      </c>
      <c r="P1530" s="203">
        <f t="shared" si="721"/>
        <v>1</v>
      </c>
      <c r="Q1530" s="200" t="s">
        <v>5192</v>
      </c>
      <c r="R1530" s="202" t="s">
        <v>17</v>
      </c>
      <c r="S1530" s="197" t="s">
        <v>104</v>
      </c>
      <c r="T1530" s="197">
        <v>704631696</v>
      </c>
      <c r="U1530" s="201">
        <v>42153</v>
      </c>
      <c r="V1530" s="202" t="s">
        <v>186</v>
      </c>
      <c r="W1530" s="204">
        <f t="shared" si="722"/>
        <v>0</v>
      </c>
      <c r="X1530" s="204" t="str">
        <f t="shared" si="723"/>
        <v>Correcto</v>
      </c>
    </row>
    <row r="1531" spans="1:24" ht="18" customHeight="1" x14ac:dyDescent="0.25">
      <c r="A1531" s="205">
        <v>1522</v>
      </c>
      <c r="B1531" s="197" t="s">
        <v>5193</v>
      </c>
      <c r="C1531" s="198">
        <v>42152</v>
      </c>
      <c r="D1531" s="199">
        <v>2</v>
      </c>
      <c r="E1531" s="200" t="s">
        <v>93</v>
      </c>
      <c r="F1531" s="197" t="s">
        <v>1654</v>
      </c>
      <c r="G1531" s="200" t="s">
        <v>202</v>
      </c>
      <c r="H1531" s="201">
        <v>42153</v>
      </c>
      <c r="I1531" s="200" t="s">
        <v>187</v>
      </c>
      <c r="J1531" s="200" t="s">
        <v>103</v>
      </c>
      <c r="K1531" s="200" t="s">
        <v>5194</v>
      </c>
      <c r="L1531" s="201">
        <v>42153</v>
      </c>
      <c r="M1531" s="197" t="s">
        <v>1914</v>
      </c>
      <c r="N1531" s="202" t="s">
        <v>185</v>
      </c>
      <c r="O1531" s="201">
        <v>42153</v>
      </c>
      <c r="P1531" s="203">
        <f t="shared" si="721"/>
        <v>1</v>
      </c>
      <c r="Q1531" s="200" t="s">
        <v>5195</v>
      </c>
      <c r="R1531" s="202" t="s">
        <v>17</v>
      </c>
      <c r="S1531" s="197" t="s">
        <v>101</v>
      </c>
      <c r="T1531" s="197" t="s">
        <v>101</v>
      </c>
      <c r="U1531" s="201">
        <v>42157</v>
      </c>
      <c r="V1531" s="202" t="s">
        <v>186</v>
      </c>
      <c r="W1531" s="204">
        <f t="shared" si="722"/>
        <v>0</v>
      </c>
      <c r="X1531" s="204" t="str">
        <f t="shared" si="723"/>
        <v>Correcto</v>
      </c>
    </row>
    <row r="1532" spans="1:24" ht="18" customHeight="1" x14ac:dyDescent="0.25">
      <c r="A1532" s="205">
        <v>1523</v>
      </c>
      <c r="B1532" s="197" t="s">
        <v>5196</v>
      </c>
      <c r="C1532" s="198">
        <v>42152</v>
      </c>
      <c r="D1532" s="199">
        <v>2</v>
      </c>
      <c r="E1532" s="200" t="s">
        <v>93</v>
      </c>
      <c r="F1532" s="197" t="s">
        <v>1654</v>
      </c>
      <c r="G1532" s="200" t="s">
        <v>202</v>
      </c>
      <c r="H1532" s="201">
        <v>42153</v>
      </c>
      <c r="I1532" s="200" t="s">
        <v>187</v>
      </c>
      <c r="J1532" s="200" t="s">
        <v>103</v>
      </c>
      <c r="K1532" s="200" t="s">
        <v>5197</v>
      </c>
      <c r="L1532" s="201">
        <v>42153</v>
      </c>
      <c r="M1532" s="197" t="s">
        <v>1914</v>
      </c>
      <c r="N1532" s="202" t="s">
        <v>185</v>
      </c>
      <c r="O1532" s="201">
        <v>42153</v>
      </c>
      <c r="P1532" s="203">
        <f t="shared" si="721"/>
        <v>1</v>
      </c>
      <c r="Q1532" s="200" t="s">
        <v>5198</v>
      </c>
      <c r="R1532" s="202" t="s">
        <v>17</v>
      </c>
      <c r="S1532" s="197" t="s">
        <v>101</v>
      </c>
      <c r="T1532" s="197" t="s">
        <v>101</v>
      </c>
      <c r="U1532" s="201">
        <v>42157</v>
      </c>
      <c r="V1532" s="202" t="s">
        <v>186</v>
      </c>
      <c r="W1532" s="204">
        <f t="shared" si="722"/>
        <v>0</v>
      </c>
      <c r="X1532" s="204" t="str">
        <f t="shared" si="723"/>
        <v>Correcto</v>
      </c>
    </row>
    <row r="1533" spans="1:24" ht="18" customHeight="1" x14ac:dyDescent="0.25">
      <c r="A1533" s="205">
        <v>1524</v>
      </c>
      <c r="B1533" s="197" t="s">
        <v>5199</v>
      </c>
      <c r="C1533" s="198">
        <v>42152</v>
      </c>
      <c r="D1533" s="199">
        <v>2</v>
      </c>
      <c r="E1533" s="200" t="s">
        <v>93</v>
      </c>
      <c r="F1533" s="197" t="s">
        <v>1654</v>
      </c>
      <c r="G1533" s="200" t="s">
        <v>202</v>
      </c>
      <c r="H1533" s="201">
        <v>42153</v>
      </c>
      <c r="I1533" s="200" t="s">
        <v>187</v>
      </c>
      <c r="J1533" s="200" t="s">
        <v>103</v>
      </c>
      <c r="K1533" s="200" t="s">
        <v>5200</v>
      </c>
      <c r="L1533" s="201">
        <v>42153</v>
      </c>
      <c r="M1533" s="197" t="s">
        <v>1914</v>
      </c>
      <c r="N1533" s="202" t="s">
        <v>185</v>
      </c>
      <c r="O1533" s="201">
        <v>42153</v>
      </c>
      <c r="P1533" s="203">
        <f t="shared" si="721"/>
        <v>1</v>
      </c>
      <c r="Q1533" s="200" t="s">
        <v>5200</v>
      </c>
      <c r="R1533" s="202" t="s">
        <v>17</v>
      </c>
      <c r="S1533" s="197" t="s">
        <v>104</v>
      </c>
      <c r="T1533" s="197">
        <v>1103002604</v>
      </c>
      <c r="U1533" s="201">
        <v>42153</v>
      </c>
      <c r="V1533" s="202" t="s">
        <v>186</v>
      </c>
      <c r="W1533" s="204">
        <f t="shared" si="722"/>
        <v>0</v>
      </c>
      <c r="X1533" s="204" t="str">
        <f t="shared" si="723"/>
        <v>Correcto</v>
      </c>
    </row>
    <row r="1534" spans="1:24" ht="18" customHeight="1" x14ac:dyDescent="0.25">
      <c r="A1534" s="205">
        <v>1525</v>
      </c>
      <c r="B1534" s="197" t="s">
        <v>5201</v>
      </c>
      <c r="C1534" s="198">
        <v>42153</v>
      </c>
      <c r="D1534" s="199">
        <v>2</v>
      </c>
      <c r="E1534" s="200" t="s">
        <v>93</v>
      </c>
      <c r="F1534" s="197" t="s">
        <v>1654</v>
      </c>
      <c r="G1534" s="200" t="s">
        <v>202</v>
      </c>
      <c r="H1534" s="201">
        <v>42156</v>
      </c>
      <c r="I1534" s="200" t="s">
        <v>187</v>
      </c>
      <c r="J1534" s="200" t="s">
        <v>103</v>
      </c>
      <c r="K1534" s="200" t="s">
        <v>5202</v>
      </c>
      <c r="L1534" s="201">
        <v>42156</v>
      </c>
      <c r="M1534" s="197" t="s">
        <v>1914</v>
      </c>
      <c r="N1534" s="202" t="s">
        <v>185</v>
      </c>
      <c r="O1534" s="201">
        <v>42156</v>
      </c>
      <c r="P1534" s="203">
        <f t="shared" si="721"/>
        <v>3</v>
      </c>
      <c r="Q1534" s="200" t="s">
        <v>5202</v>
      </c>
      <c r="R1534" s="202" t="s">
        <v>17</v>
      </c>
      <c r="S1534" s="197" t="s">
        <v>104</v>
      </c>
      <c r="T1534" s="197">
        <v>1400588347</v>
      </c>
      <c r="U1534" s="201">
        <v>42156</v>
      </c>
      <c r="V1534" s="202" t="s">
        <v>186</v>
      </c>
      <c r="W1534" s="204">
        <f t="shared" si="722"/>
        <v>0</v>
      </c>
      <c r="X1534" s="204" t="str">
        <f t="shared" si="723"/>
        <v>Correcto</v>
      </c>
    </row>
    <row r="1535" spans="1:24" ht="18" customHeight="1" x14ac:dyDescent="0.25">
      <c r="A1535" s="205">
        <v>1526</v>
      </c>
      <c r="B1535" s="197" t="s">
        <v>5203</v>
      </c>
      <c r="C1535" s="198">
        <v>42153</v>
      </c>
      <c r="D1535" s="199">
        <v>2</v>
      </c>
      <c r="E1535" s="200" t="s">
        <v>93</v>
      </c>
      <c r="F1535" s="197" t="s">
        <v>1654</v>
      </c>
      <c r="G1535" s="200" t="s">
        <v>202</v>
      </c>
      <c r="H1535" s="201">
        <v>42157</v>
      </c>
      <c r="I1535" s="200" t="s">
        <v>187</v>
      </c>
      <c r="J1535" s="200" t="s">
        <v>103</v>
      </c>
      <c r="K1535" s="200" t="s">
        <v>5204</v>
      </c>
      <c r="L1535" s="201">
        <v>42157</v>
      </c>
      <c r="M1535" s="197" t="s">
        <v>1914</v>
      </c>
      <c r="N1535" s="202" t="s">
        <v>185</v>
      </c>
      <c r="O1535" s="201">
        <v>42157</v>
      </c>
      <c r="P1535" s="203">
        <f t="shared" si="721"/>
        <v>4</v>
      </c>
      <c r="Q1535" s="200" t="s">
        <v>5205</v>
      </c>
      <c r="R1535" s="202" t="s">
        <v>17</v>
      </c>
      <c r="S1535" s="197" t="s">
        <v>101</v>
      </c>
      <c r="T1535" s="197" t="s">
        <v>101</v>
      </c>
      <c r="U1535" s="201">
        <v>42157</v>
      </c>
      <c r="V1535" s="202" t="s">
        <v>186</v>
      </c>
      <c r="W1535" s="204">
        <f t="shared" si="722"/>
        <v>0</v>
      </c>
      <c r="X1535" s="204" t="str">
        <f t="shared" si="723"/>
        <v>Correcto</v>
      </c>
    </row>
    <row r="1536" spans="1:24" ht="18" customHeight="1" x14ac:dyDescent="0.25">
      <c r="A1536" s="205">
        <v>1527</v>
      </c>
      <c r="B1536" s="197" t="s">
        <v>5206</v>
      </c>
      <c r="C1536" s="198">
        <v>42153</v>
      </c>
      <c r="D1536" s="199">
        <v>2</v>
      </c>
      <c r="E1536" s="200" t="s">
        <v>93</v>
      </c>
      <c r="F1536" s="197" t="s">
        <v>1654</v>
      </c>
      <c r="G1536" s="200" t="s">
        <v>202</v>
      </c>
      <c r="H1536" s="201">
        <v>42157</v>
      </c>
      <c r="I1536" s="200" t="s">
        <v>187</v>
      </c>
      <c r="J1536" s="200" t="s">
        <v>103</v>
      </c>
      <c r="K1536" s="200" t="s">
        <v>5207</v>
      </c>
      <c r="L1536" s="201">
        <v>42157</v>
      </c>
      <c r="M1536" s="197" t="s">
        <v>1914</v>
      </c>
      <c r="N1536" s="202" t="s">
        <v>185</v>
      </c>
      <c r="O1536" s="201">
        <v>42158</v>
      </c>
      <c r="P1536" s="203">
        <f t="shared" si="721"/>
        <v>5</v>
      </c>
      <c r="Q1536" s="200" t="s">
        <v>5208</v>
      </c>
      <c r="R1536" s="202" t="s">
        <v>501</v>
      </c>
      <c r="S1536" s="197" t="s">
        <v>101</v>
      </c>
      <c r="T1536" s="197" t="s">
        <v>5209</v>
      </c>
      <c r="U1536" s="201">
        <v>42158</v>
      </c>
      <c r="V1536" s="202" t="s">
        <v>186</v>
      </c>
      <c r="W1536" s="204">
        <f t="shared" si="722"/>
        <v>0</v>
      </c>
      <c r="X1536" s="204" t="str">
        <f t="shared" si="723"/>
        <v>Correcto</v>
      </c>
    </row>
    <row r="1537" spans="1:24" ht="18" customHeight="1" x14ac:dyDescent="0.25">
      <c r="A1537" s="205">
        <v>1528</v>
      </c>
      <c r="B1537" s="197" t="s">
        <v>5210</v>
      </c>
      <c r="C1537" s="198">
        <v>42153</v>
      </c>
      <c r="D1537" s="199">
        <v>2</v>
      </c>
      <c r="E1537" s="200" t="s">
        <v>93</v>
      </c>
      <c r="F1537" s="197" t="s">
        <v>1654</v>
      </c>
      <c r="G1537" s="200" t="s">
        <v>202</v>
      </c>
      <c r="H1537" s="201">
        <v>42153</v>
      </c>
      <c r="I1537" s="200" t="s">
        <v>187</v>
      </c>
      <c r="J1537" s="200" t="s">
        <v>103</v>
      </c>
      <c r="K1537" s="200" t="s">
        <v>5211</v>
      </c>
      <c r="L1537" s="201">
        <v>42153</v>
      </c>
      <c r="M1537" s="197" t="s">
        <v>1914</v>
      </c>
      <c r="N1537" s="202" t="s">
        <v>185</v>
      </c>
      <c r="O1537" s="201">
        <v>42153</v>
      </c>
      <c r="P1537" s="203">
        <f t="shared" si="721"/>
        <v>0</v>
      </c>
      <c r="Q1537" s="200" t="s">
        <v>5211</v>
      </c>
      <c r="R1537" s="202" t="s">
        <v>17</v>
      </c>
      <c r="S1537" s="197" t="s">
        <v>104</v>
      </c>
      <c r="T1537" s="197">
        <v>1104293400</v>
      </c>
      <c r="U1537" s="201">
        <v>42153</v>
      </c>
      <c r="V1537" s="202" t="s">
        <v>186</v>
      </c>
      <c r="W1537" s="204">
        <f t="shared" si="722"/>
        <v>0</v>
      </c>
      <c r="X1537" s="204" t="str">
        <f t="shared" si="723"/>
        <v>Correcto</v>
      </c>
    </row>
    <row r="1538" spans="1:24" ht="18" customHeight="1" x14ac:dyDescent="0.25">
      <c r="A1538" s="205">
        <v>1529</v>
      </c>
      <c r="B1538" s="197" t="s">
        <v>5212</v>
      </c>
      <c r="C1538" s="198">
        <v>42153</v>
      </c>
      <c r="D1538" s="199">
        <v>2</v>
      </c>
      <c r="E1538" s="200" t="s">
        <v>93</v>
      </c>
      <c r="F1538" s="197" t="s">
        <v>1654</v>
      </c>
      <c r="G1538" s="200" t="s">
        <v>202</v>
      </c>
      <c r="H1538" s="201">
        <v>42157</v>
      </c>
      <c r="I1538" s="200" t="s">
        <v>187</v>
      </c>
      <c r="J1538" s="200" t="s">
        <v>103</v>
      </c>
      <c r="K1538" s="200" t="s">
        <v>5213</v>
      </c>
      <c r="L1538" s="201">
        <v>42157</v>
      </c>
      <c r="M1538" s="197" t="s">
        <v>1914</v>
      </c>
      <c r="N1538" s="202" t="s">
        <v>185</v>
      </c>
      <c r="O1538" s="201">
        <v>42158</v>
      </c>
      <c r="P1538" s="203">
        <f t="shared" si="721"/>
        <v>5</v>
      </c>
      <c r="Q1538" s="200" t="s">
        <v>5214</v>
      </c>
      <c r="R1538" s="202" t="s">
        <v>501</v>
      </c>
      <c r="S1538" s="197" t="s">
        <v>101</v>
      </c>
      <c r="T1538" s="197" t="s">
        <v>5209</v>
      </c>
      <c r="U1538" s="201">
        <v>42158</v>
      </c>
      <c r="V1538" s="202" t="s">
        <v>186</v>
      </c>
      <c r="W1538" s="204">
        <f t="shared" si="722"/>
        <v>0</v>
      </c>
      <c r="X1538" s="204" t="str">
        <f t="shared" si="723"/>
        <v>Correcto</v>
      </c>
    </row>
    <row r="1539" spans="1:24" ht="18" customHeight="1" x14ac:dyDescent="0.25">
      <c r="A1539" s="205">
        <v>1530</v>
      </c>
      <c r="B1539" s="197" t="s">
        <v>5215</v>
      </c>
      <c r="C1539" s="198">
        <v>42153</v>
      </c>
      <c r="D1539" s="199">
        <v>2</v>
      </c>
      <c r="E1539" s="200" t="s">
        <v>93</v>
      </c>
      <c r="F1539" s="197" t="s">
        <v>1654</v>
      </c>
      <c r="G1539" s="200" t="s">
        <v>202</v>
      </c>
      <c r="H1539" s="201">
        <v>42157</v>
      </c>
      <c r="I1539" s="200" t="s">
        <v>187</v>
      </c>
      <c r="J1539" s="200" t="s">
        <v>103</v>
      </c>
      <c r="K1539" s="200" t="s">
        <v>5216</v>
      </c>
      <c r="L1539" s="201">
        <v>42157</v>
      </c>
      <c r="M1539" s="197" t="s">
        <v>1914</v>
      </c>
      <c r="N1539" s="202" t="s">
        <v>185</v>
      </c>
      <c r="O1539" s="201">
        <v>42158</v>
      </c>
      <c r="P1539" s="203">
        <f t="shared" si="721"/>
        <v>5</v>
      </c>
      <c r="Q1539" s="200" t="s">
        <v>5217</v>
      </c>
      <c r="R1539" s="202" t="s">
        <v>17</v>
      </c>
      <c r="S1539" s="197" t="s">
        <v>101</v>
      </c>
      <c r="T1539" s="197" t="s">
        <v>101</v>
      </c>
      <c r="U1539" s="201">
        <v>42160</v>
      </c>
      <c r="V1539" s="202" t="s">
        <v>186</v>
      </c>
      <c r="W1539" s="204">
        <f t="shared" si="722"/>
        <v>0</v>
      </c>
      <c r="X1539" s="204" t="str">
        <f t="shared" si="723"/>
        <v>Correcto</v>
      </c>
    </row>
    <row r="1540" spans="1:24" ht="18" customHeight="1" x14ac:dyDescent="0.25">
      <c r="A1540" s="205">
        <v>1531</v>
      </c>
      <c r="B1540" s="197" t="s">
        <v>5218</v>
      </c>
      <c r="C1540" s="198">
        <v>42153</v>
      </c>
      <c r="D1540" s="199">
        <v>2</v>
      </c>
      <c r="E1540" s="200" t="s">
        <v>93</v>
      </c>
      <c r="F1540" s="197" t="s">
        <v>1654</v>
      </c>
      <c r="G1540" s="200" t="s">
        <v>202</v>
      </c>
      <c r="H1540" s="201">
        <v>42157</v>
      </c>
      <c r="I1540" s="200" t="s">
        <v>187</v>
      </c>
      <c r="J1540" s="200" t="s">
        <v>103</v>
      </c>
      <c r="K1540" s="200" t="s">
        <v>5219</v>
      </c>
      <c r="L1540" s="201">
        <v>42157</v>
      </c>
      <c r="M1540" s="197" t="s">
        <v>1914</v>
      </c>
      <c r="N1540" s="202" t="s">
        <v>185</v>
      </c>
      <c r="O1540" s="201">
        <v>42158</v>
      </c>
      <c r="P1540" s="203">
        <f t="shared" si="721"/>
        <v>5</v>
      </c>
      <c r="Q1540" s="200" t="s">
        <v>5220</v>
      </c>
      <c r="R1540" s="202" t="s">
        <v>17</v>
      </c>
      <c r="S1540" s="197" t="s">
        <v>101</v>
      </c>
      <c r="T1540" s="197" t="s">
        <v>101</v>
      </c>
      <c r="U1540" s="201">
        <v>42160</v>
      </c>
      <c r="V1540" s="202" t="s">
        <v>186</v>
      </c>
      <c r="W1540" s="204">
        <f t="shared" si="722"/>
        <v>0</v>
      </c>
      <c r="X1540" s="204" t="str">
        <f t="shared" si="723"/>
        <v>Correcto</v>
      </c>
    </row>
    <row r="1541" spans="1:24" ht="18" customHeight="1" x14ac:dyDescent="0.25">
      <c r="A1541" s="205">
        <v>1532</v>
      </c>
      <c r="B1541" s="197" t="s">
        <v>5221</v>
      </c>
      <c r="C1541" s="198">
        <v>42153</v>
      </c>
      <c r="D1541" s="199">
        <v>2</v>
      </c>
      <c r="E1541" s="200" t="s">
        <v>93</v>
      </c>
      <c r="F1541" s="197" t="s">
        <v>1654</v>
      </c>
      <c r="G1541" s="200" t="s">
        <v>202</v>
      </c>
      <c r="H1541" s="201">
        <v>42157</v>
      </c>
      <c r="I1541" s="200" t="s">
        <v>187</v>
      </c>
      <c r="J1541" s="200" t="s">
        <v>103</v>
      </c>
      <c r="K1541" s="200" t="s">
        <v>5222</v>
      </c>
      <c r="L1541" s="201">
        <v>42157</v>
      </c>
      <c r="M1541" s="197" t="s">
        <v>1914</v>
      </c>
      <c r="N1541" s="202" t="s">
        <v>185</v>
      </c>
      <c r="O1541" s="201">
        <v>42158</v>
      </c>
      <c r="P1541" s="203">
        <f t="shared" si="721"/>
        <v>5</v>
      </c>
      <c r="Q1541" s="200" t="s">
        <v>5223</v>
      </c>
      <c r="R1541" s="202" t="s">
        <v>17</v>
      </c>
      <c r="S1541" s="197" t="s">
        <v>101</v>
      </c>
      <c r="T1541" s="197" t="s">
        <v>101</v>
      </c>
      <c r="U1541" s="201">
        <v>42160</v>
      </c>
      <c r="V1541" s="202" t="s">
        <v>186</v>
      </c>
      <c r="W1541" s="204">
        <f t="shared" si="722"/>
        <v>0</v>
      </c>
      <c r="X1541" s="204" t="str">
        <f t="shared" si="723"/>
        <v>Correcto</v>
      </c>
    </row>
    <row r="1542" spans="1:24" ht="18" customHeight="1" x14ac:dyDescent="0.25">
      <c r="A1542" s="205">
        <v>1533</v>
      </c>
      <c r="B1542" s="197" t="s">
        <v>5224</v>
      </c>
      <c r="C1542" s="198">
        <v>42153</v>
      </c>
      <c r="D1542" s="199">
        <v>2</v>
      </c>
      <c r="E1542" s="200" t="s">
        <v>93</v>
      </c>
      <c r="F1542" s="197" t="s">
        <v>1654</v>
      </c>
      <c r="G1542" s="200" t="s">
        <v>202</v>
      </c>
      <c r="H1542" s="201">
        <v>42157</v>
      </c>
      <c r="I1542" s="200" t="s">
        <v>187</v>
      </c>
      <c r="J1542" s="200" t="s">
        <v>103</v>
      </c>
      <c r="K1542" s="200" t="s">
        <v>5225</v>
      </c>
      <c r="L1542" s="201">
        <v>42157</v>
      </c>
      <c r="M1542" s="197" t="s">
        <v>1914</v>
      </c>
      <c r="N1542" s="202" t="s">
        <v>185</v>
      </c>
      <c r="O1542" s="201">
        <v>42157</v>
      </c>
      <c r="P1542" s="203">
        <f t="shared" si="721"/>
        <v>4</v>
      </c>
      <c r="Q1542" s="200" t="s">
        <v>5225</v>
      </c>
      <c r="R1542" s="202" t="s">
        <v>17</v>
      </c>
      <c r="S1542" s="197" t="s">
        <v>104</v>
      </c>
      <c r="T1542" s="197">
        <v>1105193401</v>
      </c>
      <c r="U1542" s="201">
        <v>42157</v>
      </c>
      <c r="V1542" s="202" t="s">
        <v>186</v>
      </c>
      <c r="W1542" s="204">
        <f t="shared" si="722"/>
        <v>0</v>
      </c>
      <c r="X1542" s="204" t="str">
        <f t="shared" si="723"/>
        <v>Correcto</v>
      </c>
    </row>
    <row r="1543" spans="1:24" ht="18" customHeight="1" x14ac:dyDescent="0.25">
      <c r="A1543" s="205">
        <v>1534</v>
      </c>
      <c r="B1543" s="197" t="s">
        <v>5226</v>
      </c>
      <c r="C1543" s="198">
        <v>42153</v>
      </c>
      <c r="D1543" s="199">
        <v>2</v>
      </c>
      <c r="E1543" s="200" t="s">
        <v>93</v>
      </c>
      <c r="F1543" s="197" t="s">
        <v>1654</v>
      </c>
      <c r="G1543" s="200" t="s">
        <v>202</v>
      </c>
      <c r="H1543" s="201">
        <v>42157</v>
      </c>
      <c r="I1543" s="200" t="s">
        <v>187</v>
      </c>
      <c r="J1543" s="200" t="s">
        <v>103</v>
      </c>
      <c r="K1543" s="200" t="s">
        <v>5227</v>
      </c>
      <c r="L1543" s="201">
        <v>42157</v>
      </c>
      <c r="M1543" s="197" t="s">
        <v>1914</v>
      </c>
      <c r="N1543" s="202" t="s">
        <v>185</v>
      </c>
      <c r="O1543" s="201">
        <v>42157</v>
      </c>
      <c r="P1543" s="203">
        <f t="shared" si="721"/>
        <v>4</v>
      </c>
      <c r="Q1543" s="200" t="s">
        <v>5227</v>
      </c>
      <c r="R1543" s="202" t="s">
        <v>17</v>
      </c>
      <c r="S1543" s="197" t="s">
        <v>104</v>
      </c>
      <c r="T1543" s="197">
        <v>1150177390</v>
      </c>
      <c r="U1543" s="201">
        <v>42157</v>
      </c>
      <c r="V1543" s="202" t="s">
        <v>186</v>
      </c>
      <c r="W1543" s="204">
        <f t="shared" si="722"/>
        <v>0</v>
      </c>
      <c r="X1543" s="204" t="str">
        <f t="shared" si="723"/>
        <v>Correcto</v>
      </c>
    </row>
    <row r="1544" spans="1:24" ht="18" customHeight="1" x14ac:dyDescent="0.25">
      <c r="A1544" s="205">
        <v>1535</v>
      </c>
      <c r="B1544" s="197" t="s">
        <v>5228</v>
      </c>
      <c r="C1544" s="198">
        <v>42153</v>
      </c>
      <c r="D1544" s="199">
        <v>51</v>
      </c>
      <c r="E1544" s="200" t="s">
        <v>93</v>
      </c>
      <c r="F1544" s="197" t="s">
        <v>1654</v>
      </c>
      <c r="G1544" s="200" t="s">
        <v>202</v>
      </c>
      <c r="H1544" s="201">
        <v>42160</v>
      </c>
      <c r="I1544" s="200" t="s">
        <v>187</v>
      </c>
      <c r="J1544" s="200" t="s">
        <v>103</v>
      </c>
      <c r="K1544" s="200" t="s">
        <v>5229</v>
      </c>
      <c r="L1544" s="201">
        <v>42160</v>
      </c>
      <c r="M1544" s="197" t="s">
        <v>1914</v>
      </c>
      <c r="N1544" s="202" t="s">
        <v>185</v>
      </c>
      <c r="O1544" s="201">
        <v>42160</v>
      </c>
      <c r="P1544" s="203">
        <f t="shared" si="721"/>
        <v>7</v>
      </c>
      <c r="Q1544" s="200" t="s">
        <v>5229</v>
      </c>
      <c r="R1544" s="202" t="s">
        <v>17</v>
      </c>
      <c r="S1544" s="197" t="s">
        <v>104</v>
      </c>
      <c r="T1544" s="197">
        <v>1103927149</v>
      </c>
      <c r="U1544" s="201">
        <v>42160</v>
      </c>
      <c r="V1544" s="202" t="s">
        <v>186</v>
      </c>
      <c r="W1544" s="204">
        <f t="shared" si="722"/>
        <v>0</v>
      </c>
      <c r="X1544" s="204" t="str">
        <f t="shared" si="723"/>
        <v>Correcto</v>
      </c>
    </row>
    <row r="1545" spans="1:24" ht="18" customHeight="1" x14ac:dyDescent="0.25">
      <c r="A1545" s="205">
        <v>1536</v>
      </c>
      <c r="B1545" s="197" t="s">
        <v>5230</v>
      </c>
      <c r="C1545" s="198">
        <v>42153</v>
      </c>
      <c r="D1545" s="199">
        <v>2</v>
      </c>
      <c r="E1545" s="200" t="s">
        <v>93</v>
      </c>
      <c r="F1545" s="197" t="s">
        <v>1654</v>
      </c>
      <c r="G1545" s="200" t="s">
        <v>202</v>
      </c>
      <c r="H1545" s="201">
        <v>42157</v>
      </c>
      <c r="I1545" s="200" t="s">
        <v>187</v>
      </c>
      <c r="J1545" s="200" t="s">
        <v>103</v>
      </c>
      <c r="K1545" s="200" t="s">
        <v>5231</v>
      </c>
      <c r="L1545" s="201">
        <v>42157</v>
      </c>
      <c r="M1545" s="197" t="s">
        <v>1914</v>
      </c>
      <c r="N1545" s="202" t="s">
        <v>185</v>
      </c>
      <c r="O1545" s="201"/>
      <c r="P1545" s="203">
        <f t="shared" si="721"/>
        <v>-42153</v>
      </c>
      <c r="Q1545" s="200"/>
      <c r="R1545" s="202" t="s">
        <v>17</v>
      </c>
      <c r="S1545" s="197" t="s">
        <v>101</v>
      </c>
      <c r="T1545" s="197" t="s">
        <v>101</v>
      </c>
      <c r="U1545" s="201">
        <v>42160</v>
      </c>
      <c r="V1545" s="202" t="s">
        <v>186</v>
      </c>
      <c r="W1545" s="204">
        <f t="shared" si="722"/>
        <v>2</v>
      </c>
      <c r="X1545" s="204" t="str">
        <f t="shared" si="723"/>
        <v>Incorrecto</v>
      </c>
    </row>
    <row r="1546" spans="1:24" ht="18" customHeight="1" x14ac:dyDescent="0.25">
      <c r="A1546" s="214">
        <v>1537</v>
      </c>
      <c r="B1546" s="206" t="s">
        <v>5235</v>
      </c>
      <c r="C1546" s="207">
        <v>42186</v>
      </c>
      <c r="D1546" s="208">
        <v>2</v>
      </c>
      <c r="E1546" s="209" t="s">
        <v>93</v>
      </c>
      <c r="F1546" s="206" t="s">
        <v>1654</v>
      </c>
      <c r="G1546" s="209" t="s">
        <v>202</v>
      </c>
      <c r="H1546" s="210">
        <v>42188</v>
      </c>
      <c r="I1546" s="209" t="s">
        <v>187</v>
      </c>
      <c r="J1546" s="209" t="s">
        <v>103</v>
      </c>
      <c r="K1546" s="209" t="s">
        <v>5236</v>
      </c>
      <c r="L1546" s="210">
        <v>42188</v>
      </c>
      <c r="M1546" s="206" t="s">
        <v>1914</v>
      </c>
      <c r="N1546" s="211" t="s">
        <v>185</v>
      </c>
      <c r="O1546" s="210">
        <v>42188</v>
      </c>
      <c r="P1546" s="212">
        <f t="shared" si="721"/>
        <v>2</v>
      </c>
      <c r="Q1546" s="209" t="s">
        <v>5236</v>
      </c>
      <c r="R1546" s="211" t="s">
        <v>17</v>
      </c>
      <c r="S1546" s="206" t="s">
        <v>5237</v>
      </c>
      <c r="T1546" s="206">
        <v>1101791331</v>
      </c>
      <c r="U1546" s="210">
        <v>42188</v>
      </c>
      <c r="V1546" s="211" t="s">
        <v>186</v>
      </c>
      <c r="W1546" s="213">
        <f t="shared" si="722"/>
        <v>0</v>
      </c>
      <c r="X1546" s="213" t="str">
        <f t="shared" si="723"/>
        <v>Correcto</v>
      </c>
    </row>
    <row r="1547" spans="1:24" ht="18" customHeight="1" x14ac:dyDescent="0.25">
      <c r="A1547" s="214">
        <v>1538</v>
      </c>
      <c r="B1547" s="206" t="s">
        <v>5238</v>
      </c>
      <c r="C1547" s="207">
        <v>42186</v>
      </c>
      <c r="D1547" s="208">
        <v>2</v>
      </c>
      <c r="E1547" s="209" t="s">
        <v>93</v>
      </c>
      <c r="F1547" s="206" t="s">
        <v>1654</v>
      </c>
      <c r="G1547" s="209" t="s">
        <v>202</v>
      </c>
      <c r="H1547" s="210">
        <v>42188</v>
      </c>
      <c r="I1547" s="209" t="s">
        <v>187</v>
      </c>
      <c r="J1547" s="209" t="s">
        <v>103</v>
      </c>
      <c r="K1547" s="209" t="s">
        <v>5239</v>
      </c>
      <c r="L1547" s="210">
        <v>42188</v>
      </c>
      <c r="M1547" s="206" t="s">
        <v>1914</v>
      </c>
      <c r="N1547" s="211" t="s">
        <v>185</v>
      </c>
      <c r="O1547" s="210">
        <v>42188</v>
      </c>
      <c r="P1547" s="212">
        <f t="shared" si="721"/>
        <v>2</v>
      </c>
      <c r="Q1547" s="209" t="s">
        <v>5239</v>
      </c>
      <c r="R1547" s="211" t="s">
        <v>17</v>
      </c>
      <c r="S1547" s="206" t="s">
        <v>5240</v>
      </c>
      <c r="T1547" s="206">
        <v>705976694</v>
      </c>
      <c r="U1547" s="210">
        <v>42188</v>
      </c>
      <c r="V1547" s="211" t="s">
        <v>186</v>
      </c>
      <c r="W1547" s="213">
        <f t="shared" si="722"/>
        <v>0</v>
      </c>
      <c r="X1547" s="213" t="str">
        <f t="shared" si="723"/>
        <v>Correcto</v>
      </c>
    </row>
    <row r="1548" spans="1:24" ht="18" customHeight="1" x14ac:dyDescent="0.25">
      <c r="A1548" s="214">
        <v>1539</v>
      </c>
      <c r="B1548" s="206" t="s">
        <v>5241</v>
      </c>
      <c r="C1548" s="207">
        <v>42186</v>
      </c>
      <c r="D1548" s="208">
        <v>3</v>
      </c>
      <c r="E1548" s="209" t="s">
        <v>93</v>
      </c>
      <c r="F1548" s="206" t="s">
        <v>1654</v>
      </c>
      <c r="G1548" s="209" t="s">
        <v>202</v>
      </c>
      <c r="H1548" s="210">
        <v>42188</v>
      </c>
      <c r="I1548" s="209" t="s">
        <v>187</v>
      </c>
      <c r="J1548" s="209" t="s">
        <v>103</v>
      </c>
      <c r="K1548" s="209" t="s">
        <v>5242</v>
      </c>
      <c r="L1548" s="210">
        <v>42188</v>
      </c>
      <c r="M1548" s="206" t="s">
        <v>1914</v>
      </c>
      <c r="N1548" s="211" t="s">
        <v>185</v>
      </c>
      <c r="O1548" s="210">
        <v>42188</v>
      </c>
      <c r="P1548" s="212">
        <f t="shared" si="721"/>
        <v>2</v>
      </c>
      <c r="Q1548" s="209" t="s">
        <v>5242</v>
      </c>
      <c r="R1548" s="211" t="s">
        <v>17</v>
      </c>
      <c r="S1548" s="206" t="s">
        <v>5243</v>
      </c>
      <c r="T1548" s="206">
        <v>1102082805</v>
      </c>
      <c r="U1548" s="210">
        <v>42188</v>
      </c>
      <c r="V1548" s="211" t="s">
        <v>186</v>
      </c>
      <c r="W1548" s="213">
        <f t="shared" si="722"/>
        <v>0</v>
      </c>
      <c r="X1548" s="213" t="str">
        <f t="shared" si="723"/>
        <v>Correcto</v>
      </c>
    </row>
    <row r="1549" spans="1:24" ht="18" customHeight="1" x14ac:dyDescent="0.25">
      <c r="A1549" s="214">
        <v>1540</v>
      </c>
      <c r="B1549" s="206" t="s">
        <v>5244</v>
      </c>
      <c r="C1549" s="207">
        <v>42186</v>
      </c>
      <c r="D1549" s="208">
        <v>4</v>
      </c>
      <c r="E1549" s="209" t="s">
        <v>93</v>
      </c>
      <c r="F1549" s="206" t="s">
        <v>1654</v>
      </c>
      <c r="G1549" s="209" t="s">
        <v>202</v>
      </c>
      <c r="H1549" s="210">
        <v>42188</v>
      </c>
      <c r="I1549" s="209" t="s">
        <v>187</v>
      </c>
      <c r="J1549" s="209" t="s">
        <v>103</v>
      </c>
      <c r="K1549" s="209" t="s">
        <v>5245</v>
      </c>
      <c r="L1549" s="210">
        <v>42188</v>
      </c>
      <c r="M1549" s="206" t="s">
        <v>1914</v>
      </c>
      <c r="N1549" s="211" t="s">
        <v>185</v>
      </c>
      <c r="O1549" s="210">
        <v>42188</v>
      </c>
      <c r="P1549" s="212">
        <f t="shared" si="721"/>
        <v>2</v>
      </c>
      <c r="Q1549" s="209" t="s">
        <v>5245</v>
      </c>
      <c r="R1549" s="211" t="s">
        <v>17</v>
      </c>
      <c r="S1549" s="206" t="s">
        <v>101</v>
      </c>
      <c r="T1549" s="206" t="s">
        <v>5246</v>
      </c>
      <c r="U1549" s="210">
        <v>42193</v>
      </c>
      <c r="V1549" s="211" t="s">
        <v>186</v>
      </c>
      <c r="W1549" s="213">
        <f t="shared" si="722"/>
        <v>0</v>
      </c>
      <c r="X1549" s="213" t="str">
        <f t="shared" si="723"/>
        <v>Correcto</v>
      </c>
    </row>
    <row r="1550" spans="1:24" ht="18" customHeight="1" x14ac:dyDescent="0.25">
      <c r="A1550" s="214">
        <v>1541</v>
      </c>
      <c r="B1550" s="206" t="s">
        <v>5247</v>
      </c>
      <c r="C1550" s="207">
        <v>42186</v>
      </c>
      <c r="D1550" s="208">
        <v>4</v>
      </c>
      <c r="E1550" s="209" t="s">
        <v>93</v>
      </c>
      <c r="F1550" s="206" t="s">
        <v>1654</v>
      </c>
      <c r="G1550" s="209" t="s">
        <v>202</v>
      </c>
      <c r="H1550" s="210">
        <v>42186</v>
      </c>
      <c r="I1550" s="209" t="s">
        <v>187</v>
      </c>
      <c r="J1550" s="209" t="s">
        <v>103</v>
      </c>
      <c r="K1550" s="209" t="s">
        <v>5248</v>
      </c>
      <c r="L1550" s="210">
        <v>42186</v>
      </c>
      <c r="M1550" s="206" t="s">
        <v>1914</v>
      </c>
      <c r="N1550" s="211" t="s">
        <v>185</v>
      </c>
      <c r="O1550" s="210">
        <v>42186</v>
      </c>
      <c r="P1550" s="212">
        <f t="shared" si="721"/>
        <v>0</v>
      </c>
      <c r="Q1550" s="209" t="s">
        <v>5248</v>
      </c>
      <c r="R1550" s="211" t="s">
        <v>17</v>
      </c>
      <c r="S1550" s="206" t="s">
        <v>5249</v>
      </c>
      <c r="T1550" s="206" t="s">
        <v>5250</v>
      </c>
      <c r="U1550" s="210">
        <v>42186</v>
      </c>
      <c r="V1550" s="211" t="s">
        <v>186</v>
      </c>
      <c r="W1550" s="213">
        <f t="shared" si="722"/>
        <v>0</v>
      </c>
      <c r="X1550" s="213" t="str">
        <f t="shared" si="723"/>
        <v>Correcto</v>
      </c>
    </row>
    <row r="1551" spans="1:24" ht="18" customHeight="1" x14ac:dyDescent="0.25">
      <c r="A1551" s="214">
        <v>1542</v>
      </c>
      <c r="B1551" s="206" t="s">
        <v>5251</v>
      </c>
      <c r="C1551" s="207">
        <v>42186</v>
      </c>
      <c r="D1551" s="208">
        <v>2</v>
      </c>
      <c r="E1551" s="209" t="s">
        <v>93</v>
      </c>
      <c r="F1551" s="206" t="s">
        <v>1654</v>
      </c>
      <c r="G1551" s="209" t="s">
        <v>202</v>
      </c>
      <c r="H1551" s="210">
        <v>42188</v>
      </c>
      <c r="I1551" s="209" t="s">
        <v>187</v>
      </c>
      <c r="J1551" s="209" t="s">
        <v>103</v>
      </c>
      <c r="K1551" s="209" t="s">
        <v>5252</v>
      </c>
      <c r="L1551" s="210">
        <v>42188</v>
      </c>
      <c r="M1551" s="206" t="s">
        <v>1914</v>
      </c>
      <c r="N1551" s="211" t="s">
        <v>185</v>
      </c>
      <c r="O1551" s="210">
        <v>42188</v>
      </c>
      <c r="P1551" s="212">
        <f t="shared" si="721"/>
        <v>2</v>
      </c>
      <c r="Q1551" s="209" t="s">
        <v>5252</v>
      </c>
      <c r="R1551" s="211" t="s">
        <v>17</v>
      </c>
      <c r="S1551" s="206" t="s">
        <v>101</v>
      </c>
      <c r="T1551" s="206" t="s">
        <v>1815</v>
      </c>
      <c r="U1551" s="210">
        <v>42188</v>
      </c>
      <c r="V1551" s="211" t="s">
        <v>186</v>
      </c>
      <c r="W1551" s="213">
        <f t="shared" si="722"/>
        <v>0</v>
      </c>
      <c r="X1551" s="213" t="str">
        <f t="shared" si="723"/>
        <v>Correcto</v>
      </c>
    </row>
    <row r="1552" spans="1:24" ht="18" customHeight="1" x14ac:dyDescent="0.25">
      <c r="A1552" s="214">
        <v>1543</v>
      </c>
      <c r="B1552" s="206" t="s">
        <v>5253</v>
      </c>
      <c r="C1552" s="207">
        <v>42186</v>
      </c>
      <c r="D1552" s="208">
        <v>2</v>
      </c>
      <c r="E1552" s="209" t="s">
        <v>93</v>
      </c>
      <c r="F1552" s="206" t="s">
        <v>1654</v>
      </c>
      <c r="G1552" s="209" t="s">
        <v>202</v>
      </c>
      <c r="H1552" s="210">
        <v>42188</v>
      </c>
      <c r="I1552" s="209" t="s">
        <v>187</v>
      </c>
      <c r="J1552" s="209" t="s">
        <v>103</v>
      </c>
      <c r="K1552" s="209" t="s">
        <v>5254</v>
      </c>
      <c r="L1552" s="210">
        <v>42188</v>
      </c>
      <c r="M1552" s="206" t="s">
        <v>1914</v>
      </c>
      <c r="N1552" s="211" t="s">
        <v>185</v>
      </c>
      <c r="O1552" s="210">
        <v>42188</v>
      </c>
      <c r="P1552" s="212">
        <f t="shared" si="721"/>
        <v>2</v>
      </c>
      <c r="Q1552" s="209" t="s">
        <v>5254</v>
      </c>
      <c r="R1552" s="211" t="s">
        <v>17</v>
      </c>
      <c r="S1552" s="206" t="s">
        <v>5255</v>
      </c>
      <c r="T1552" s="206" t="s">
        <v>5256</v>
      </c>
      <c r="U1552" s="210">
        <v>42188</v>
      </c>
      <c r="V1552" s="211" t="s">
        <v>186</v>
      </c>
      <c r="W1552" s="213">
        <f t="shared" si="722"/>
        <v>0</v>
      </c>
      <c r="X1552" s="213" t="str">
        <f t="shared" si="723"/>
        <v>Correcto</v>
      </c>
    </row>
    <row r="1553" spans="1:24" ht="18" customHeight="1" x14ac:dyDescent="0.25">
      <c r="A1553" s="214">
        <v>1544</v>
      </c>
      <c r="B1553" s="206" t="s">
        <v>5257</v>
      </c>
      <c r="C1553" s="207">
        <v>42186</v>
      </c>
      <c r="D1553" s="208">
        <v>41</v>
      </c>
      <c r="E1553" s="209" t="s">
        <v>93</v>
      </c>
      <c r="F1553" s="206" t="s">
        <v>825</v>
      </c>
      <c r="G1553" s="209" t="s">
        <v>202</v>
      </c>
      <c r="H1553" s="210">
        <v>42198</v>
      </c>
      <c r="I1553" s="209" t="s">
        <v>187</v>
      </c>
      <c r="J1553" s="209" t="s">
        <v>103</v>
      </c>
      <c r="K1553" s="209" t="s">
        <v>5258</v>
      </c>
      <c r="L1553" s="210">
        <v>42188</v>
      </c>
      <c r="M1553" s="206" t="s">
        <v>5259</v>
      </c>
      <c r="N1553" s="211" t="s">
        <v>185</v>
      </c>
      <c r="O1553" s="210">
        <v>42198</v>
      </c>
      <c r="P1553" s="212">
        <f t="shared" si="721"/>
        <v>12</v>
      </c>
      <c r="Q1553" s="209" t="s">
        <v>5260</v>
      </c>
      <c r="R1553" s="211" t="s">
        <v>17</v>
      </c>
      <c r="S1553" s="206" t="s">
        <v>101</v>
      </c>
      <c r="T1553" s="206" t="s">
        <v>2258</v>
      </c>
      <c r="U1553" s="210">
        <v>42200</v>
      </c>
      <c r="V1553" s="211" t="s">
        <v>186</v>
      </c>
      <c r="W1553" s="213">
        <f t="shared" si="722"/>
        <v>0</v>
      </c>
      <c r="X1553" s="213" t="str">
        <f t="shared" si="723"/>
        <v>Correcto</v>
      </c>
    </row>
    <row r="1554" spans="1:24" ht="18" customHeight="1" x14ac:dyDescent="0.25">
      <c r="A1554" s="214">
        <v>1545</v>
      </c>
      <c r="B1554" s="206" t="s">
        <v>5261</v>
      </c>
      <c r="C1554" s="207">
        <v>42186</v>
      </c>
      <c r="D1554" s="208">
        <v>2</v>
      </c>
      <c r="E1554" s="209" t="s">
        <v>93</v>
      </c>
      <c r="F1554" s="206" t="s">
        <v>1654</v>
      </c>
      <c r="G1554" s="209" t="s">
        <v>202</v>
      </c>
      <c r="H1554" s="210">
        <v>42188</v>
      </c>
      <c r="I1554" s="209" t="s">
        <v>187</v>
      </c>
      <c r="J1554" s="209" t="s">
        <v>103</v>
      </c>
      <c r="K1554" s="209" t="s">
        <v>5262</v>
      </c>
      <c r="L1554" s="210">
        <v>42188</v>
      </c>
      <c r="M1554" s="206" t="s">
        <v>1914</v>
      </c>
      <c r="N1554" s="211" t="s">
        <v>185</v>
      </c>
      <c r="O1554" s="210">
        <v>42188</v>
      </c>
      <c r="P1554" s="212">
        <f t="shared" si="721"/>
        <v>2</v>
      </c>
      <c r="Q1554" s="209" t="s">
        <v>5262</v>
      </c>
      <c r="R1554" s="211" t="s">
        <v>17</v>
      </c>
      <c r="S1554" s="206" t="s">
        <v>5263</v>
      </c>
      <c r="T1554" s="206" t="s">
        <v>5264</v>
      </c>
      <c r="U1554" s="210">
        <v>42188</v>
      </c>
      <c r="V1554" s="211" t="s">
        <v>186</v>
      </c>
      <c r="W1554" s="213">
        <f t="shared" si="722"/>
        <v>0</v>
      </c>
      <c r="X1554" s="213" t="str">
        <f t="shared" si="723"/>
        <v>Correcto</v>
      </c>
    </row>
    <row r="1555" spans="1:24" ht="18" customHeight="1" x14ac:dyDescent="0.25">
      <c r="A1555" s="214">
        <v>1546</v>
      </c>
      <c r="B1555" s="206" t="s">
        <v>5265</v>
      </c>
      <c r="C1555" s="207">
        <v>42187</v>
      </c>
      <c r="D1555" s="208">
        <v>2</v>
      </c>
      <c r="E1555" s="209" t="s">
        <v>93</v>
      </c>
      <c r="F1555" s="206" t="s">
        <v>1654</v>
      </c>
      <c r="G1555" s="209" t="s">
        <v>202</v>
      </c>
      <c r="H1555" s="210">
        <v>42188</v>
      </c>
      <c r="I1555" s="209" t="s">
        <v>187</v>
      </c>
      <c r="J1555" s="209" t="s">
        <v>103</v>
      </c>
      <c r="K1555" s="209" t="s">
        <v>5266</v>
      </c>
      <c r="L1555" s="210">
        <v>42188</v>
      </c>
      <c r="M1555" s="206" t="s">
        <v>1914</v>
      </c>
      <c r="N1555" s="211" t="s">
        <v>185</v>
      </c>
      <c r="O1555" s="210">
        <v>42188</v>
      </c>
      <c r="P1555" s="212">
        <f t="shared" si="721"/>
        <v>1</v>
      </c>
      <c r="Q1555" s="209" t="s">
        <v>5266</v>
      </c>
      <c r="R1555" s="211" t="s">
        <v>17</v>
      </c>
      <c r="S1555" s="206" t="s">
        <v>5267</v>
      </c>
      <c r="T1555" s="206" t="s">
        <v>5268</v>
      </c>
      <c r="U1555" s="210">
        <v>42188</v>
      </c>
      <c r="V1555" s="211" t="s">
        <v>186</v>
      </c>
      <c r="W1555" s="213">
        <f t="shared" si="722"/>
        <v>0</v>
      </c>
      <c r="X1555" s="213" t="str">
        <f t="shared" si="723"/>
        <v>Correcto</v>
      </c>
    </row>
    <row r="1556" spans="1:24" ht="18" customHeight="1" x14ac:dyDescent="0.25">
      <c r="A1556" s="214">
        <v>1547</v>
      </c>
      <c r="B1556" s="206" t="s">
        <v>5269</v>
      </c>
      <c r="C1556" s="207">
        <v>42187</v>
      </c>
      <c r="D1556" s="208">
        <v>2</v>
      </c>
      <c r="E1556" s="209" t="s">
        <v>93</v>
      </c>
      <c r="F1556" s="206" t="s">
        <v>1654</v>
      </c>
      <c r="G1556" s="209" t="s">
        <v>202</v>
      </c>
      <c r="H1556" s="210">
        <v>42188</v>
      </c>
      <c r="I1556" s="209" t="s">
        <v>187</v>
      </c>
      <c r="J1556" s="209" t="s">
        <v>103</v>
      </c>
      <c r="K1556" s="209" t="s">
        <v>5270</v>
      </c>
      <c r="L1556" s="210">
        <v>42188</v>
      </c>
      <c r="M1556" s="206" t="s">
        <v>1914</v>
      </c>
      <c r="N1556" s="211" t="s">
        <v>185</v>
      </c>
      <c r="O1556" s="210">
        <v>42188</v>
      </c>
      <c r="P1556" s="212">
        <f t="shared" si="721"/>
        <v>1</v>
      </c>
      <c r="Q1556" s="209" t="s">
        <v>5270</v>
      </c>
      <c r="R1556" s="211" t="s">
        <v>17</v>
      </c>
      <c r="S1556" s="206" t="s">
        <v>101</v>
      </c>
      <c r="T1556" s="206" t="s">
        <v>1659</v>
      </c>
      <c r="U1556" s="210">
        <v>42193</v>
      </c>
      <c r="V1556" s="211" t="s">
        <v>186</v>
      </c>
      <c r="W1556" s="213">
        <f t="shared" si="722"/>
        <v>0</v>
      </c>
      <c r="X1556" s="213" t="str">
        <f t="shared" si="723"/>
        <v>Correcto</v>
      </c>
    </row>
    <row r="1557" spans="1:24" ht="18" customHeight="1" x14ac:dyDescent="0.25">
      <c r="A1557" s="214">
        <v>1548</v>
      </c>
      <c r="B1557" s="206" t="s">
        <v>5271</v>
      </c>
      <c r="C1557" s="207">
        <v>42187</v>
      </c>
      <c r="D1557" s="208">
        <v>10</v>
      </c>
      <c r="E1557" s="209" t="s">
        <v>93</v>
      </c>
      <c r="F1557" s="206" t="s">
        <v>1914</v>
      </c>
      <c r="G1557" s="209" t="s">
        <v>202</v>
      </c>
      <c r="H1557" s="210">
        <v>42192</v>
      </c>
      <c r="I1557" s="209" t="s">
        <v>187</v>
      </c>
      <c r="J1557" s="209" t="s">
        <v>103</v>
      </c>
      <c r="K1557" s="209" t="s">
        <v>5272</v>
      </c>
      <c r="L1557" s="210">
        <v>42192</v>
      </c>
      <c r="M1557" s="206" t="s">
        <v>1914</v>
      </c>
      <c r="N1557" s="211" t="s">
        <v>185</v>
      </c>
      <c r="O1557" s="210">
        <v>42192</v>
      </c>
      <c r="P1557" s="212">
        <f t="shared" si="721"/>
        <v>5</v>
      </c>
      <c r="Q1557" s="209" t="s">
        <v>5272</v>
      </c>
      <c r="R1557" s="211" t="s">
        <v>17</v>
      </c>
      <c r="S1557" s="206" t="s">
        <v>101</v>
      </c>
      <c r="T1557" s="206" t="s">
        <v>5273</v>
      </c>
      <c r="U1557" s="210">
        <v>42193</v>
      </c>
      <c r="V1557" s="211" t="s">
        <v>186</v>
      </c>
      <c r="W1557" s="213">
        <f t="shared" si="722"/>
        <v>0</v>
      </c>
      <c r="X1557" s="213" t="str">
        <f t="shared" si="723"/>
        <v>Correcto</v>
      </c>
    </row>
    <row r="1558" spans="1:24" ht="18" customHeight="1" x14ac:dyDescent="0.25">
      <c r="A1558" s="214">
        <v>1549</v>
      </c>
      <c r="B1558" s="206" t="s">
        <v>5274</v>
      </c>
      <c r="C1558" s="207">
        <v>42187</v>
      </c>
      <c r="D1558" s="208">
        <v>2</v>
      </c>
      <c r="E1558" s="209" t="s">
        <v>93</v>
      </c>
      <c r="F1558" s="206" t="s">
        <v>1914</v>
      </c>
      <c r="G1558" s="209" t="s">
        <v>202</v>
      </c>
      <c r="H1558" s="210">
        <v>42188</v>
      </c>
      <c r="I1558" s="209" t="s">
        <v>187</v>
      </c>
      <c r="J1558" s="209" t="s">
        <v>103</v>
      </c>
      <c r="K1558" s="209" t="s">
        <v>5275</v>
      </c>
      <c r="L1558" s="210">
        <v>42188</v>
      </c>
      <c r="M1558" s="206" t="s">
        <v>1914</v>
      </c>
      <c r="N1558" s="211" t="s">
        <v>185</v>
      </c>
      <c r="O1558" s="210">
        <v>42188</v>
      </c>
      <c r="P1558" s="212">
        <f t="shared" si="721"/>
        <v>1</v>
      </c>
      <c r="Q1558" s="209" t="s">
        <v>5275</v>
      </c>
      <c r="R1558" s="211" t="s">
        <v>17</v>
      </c>
      <c r="S1558" s="206" t="s">
        <v>104</v>
      </c>
      <c r="T1558" s="206" t="s">
        <v>5276</v>
      </c>
      <c r="U1558" s="210">
        <v>42192</v>
      </c>
      <c r="V1558" s="211" t="s">
        <v>186</v>
      </c>
      <c r="W1558" s="213">
        <f t="shared" si="722"/>
        <v>0</v>
      </c>
      <c r="X1558" s="213" t="str">
        <f t="shared" si="723"/>
        <v>Correcto</v>
      </c>
    </row>
    <row r="1559" spans="1:24" ht="18" customHeight="1" x14ac:dyDescent="0.25">
      <c r="A1559" s="214">
        <v>1550</v>
      </c>
      <c r="B1559" s="206" t="s">
        <v>5277</v>
      </c>
      <c r="C1559" s="207">
        <v>42187</v>
      </c>
      <c r="D1559" s="208">
        <v>2</v>
      </c>
      <c r="E1559" s="209" t="s">
        <v>93</v>
      </c>
      <c r="F1559" s="206" t="s">
        <v>1914</v>
      </c>
      <c r="G1559" s="209" t="s">
        <v>202</v>
      </c>
      <c r="H1559" s="210">
        <v>42195</v>
      </c>
      <c r="I1559" s="209" t="s">
        <v>187</v>
      </c>
      <c r="J1559" s="209" t="s">
        <v>103</v>
      </c>
      <c r="K1559" s="209" t="s">
        <v>5278</v>
      </c>
      <c r="L1559" s="210">
        <v>42195</v>
      </c>
      <c r="M1559" s="206" t="s">
        <v>1914</v>
      </c>
      <c r="N1559" s="211" t="s">
        <v>185</v>
      </c>
      <c r="O1559" s="210">
        <v>42195</v>
      </c>
      <c r="P1559" s="212">
        <f t="shared" si="721"/>
        <v>8</v>
      </c>
      <c r="Q1559" s="209" t="s">
        <v>5278</v>
      </c>
      <c r="R1559" s="211" t="s">
        <v>605</v>
      </c>
      <c r="S1559" s="206" t="s">
        <v>101</v>
      </c>
      <c r="T1559" s="206" t="s">
        <v>5279</v>
      </c>
      <c r="U1559" s="210">
        <v>42196</v>
      </c>
      <c r="V1559" s="211" t="s">
        <v>186</v>
      </c>
      <c r="W1559" s="213">
        <f t="shared" si="722"/>
        <v>0</v>
      </c>
      <c r="X1559" s="213" t="str">
        <f t="shared" si="723"/>
        <v>Correcto</v>
      </c>
    </row>
    <row r="1560" spans="1:24" ht="18" customHeight="1" x14ac:dyDescent="0.25">
      <c r="A1560" s="214">
        <v>1551</v>
      </c>
      <c r="B1560" s="206" t="s">
        <v>5280</v>
      </c>
      <c r="C1560" s="207">
        <v>42187</v>
      </c>
      <c r="D1560" s="208">
        <v>2</v>
      </c>
      <c r="E1560" s="209" t="s">
        <v>93</v>
      </c>
      <c r="F1560" s="206" t="s">
        <v>1914</v>
      </c>
      <c r="G1560" s="209" t="s">
        <v>202</v>
      </c>
      <c r="H1560" s="210">
        <v>42193</v>
      </c>
      <c r="I1560" s="209" t="s">
        <v>187</v>
      </c>
      <c r="J1560" s="209" t="s">
        <v>103</v>
      </c>
      <c r="K1560" s="209" t="s">
        <v>5281</v>
      </c>
      <c r="L1560" s="210">
        <v>42193</v>
      </c>
      <c r="M1560" s="206" t="s">
        <v>1914</v>
      </c>
      <c r="N1560" s="211" t="s">
        <v>185</v>
      </c>
      <c r="O1560" s="210">
        <v>42193</v>
      </c>
      <c r="P1560" s="212">
        <f t="shared" si="721"/>
        <v>6</v>
      </c>
      <c r="Q1560" s="209" t="s">
        <v>5281</v>
      </c>
      <c r="R1560" s="211" t="s">
        <v>17</v>
      </c>
      <c r="S1560" s="206" t="s">
        <v>101</v>
      </c>
      <c r="T1560" s="206" t="s">
        <v>1736</v>
      </c>
      <c r="U1560" s="210">
        <v>42193</v>
      </c>
      <c r="V1560" s="211" t="s">
        <v>186</v>
      </c>
      <c r="W1560" s="213">
        <f t="shared" si="722"/>
        <v>0</v>
      </c>
      <c r="X1560" s="213" t="str">
        <f t="shared" si="723"/>
        <v>Correcto</v>
      </c>
    </row>
    <row r="1561" spans="1:24" ht="18" customHeight="1" x14ac:dyDescent="0.25">
      <c r="A1561" s="214">
        <v>1552</v>
      </c>
      <c r="B1561" s="206" t="s">
        <v>5282</v>
      </c>
      <c r="C1561" s="207">
        <v>42187</v>
      </c>
      <c r="D1561" s="208">
        <v>2</v>
      </c>
      <c r="E1561" s="209" t="s">
        <v>93</v>
      </c>
      <c r="F1561" s="206" t="s">
        <v>1914</v>
      </c>
      <c r="G1561" s="209" t="s">
        <v>202</v>
      </c>
      <c r="H1561" s="210">
        <v>42188</v>
      </c>
      <c r="I1561" s="209" t="s">
        <v>187</v>
      </c>
      <c r="J1561" s="209" t="s">
        <v>103</v>
      </c>
      <c r="K1561" s="209" t="s">
        <v>5283</v>
      </c>
      <c r="L1561" s="210">
        <v>42188</v>
      </c>
      <c r="M1561" s="206" t="s">
        <v>1914</v>
      </c>
      <c r="N1561" s="211" t="s">
        <v>185</v>
      </c>
      <c r="O1561" s="210">
        <v>42188</v>
      </c>
      <c r="P1561" s="212">
        <f t="shared" si="721"/>
        <v>1</v>
      </c>
      <c r="Q1561" s="209" t="s">
        <v>5283</v>
      </c>
      <c r="R1561" s="211" t="s">
        <v>17</v>
      </c>
      <c r="S1561" s="206" t="s">
        <v>101</v>
      </c>
      <c r="T1561" s="206" t="s">
        <v>1736</v>
      </c>
      <c r="U1561" s="210">
        <v>42193</v>
      </c>
      <c r="V1561" s="211" t="s">
        <v>186</v>
      </c>
      <c r="W1561" s="213">
        <f t="shared" si="722"/>
        <v>0</v>
      </c>
      <c r="X1561" s="213" t="str">
        <f t="shared" si="723"/>
        <v>Correcto</v>
      </c>
    </row>
    <row r="1562" spans="1:24" ht="18" customHeight="1" x14ac:dyDescent="0.25">
      <c r="A1562" s="214">
        <v>1553</v>
      </c>
      <c r="B1562" s="206" t="s">
        <v>5284</v>
      </c>
      <c r="C1562" s="207">
        <v>42187</v>
      </c>
      <c r="D1562" s="208">
        <v>2</v>
      </c>
      <c r="E1562" s="209" t="s">
        <v>93</v>
      </c>
      <c r="F1562" s="206" t="s">
        <v>1914</v>
      </c>
      <c r="G1562" s="209" t="s">
        <v>202</v>
      </c>
      <c r="H1562" s="210">
        <v>42192</v>
      </c>
      <c r="I1562" s="209" t="s">
        <v>187</v>
      </c>
      <c r="J1562" s="209" t="s">
        <v>103</v>
      </c>
      <c r="K1562" s="209" t="s">
        <v>5285</v>
      </c>
      <c r="L1562" s="210">
        <v>42192</v>
      </c>
      <c r="M1562" s="206" t="s">
        <v>1914</v>
      </c>
      <c r="N1562" s="211" t="s">
        <v>185</v>
      </c>
      <c r="O1562" s="210">
        <v>42192</v>
      </c>
      <c r="P1562" s="212">
        <f t="shared" si="721"/>
        <v>5</v>
      </c>
      <c r="Q1562" s="209" t="s">
        <v>5285</v>
      </c>
      <c r="R1562" s="211" t="s">
        <v>17</v>
      </c>
      <c r="S1562" s="206" t="s">
        <v>101</v>
      </c>
      <c r="T1562" s="206" t="s">
        <v>5286</v>
      </c>
      <c r="U1562" s="210">
        <v>42193</v>
      </c>
      <c r="V1562" s="211" t="s">
        <v>186</v>
      </c>
      <c r="W1562" s="213">
        <f t="shared" si="722"/>
        <v>0</v>
      </c>
      <c r="X1562" s="213" t="str">
        <f t="shared" si="723"/>
        <v>Correcto</v>
      </c>
    </row>
    <row r="1563" spans="1:24" ht="18" customHeight="1" x14ac:dyDescent="0.25">
      <c r="A1563" s="214">
        <v>1554</v>
      </c>
      <c r="B1563" s="206" t="s">
        <v>5287</v>
      </c>
      <c r="C1563" s="207">
        <v>42187</v>
      </c>
      <c r="D1563" s="208">
        <v>2</v>
      </c>
      <c r="E1563" s="209" t="s">
        <v>93</v>
      </c>
      <c r="F1563" s="206" t="s">
        <v>1914</v>
      </c>
      <c r="G1563" s="209" t="s">
        <v>202</v>
      </c>
      <c r="H1563" s="210">
        <v>42192</v>
      </c>
      <c r="I1563" s="209" t="s">
        <v>187</v>
      </c>
      <c r="J1563" s="209" t="s">
        <v>103</v>
      </c>
      <c r="K1563" s="209" t="s">
        <v>5288</v>
      </c>
      <c r="L1563" s="210">
        <v>42192</v>
      </c>
      <c r="M1563" s="206" t="s">
        <v>1914</v>
      </c>
      <c r="N1563" s="211" t="s">
        <v>185</v>
      </c>
      <c r="O1563" s="210">
        <v>42192</v>
      </c>
      <c r="P1563" s="212">
        <f t="shared" si="721"/>
        <v>5</v>
      </c>
      <c r="Q1563" s="209" t="s">
        <v>5288</v>
      </c>
      <c r="R1563" s="211" t="s">
        <v>17</v>
      </c>
      <c r="S1563" s="206" t="s">
        <v>101</v>
      </c>
      <c r="T1563" s="206" t="s">
        <v>5286</v>
      </c>
      <c r="U1563" s="210">
        <v>42193</v>
      </c>
      <c r="V1563" s="211" t="s">
        <v>186</v>
      </c>
      <c r="W1563" s="213">
        <f t="shared" si="722"/>
        <v>0</v>
      </c>
      <c r="X1563" s="213" t="str">
        <f t="shared" si="723"/>
        <v>Correcto</v>
      </c>
    </row>
    <row r="1564" spans="1:24" ht="18" customHeight="1" x14ac:dyDescent="0.25">
      <c r="A1564" s="214">
        <v>1555</v>
      </c>
      <c r="B1564" s="206" t="s">
        <v>5289</v>
      </c>
      <c r="C1564" s="207">
        <v>42188</v>
      </c>
      <c r="D1564" s="208">
        <v>2</v>
      </c>
      <c r="E1564" s="209" t="s">
        <v>93</v>
      </c>
      <c r="F1564" s="206" t="s">
        <v>1914</v>
      </c>
      <c r="G1564" s="209" t="s">
        <v>202</v>
      </c>
      <c r="H1564" s="210">
        <v>42192</v>
      </c>
      <c r="I1564" s="209" t="s">
        <v>187</v>
      </c>
      <c r="J1564" s="209" t="s">
        <v>103</v>
      </c>
      <c r="K1564" s="209" t="s">
        <v>5290</v>
      </c>
      <c r="L1564" s="210">
        <v>42192</v>
      </c>
      <c r="M1564" s="206" t="s">
        <v>1914</v>
      </c>
      <c r="N1564" s="211" t="s">
        <v>185</v>
      </c>
      <c r="O1564" s="210">
        <v>42192</v>
      </c>
      <c r="P1564" s="212">
        <f t="shared" si="721"/>
        <v>4</v>
      </c>
      <c r="Q1564" s="209" t="s">
        <v>5290</v>
      </c>
      <c r="R1564" s="211" t="s">
        <v>17</v>
      </c>
      <c r="S1564" s="206" t="s">
        <v>101</v>
      </c>
      <c r="T1564" s="206" t="s">
        <v>5291</v>
      </c>
      <c r="U1564" s="210">
        <v>42193</v>
      </c>
      <c r="V1564" s="211" t="s">
        <v>186</v>
      </c>
      <c r="W1564" s="213">
        <f t="shared" si="722"/>
        <v>0</v>
      </c>
      <c r="X1564" s="213" t="str">
        <f t="shared" si="723"/>
        <v>Correcto</v>
      </c>
    </row>
    <row r="1565" spans="1:24" ht="18" customHeight="1" x14ac:dyDescent="0.25">
      <c r="A1565" s="214">
        <v>1556</v>
      </c>
      <c r="B1565" s="206" t="s">
        <v>5292</v>
      </c>
      <c r="C1565" s="207">
        <v>42188</v>
      </c>
      <c r="D1565" s="208">
        <v>2</v>
      </c>
      <c r="E1565" s="209" t="s">
        <v>93</v>
      </c>
      <c r="F1565" s="206" t="s">
        <v>1914</v>
      </c>
      <c r="G1565" s="209" t="s">
        <v>202</v>
      </c>
      <c r="H1565" s="210">
        <v>42192</v>
      </c>
      <c r="I1565" s="209" t="s">
        <v>187</v>
      </c>
      <c r="J1565" s="209" t="s">
        <v>103</v>
      </c>
      <c r="K1565" s="209" t="s">
        <v>5293</v>
      </c>
      <c r="L1565" s="210">
        <v>42192</v>
      </c>
      <c r="M1565" s="206" t="s">
        <v>1914</v>
      </c>
      <c r="N1565" s="211" t="s">
        <v>185</v>
      </c>
      <c r="O1565" s="210">
        <v>42192</v>
      </c>
      <c r="P1565" s="212">
        <f t="shared" si="721"/>
        <v>4</v>
      </c>
      <c r="Q1565" s="209" t="s">
        <v>5293</v>
      </c>
      <c r="R1565" s="211" t="s">
        <v>17</v>
      </c>
      <c r="S1565" s="206" t="s">
        <v>101</v>
      </c>
      <c r="T1565" s="206" t="s">
        <v>1815</v>
      </c>
      <c r="U1565" s="210">
        <v>42193</v>
      </c>
      <c r="V1565" s="211" t="s">
        <v>186</v>
      </c>
      <c r="W1565" s="213">
        <f t="shared" si="722"/>
        <v>0</v>
      </c>
      <c r="X1565" s="213" t="str">
        <f t="shared" si="723"/>
        <v>Correcto</v>
      </c>
    </row>
    <row r="1566" spans="1:24" ht="18" customHeight="1" x14ac:dyDescent="0.25">
      <c r="A1566" s="214">
        <v>1557</v>
      </c>
      <c r="B1566" s="206" t="s">
        <v>5294</v>
      </c>
      <c r="C1566" s="207">
        <v>42188</v>
      </c>
      <c r="D1566" s="208">
        <v>2</v>
      </c>
      <c r="E1566" s="209" t="s">
        <v>93</v>
      </c>
      <c r="F1566" s="206" t="s">
        <v>1914</v>
      </c>
      <c r="G1566" s="209" t="s">
        <v>202</v>
      </c>
      <c r="H1566" s="210">
        <v>42192</v>
      </c>
      <c r="I1566" s="209" t="s">
        <v>187</v>
      </c>
      <c r="J1566" s="209" t="s">
        <v>103</v>
      </c>
      <c r="K1566" s="209" t="s">
        <v>5295</v>
      </c>
      <c r="L1566" s="210">
        <v>42192</v>
      </c>
      <c r="M1566" s="206" t="s">
        <v>1914</v>
      </c>
      <c r="N1566" s="211" t="s">
        <v>185</v>
      </c>
      <c r="O1566" s="210">
        <v>42192</v>
      </c>
      <c r="P1566" s="212">
        <f t="shared" si="721"/>
        <v>4</v>
      </c>
      <c r="Q1566" s="209" t="s">
        <v>5295</v>
      </c>
      <c r="R1566" s="211" t="s">
        <v>17</v>
      </c>
      <c r="S1566" s="206" t="s">
        <v>101</v>
      </c>
      <c r="T1566" s="206" t="s">
        <v>5296</v>
      </c>
      <c r="U1566" s="210">
        <v>42193</v>
      </c>
      <c r="V1566" s="211" t="s">
        <v>186</v>
      </c>
      <c r="W1566" s="213">
        <f t="shared" si="722"/>
        <v>0</v>
      </c>
      <c r="X1566" s="213" t="str">
        <f t="shared" si="723"/>
        <v>Correcto</v>
      </c>
    </row>
    <row r="1567" spans="1:24" ht="18" customHeight="1" x14ac:dyDescent="0.25">
      <c r="A1567" s="214">
        <v>1558</v>
      </c>
      <c r="B1567" s="206" t="s">
        <v>5297</v>
      </c>
      <c r="C1567" s="207">
        <v>42188</v>
      </c>
      <c r="D1567" s="208">
        <v>2</v>
      </c>
      <c r="E1567" s="209" t="s">
        <v>93</v>
      </c>
      <c r="F1567" s="206" t="s">
        <v>1914</v>
      </c>
      <c r="G1567" s="209" t="s">
        <v>202</v>
      </c>
      <c r="H1567" s="210">
        <v>42192</v>
      </c>
      <c r="I1567" s="209" t="s">
        <v>187</v>
      </c>
      <c r="J1567" s="209" t="s">
        <v>103</v>
      </c>
      <c r="K1567" s="209" t="s">
        <v>5298</v>
      </c>
      <c r="L1567" s="210">
        <v>42192</v>
      </c>
      <c r="M1567" s="206" t="s">
        <v>1914</v>
      </c>
      <c r="N1567" s="211" t="s">
        <v>185</v>
      </c>
      <c r="O1567" s="210">
        <v>42192</v>
      </c>
      <c r="P1567" s="212">
        <f t="shared" si="721"/>
        <v>4</v>
      </c>
      <c r="Q1567" s="209" t="s">
        <v>5298</v>
      </c>
      <c r="R1567" s="211" t="s">
        <v>17</v>
      </c>
      <c r="S1567" s="206" t="s">
        <v>101</v>
      </c>
      <c r="T1567" s="206" t="s">
        <v>5299</v>
      </c>
      <c r="U1567" s="210">
        <v>42193</v>
      </c>
      <c r="V1567" s="211" t="s">
        <v>186</v>
      </c>
      <c r="W1567" s="213">
        <f t="shared" si="722"/>
        <v>0</v>
      </c>
      <c r="X1567" s="213" t="str">
        <f t="shared" si="723"/>
        <v>Correcto</v>
      </c>
    </row>
    <row r="1568" spans="1:24" ht="18" customHeight="1" x14ac:dyDescent="0.25">
      <c r="A1568" s="214">
        <v>1559</v>
      </c>
      <c r="B1568" s="206" t="s">
        <v>5300</v>
      </c>
      <c r="C1568" s="207">
        <v>42188</v>
      </c>
      <c r="D1568" s="208">
        <v>2</v>
      </c>
      <c r="E1568" s="209" t="s">
        <v>93</v>
      </c>
      <c r="F1568" s="206" t="s">
        <v>1914</v>
      </c>
      <c r="G1568" s="209" t="s">
        <v>202</v>
      </c>
      <c r="H1568" s="210">
        <v>42192</v>
      </c>
      <c r="I1568" s="209" t="s">
        <v>187</v>
      </c>
      <c r="J1568" s="209" t="s">
        <v>103</v>
      </c>
      <c r="K1568" s="209" t="s">
        <v>5301</v>
      </c>
      <c r="L1568" s="210">
        <v>42192</v>
      </c>
      <c r="M1568" s="206" t="s">
        <v>1914</v>
      </c>
      <c r="N1568" s="211" t="s">
        <v>185</v>
      </c>
      <c r="O1568" s="210">
        <v>42192</v>
      </c>
      <c r="P1568" s="212">
        <f t="shared" si="721"/>
        <v>4</v>
      </c>
      <c r="Q1568" s="209" t="s">
        <v>5301</v>
      </c>
      <c r="R1568" s="211" t="s">
        <v>17</v>
      </c>
      <c r="S1568" s="206" t="s">
        <v>101</v>
      </c>
      <c r="T1568" s="206" t="s">
        <v>5291</v>
      </c>
      <c r="U1568" s="210">
        <v>42193</v>
      </c>
      <c r="V1568" s="211" t="s">
        <v>186</v>
      </c>
      <c r="W1568" s="213">
        <f t="shared" si="722"/>
        <v>0</v>
      </c>
      <c r="X1568" s="213" t="str">
        <f t="shared" si="723"/>
        <v>Correcto</v>
      </c>
    </row>
    <row r="1569" spans="1:24" ht="18" customHeight="1" x14ac:dyDescent="0.25">
      <c r="A1569" s="214">
        <v>1560</v>
      </c>
      <c r="B1569" s="206" t="s">
        <v>5302</v>
      </c>
      <c r="C1569" s="207">
        <v>42188</v>
      </c>
      <c r="D1569" s="208">
        <v>2</v>
      </c>
      <c r="E1569" s="209" t="s">
        <v>93</v>
      </c>
      <c r="F1569" s="206" t="s">
        <v>1914</v>
      </c>
      <c r="G1569" s="209" t="s">
        <v>202</v>
      </c>
      <c r="H1569" s="210">
        <v>42192</v>
      </c>
      <c r="I1569" s="209" t="s">
        <v>187</v>
      </c>
      <c r="J1569" s="209" t="s">
        <v>103</v>
      </c>
      <c r="K1569" s="209" t="s">
        <v>5303</v>
      </c>
      <c r="L1569" s="210">
        <v>42192</v>
      </c>
      <c r="M1569" s="206" t="s">
        <v>1914</v>
      </c>
      <c r="N1569" s="211" t="s">
        <v>185</v>
      </c>
      <c r="O1569" s="210">
        <v>42192</v>
      </c>
      <c r="P1569" s="212">
        <f t="shared" si="721"/>
        <v>4</v>
      </c>
      <c r="Q1569" s="209" t="s">
        <v>5303</v>
      </c>
      <c r="R1569" s="211" t="s">
        <v>17</v>
      </c>
      <c r="S1569" s="206" t="s">
        <v>104</v>
      </c>
      <c r="T1569" s="206" t="s">
        <v>5304</v>
      </c>
      <c r="U1569" s="210">
        <v>42192</v>
      </c>
      <c r="V1569" s="211" t="s">
        <v>186</v>
      </c>
      <c r="W1569" s="213">
        <f t="shared" si="722"/>
        <v>0</v>
      </c>
      <c r="X1569" s="213" t="str">
        <f t="shared" si="723"/>
        <v>Correcto</v>
      </c>
    </row>
    <row r="1570" spans="1:24" ht="18" customHeight="1" x14ac:dyDescent="0.25">
      <c r="A1570" s="214">
        <v>1561</v>
      </c>
      <c r="B1570" s="206" t="s">
        <v>5305</v>
      </c>
      <c r="C1570" s="207">
        <v>42188</v>
      </c>
      <c r="D1570" s="208">
        <v>181</v>
      </c>
      <c r="E1570" s="209" t="s">
        <v>93</v>
      </c>
      <c r="F1570" s="206" t="s">
        <v>1914</v>
      </c>
      <c r="G1570" s="209" t="s">
        <v>202</v>
      </c>
      <c r="H1570" s="210">
        <v>42195</v>
      </c>
      <c r="I1570" s="209" t="s">
        <v>187</v>
      </c>
      <c r="J1570" s="209" t="s">
        <v>103</v>
      </c>
      <c r="K1570" s="209" t="s">
        <v>5306</v>
      </c>
      <c r="L1570" s="210">
        <v>42195</v>
      </c>
      <c r="M1570" s="206" t="s">
        <v>1914</v>
      </c>
      <c r="N1570" s="211" t="s">
        <v>185</v>
      </c>
      <c r="O1570" s="210">
        <v>42195</v>
      </c>
      <c r="P1570" s="212">
        <f t="shared" si="721"/>
        <v>7</v>
      </c>
      <c r="Q1570" s="209" t="s">
        <v>5306</v>
      </c>
      <c r="R1570" s="211" t="s">
        <v>605</v>
      </c>
      <c r="S1570" s="206" t="s">
        <v>5307</v>
      </c>
      <c r="T1570" s="206" t="s">
        <v>5308</v>
      </c>
      <c r="U1570" s="210">
        <v>42201</v>
      </c>
      <c r="V1570" s="211" t="s">
        <v>186</v>
      </c>
      <c r="W1570" s="213">
        <f t="shared" si="722"/>
        <v>0</v>
      </c>
      <c r="X1570" s="213" t="str">
        <f t="shared" si="723"/>
        <v>Correcto</v>
      </c>
    </row>
    <row r="1571" spans="1:24" ht="18" customHeight="1" x14ac:dyDescent="0.25">
      <c r="A1571" s="214">
        <v>1562</v>
      </c>
      <c r="B1571" s="206" t="s">
        <v>5309</v>
      </c>
      <c r="C1571" s="207">
        <v>42188</v>
      </c>
      <c r="D1571" s="208">
        <v>2</v>
      </c>
      <c r="E1571" s="209" t="s">
        <v>93</v>
      </c>
      <c r="F1571" s="206" t="s">
        <v>1914</v>
      </c>
      <c r="G1571" s="209" t="s">
        <v>202</v>
      </c>
      <c r="H1571" s="210">
        <v>42192</v>
      </c>
      <c r="I1571" s="209" t="s">
        <v>187</v>
      </c>
      <c r="J1571" s="209" t="s">
        <v>103</v>
      </c>
      <c r="K1571" s="209" t="s">
        <v>5310</v>
      </c>
      <c r="L1571" s="210">
        <v>42192</v>
      </c>
      <c r="M1571" s="206" t="s">
        <v>1914</v>
      </c>
      <c r="N1571" s="211" t="s">
        <v>185</v>
      </c>
      <c r="O1571" s="210">
        <v>42192</v>
      </c>
      <c r="P1571" s="212">
        <f t="shared" si="721"/>
        <v>4</v>
      </c>
      <c r="Q1571" s="209" t="s">
        <v>5310</v>
      </c>
      <c r="R1571" s="211" t="s">
        <v>17</v>
      </c>
      <c r="S1571" s="206" t="s">
        <v>101</v>
      </c>
      <c r="T1571" s="206" t="s">
        <v>1686</v>
      </c>
      <c r="U1571" s="210">
        <v>42193</v>
      </c>
      <c r="V1571" s="211" t="s">
        <v>186</v>
      </c>
      <c r="W1571" s="213">
        <f t="shared" si="722"/>
        <v>0</v>
      </c>
      <c r="X1571" s="213" t="str">
        <f t="shared" si="723"/>
        <v>Correcto</v>
      </c>
    </row>
    <row r="1572" spans="1:24" ht="18" customHeight="1" x14ac:dyDescent="0.25">
      <c r="A1572" s="214">
        <v>1563</v>
      </c>
      <c r="B1572" s="206" t="s">
        <v>5311</v>
      </c>
      <c r="C1572" s="207">
        <v>42188</v>
      </c>
      <c r="D1572" s="208">
        <v>3</v>
      </c>
      <c r="E1572" s="209" t="s">
        <v>93</v>
      </c>
      <c r="F1572" s="206" t="s">
        <v>1654</v>
      </c>
      <c r="G1572" s="209" t="s">
        <v>202</v>
      </c>
      <c r="H1572" s="210">
        <v>42192</v>
      </c>
      <c r="I1572" s="209" t="s">
        <v>187</v>
      </c>
      <c r="J1572" s="209" t="s">
        <v>103</v>
      </c>
      <c r="K1572" s="209" t="s">
        <v>5312</v>
      </c>
      <c r="L1572" s="210">
        <v>42192</v>
      </c>
      <c r="M1572" s="206" t="s">
        <v>1914</v>
      </c>
      <c r="N1572" s="211" t="s">
        <v>185</v>
      </c>
      <c r="O1572" s="210">
        <v>42192</v>
      </c>
      <c r="P1572" s="212">
        <f t="shared" si="721"/>
        <v>4</v>
      </c>
      <c r="Q1572" s="209" t="s">
        <v>5312</v>
      </c>
      <c r="R1572" s="211" t="s">
        <v>17</v>
      </c>
      <c r="S1572" s="206" t="s">
        <v>104</v>
      </c>
      <c r="T1572" s="206" t="s">
        <v>5313</v>
      </c>
      <c r="U1572" s="210">
        <v>42188</v>
      </c>
      <c r="V1572" s="211" t="s">
        <v>186</v>
      </c>
      <c r="W1572" s="213">
        <f t="shared" si="722"/>
        <v>0</v>
      </c>
      <c r="X1572" s="213" t="str">
        <f t="shared" si="723"/>
        <v>Correcto</v>
      </c>
    </row>
    <row r="1573" spans="1:24" ht="18" customHeight="1" x14ac:dyDescent="0.25">
      <c r="A1573" s="214">
        <v>1564</v>
      </c>
      <c r="B1573" s="206" t="s">
        <v>5314</v>
      </c>
      <c r="C1573" s="207">
        <v>42188</v>
      </c>
      <c r="D1573" s="208">
        <v>2</v>
      </c>
      <c r="E1573" s="209" t="s">
        <v>93</v>
      </c>
      <c r="F1573" s="206" t="s">
        <v>824</v>
      </c>
      <c r="G1573" s="209" t="s">
        <v>202</v>
      </c>
      <c r="H1573" s="210">
        <v>42188</v>
      </c>
      <c r="I1573" s="209" t="s">
        <v>187</v>
      </c>
      <c r="J1573" s="209" t="s">
        <v>103</v>
      </c>
      <c r="K1573" s="209" t="s">
        <v>5315</v>
      </c>
      <c r="L1573" s="210">
        <v>42188</v>
      </c>
      <c r="M1573" s="206" t="s">
        <v>824</v>
      </c>
      <c r="N1573" s="211" t="s">
        <v>185</v>
      </c>
      <c r="O1573" s="210">
        <v>42188</v>
      </c>
      <c r="P1573" s="212">
        <f t="shared" si="721"/>
        <v>0</v>
      </c>
      <c r="Q1573" s="209" t="s">
        <v>5315</v>
      </c>
      <c r="R1573" s="211" t="s">
        <v>17</v>
      </c>
      <c r="S1573" s="206" t="s">
        <v>101</v>
      </c>
      <c r="T1573" s="206" t="s">
        <v>5316</v>
      </c>
      <c r="U1573" s="210">
        <v>42188</v>
      </c>
      <c r="V1573" s="211" t="s">
        <v>186</v>
      </c>
      <c r="W1573" s="213">
        <f t="shared" si="722"/>
        <v>0</v>
      </c>
      <c r="X1573" s="213" t="str">
        <f t="shared" si="723"/>
        <v>Correcto</v>
      </c>
    </row>
    <row r="1574" spans="1:24" ht="18" customHeight="1" x14ac:dyDescent="0.25">
      <c r="A1574" s="214">
        <v>1565</v>
      </c>
      <c r="B1574" s="206" t="s">
        <v>5317</v>
      </c>
      <c r="C1574" s="207">
        <v>42188</v>
      </c>
      <c r="D1574" s="208">
        <v>2</v>
      </c>
      <c r="E1574" s="209" t="s">
        <v>93</v>
      </c>
      <c r="F1574" s="206" t="s">
        <v>1914</v>
      </c>
      <c r="G1574" s="209" t="s">
        <v>202</v>
      </c>
      <c r="H1574" s="210">
        <v>42192</v>
      </c>
      <c r="I1574" s="209" t="s">
        <v>187</v>
      </c>
      <c r="J1574" s="209" t="s">
        <v>103</v>
      </c>
      <c r="K1574" s="209" t="s">
        <v>5318</v>
      </c>
      <c r="L1574" s="210">
        <v>42192</v>
      </c>
      <c r="M1574" s="206" t="s">
        <v>1914</v>
      </c>
      <c r="N1574" s="211" t="s">
        <v>185</v>
      </c>
      <c r="O1574" s="210">
        <v>42192</v>
      </c>
      <c r="P1574" s="212">
        <f t="shared" si="721"/>
        <v>4</v>
      </c>
      <c r="Q1574" s="209" t="s">
        <v>5318</v>
      </c>
      <c r="R1574" s="211" t="s">
        <v>17</v>
      </c>
      <c r="S1574" s="206" t="s">
        <v>101</v>
      </c>
      <c r="T1574" s="206" t="s">
        <v>1693</v>
      </c>
      <c r="U1574" s="210">
        <v>42193</v>
      </c>
      <c r="V1574" s="211" t="s">
        <v>186</v>
      </c>
      <c r="W1574" s="213">
        <f t="shared" si="722"/>
        <v>0</v>
      </c>
      <c r="X1574" s="213" t="str">
        <f t="shared" si="723"/>
        <v>Correcto</v>
      </c>
    </row>
    <row r="1575" spans="1:24" ht="18" customHeight="1" x14ac:dyDescent="0.25">
      <c r="A1575" s="214">
        <v>1566</v>
      </c>
      <c r="B1575" s="206" t="s">
        <v>5319</v>
      </c>
      <c r="C1575" s="207">
        <v>42188</v>
      </c>
      <c r="D1575" s="208">
        <v>3</v>
      </c>
      <c r="E1575" s="209" t="s">
        <v>93</v>
      </c>
      <c r="F1575" s="206" t="s">
        <v>1914</v>
      </c>
      <c r="G1575" s="209" t="s">
        <v>202</v>
      </c>
      <c r="H1575" s="210">
        <v>42192</v>
      </c>
      <c r="I1575" s="209" t="s">
        <v>187</v>
      </c>
      <c r="J1575" s="209" t="s">
        <v>103</v>
      </c>
      <c r="K1575" s="209" t="s">
        <v>5320</v>
      </c>
      <c r="L1575" s="210">
        <v>42192</v>
      </c>
      <c r="M1575" s="206" t="s">
        <v>1914</v>
      </c>
      <c r="N1575" s="211" t="s">
        <v>185</v>
      </c>
      <c r="O1575" s="210">
        <v>42192</v>
      </c>
      <c r="P1575" s="212">
        <f t="shared" si="721"/>
        <v>4</v>
      </c>
      <c r="Q1575" s="209" t="s">
        <v>5320</v>
      </c>
      <c r="R1575" s="211" t="s">
        <v>605</v>
      </c>
      <c r="S1575" s="206" t="s">
        <v>101</v>
      </c>
      <c r="T1575" s="206" t="s">
        <v>5321</v>
      </c>
      <c r="U1575" s="210">
        <v>42192</v>
      </c>
      <c r="V1575" s="211" t="s">
        <v>186</v>
      </c>
      <c r="W1575" s="213">
        <f t="shared" si="722"/>
        <v>0</v>
      </c>
      <c r="X1575" s="213" t="str">
        <f t="shared" si="723"/>
        <v>Correcto</v>
      </c>
    </row>
    <row r="1576" spans="1:24" ht="18" customHeight="1" x14ac:dyDescent="0.25">
      <c r="A1576" s="214">
        <v>1567</v>
      </c>
      <c r="B1576" s="206" t="s">
        <v>5322</v>
      </c>
      <c r="C1576" s="207">
        <v>42188</v>
      </c>
      <c r="D1576" s="208">
        <v>2</v>
      </c>
      <c r="E1576" s="209" t="s">
        <v>93</v>
      </c>
      <c r="F1576" s="206" t="s">
        <v>1914</v>
      </c>
      <c r="G1576" s="209" t="s">
        <v>202</v>
      </c>
      <c r="H1576" s="210">
        <v>42192</v>
      </c>
      <c r="I1576" s="209" t="s">
        <v>187</v>
      </c>
      <c r="J1576" s="209" t="s">
        <v>103</v>
      </c>
      <c r="K1576" s="209" t="s">
        <v>5323</v>
      </c>
      <c r="L1576" s="210">
        <v>42192</v>
      </c>
      <c r="M1576" s="206" t="s">
        <v>1914</v>
      </c>
      <c r="N1576" s="211" t="s">
        <v>185</v>
      </c>
      <c r="O1576" s="210">
        <v>42192</v>
      </c>
      <c r="P1576" s="212">
        <f t="shared" si="721"/>
        <v>4</v>
      </c>
      <c r="Q1576" s="209" t="s">
        <v>5323</v>
      </c>
      <c r="R1576" s="211" t="s">
        <v>17</v>
      </c>
      <c r="S1576" s="206" t="s">
        <v>104</v>
      </c>
      <c r="T1576" s="206" t="s">
        <v>5324</v>
      </c>
      <c r="U1576" s="210">
        <v>42192</v>
      </c>
      <c r="V1576" s="211" t="s">
        <v>186</v>
      </c>
      <c r="W1576" s="213">
        <f t="shared" si="722"/>
        <v>0</v>
      </c>
      <c r="X1576" s="213" t="str">
        <f t="shared" si="723"/>
        <v>Correcto</v>
      </c>
    </row>
    <row r="1577" spans="1:24" ht="18" customHeight="1" x14ac:dyDescent="0.25">
      <c r="A1577" s="214">
        <v>1568</v>
      </c>
      <c r="B1577" s="206" t="s">
        <v>5325</v>
      </c>
      <c r="C1577" s="207">
        <v>42192</v>
      </c>
      <c r="D1577" s="208">
        <v>3</v>
      </c>
      <c r="E1577" s="209" t="s">
        <v>93</v>
      </c>
      <c r="F1577" s="206" t="s">
        <v>1914</v>
      </c>
      <c r="G1577" s="209" t="s">
        <v>202</v>
      </c>
      <c r="H1577" s="210">
        <v>42192</v>
      </c>
      <c r="I1577" s="209" t="s">
        <v>187</v>
      </c>
      <c r="J1577" s="209" t="s">
        <v>103</v>
      </c>
      <c r="K1577" s="209" t="s">
        <v>5326</v>
      </c>
      <c r="L1577" s="210">
        <v>42192</v>
      </c>
      <c r="M1577" s="206" t="s">
        <v>1914</v>
      </c>
      <c r="N1577" s="211" t="s">
        <v>185</v>
      </c>
      <c r="O1577" s="210">
        <v>42192</v>
      </c>
      <c r="P1577" s="212">
        <f t="shared" si="721"/>
        <v>0</v>
      </c>
      <c r="Q1577" s="209" t="s">
        <v>5326</v>
      </c>
      <c r="R1577" s="211" t="s">
        <v>17</v>
      </c>
      <c r="S1577" s="206" t="s">
        <v>101</v>
      </c>
      <c r="T1577" s="206" t="s">
        <v>1825</v>
      </c>
      <c r="U1577" s="210">
        <v>42193</v>
      </c>
      <c r="V1577" s="211" t="s">
        <v>186</v>
      </c>
      <c r="W1577" s="213">
        <f t="shared" si="722"/>
        <v>0</v>
      </c>
      <c r="X1577" s="213" t="str">
        <f t="shared" si="723"/>
        <v>Correcto</v>
      </c>
    </row>
    <row r="1578" spans="1:24" ht="18" customHeight="1" x14ac:dyDescent="0.25">
      <c r="A1578" s="214">
        <v>1569</v>
      </c>
      <c r="B1578" s="206" t="s">
        <v>5327</v>
      </c>
      <c r="C1578" s="207">
        <v>42192</v>
      </c>
      <c r="D1578" s="208">
        <v>2</v>
      </c>
      <c r="E1578" s="209" t="s">
        <v>93</v>
      </c>
      <c r="F1578" s="206" t="s">
        <v>1914</v>
      </c>
      <c r="G1578" s="209" t="s">
        <v>202</v>
      </c>
      <c r="H1578" s="210">
        <v>42192</v>
      </c>
      <c r="I1578" s="209" t="s">
        <v>187</v>
      </c>
      <c r="J1578" s="209" t="s">
        <v>103</v>
      </c>
      <c r="K1578" s="209" t="s">
        <v>5328</v>
      </c>
      <c r="L1578" s="210">
        <v>42192</v>
      </c>
      <c r="M1578" s="206" t="s">
        <v>1914</v>
      </c>
      <c r="N1578" s="211" t="s">
        <v>185</v>
      </c>
      <c r="O1578" s="210">
        <v>42192</v>
      </c>
      <c r="P1578" s="212">
        <f t="shared" si="721"/>
        <v>0</v>
      </c>
      <c r="Q1578" s="209" t="s">
        <v>5328</v>
      </c>
      <c r="R1578" s="211" t="s">
        <v>17</v>
      </c>
      <c r="S1578" s="206" t="s">
        <v>101</v>
      </c>
      <c r="T1578" s="206" t="s">
        <v>1825</v>
      </c>
      <c r="U1578" s="210">
        <v>42193</v>
      </c>
      <c r="V1578" s="211" t="s">
        <v>186</v>
      </c>
      <c r="W1578" s="213">
        <f t="shared" si="722"/>
        <v>0</v>
      </c>
      <c r="X1578" s="213" t="str">
        <f t="shared" si="723"/>
        <v>Correcto</v>
      </c>
    </row>
    <row r="1579" spans="1:24" ht="18" customHeight="1" x14ac:dyDescent="0.25">
      <c r="A1579" s="214">
        <v>1570</v>
      </c>
      <c r="B1579" s="206" t="s">
        <v>5329</v>
      </c>
      <c r="C1579" s="207">
        <v>42192</v>
      </c>
      <c r="D1579" s="208">
        <v>6</v>
      </c>
      <c r="E1579" s="209" t="s">
        <v>93</v>
      </c>
      <c r="F1579" s="206" t="s">
        <v>1914</v>
      </c>
      <c r="G1579" s="209" t="s">
        <v>202</v>
      </c>
      <c r="H1579" s="210">
        <v>42192</v>
      </c>
      <c r="I1579" s="209" t="s">
        <v>187</v>
      </c>
      <c r="J1579" s="209" t="s">
        <v>103</v>
      </c>
      <c r="K1579" s="209" t="s">
        <v>5330</v>
      </c>
      <c r="L1579" s="210">
        <v>42192</v>
      </c>
      <c r="M1579" s="206" t="s">
        <v>1914</v>
      </c>
      <c r="N1579" s="211" t="s">
        <v>185</v>
      </c>
      <c r="O1579" s="210">
        <v>42192</v>
      </c>
      <c r="P1579" s="212">
        <f t="shared" si="721"/>
        <v>0</v>
      </c>
      <c r="Q1579" s="209" t="s">
        <v>5330</v>
      </c>
      <c r="R1579" s="211" t="s">
        <v>17</v>
      </c>
      <c r="S1579" s="206" t="s">
        <v>101</v>
      </c>
      <c r="T1579" s="206" t="s">
        <v>1825</v>
      </c>
      <c r="U1579" s="210">
        <v>42193</v>
      </c>
      <c r="V1579" s="211" t="s">
        <v>186</v>
      </c>
      <c r="W1579" s="213">
        <f t="shared" si="722"/>
        <v>0</v>
      </c>
      <c r="X1579" s="213" t="str">
        <f t="shared" si="723"/>
        <v>Correcto</v>
      </c>
    </row>
    <row r="1580" spans="1:24" ht="18" customHeight="1" x14ac:dyDescent="0.25">
      <c r="A1580" s="214">
        <v>1571</v>
      </c>
      <c r="B1580" s="206" t="s">
        <v>5331</v>
      </c>
      <c r="C1580" s="207">
        <v>42192</v>
      </c>
      <c r="D1580" s="208">
        <v>2</v>
      </c>
      <c r="E1580" s="209" t="s">
        <v>93</v>
      </c>
      <c r="F1580" s="206" t="s">
        <v>1654</v>
      </c>
      <c r="G1580" s="209" t="s">
        <v>202</v>
      </c>
      <c r="H1580" s="210">
        <v>42192</v>
      </c>
      <c r="I1580" s="209" t="s">
        <v>187</v>
      </c>
      <c r="J1580" s="209" t="s">
        <v>103</v>
      </c>
      <c r="K1580" s="209" t="s">
        <v>5332</v>
      </c>
      <c r="L1580" s="210">
        <v>42192</v>
      </c>
      <c r="M1580" s="206" t="s">
        <v>1914</v>
      </c>
      <c r="N1580" s="211" t="s">
        <v>185</v>
      </c>
      <c r="O1580" s="210">
        <v>42192</v>
      </c>
      <c r="P1580" s="212">
        <f t="shared" si="721"/>
        <v>0</v>
      </c>
      <c r="Q1580" s="209" t="s">
        <v>5332</v>
      </c>
      <c r="R1580" s="211" t="s">
        <v>605</v>
      </c>
      <c r="S1580" s="206" t="s">
        <v>101</v>
      </c>
      <c r="T1580" s="206" t="s">
        <v>6842</v>
      </c>
      <c r="U1580" s="210">
        <v>42220</v>
      </c>
      <c r="V1580" s="211" t="s">
        <v>186</v>
      </c>
      <c r="W1580" s="213">
        <f t="shared" si="722"/>
        <v>0</v>
      </c>
      <c r="X1580" s="213" t="str">
        <f t="shared" si="723"/>
        <v>Correcto</v>
      </c>
    </row>
    <row r="1581" spans="1:24" ht="18" customHeight="1" x14ac:dyDescent="0.25">
      <c r="A1581" s="214">
        <v>1572</v>
      </c>
      <c r="B1581" s="206" t="s">
        <v>5333</v>
      </c>
      <c r="C1581" s="207">
        <v>42192</v>
      </c>
      <c r="D1581" s="208">
        <v>2</v>
      </c>
      <c r="E1581" s="209" t="s">
        <v>93</v>
      </c>
      <c r="F1581" s="206" t="s">
        <v>1654</v>
      </c>
      <c r="G1581" s="209" t="s">
        <v>202</v>
      </c>
      <c r="H1581" s="210">
        <v>42192</v>
      </c>
      <c r="I1581" s="209" t="s">
        <v>187</v>
      </c>
      <c r="J1581" s="209" t="s">
        <v>103</v>
      </c>
      <c r="K1581" s="209" t="s">
        <v>5334</v>
      </c>
      <c r="L1581" s="210">
        <v>42192</v>
      </c>
      <c r="M1581" s="206" t="s">
        <v>1914</v>
      </c>
      <c r="N1581" s="211" t="s">
        <v>185</v>
      </c>
      <c r="O1581" s="210">
        <v>42192</v>
      </c>
      <c r="P1581" s="212">
        <f t="shared" si="721"/>
        <v>0</v>
      </c>
      <c r="Q1581" s="209" t="s">
        <v>5334</v>
      </c>
      <c r="R1581" s="211" t="s">
        <v>17</v>
      </c>
      <c r="S1581" s="206" t="s">
        <v>5335</v>
      </c>
      <c r="T1581" s="206" t="s">
        <v>5336</v>
      </c>
      <c r="U1581" s="210">
        <v>42223</v>
      </c>
      <c r="V1581" s="211" t="s">
        <v>186</v>
      </c>
      <c r="W1581" s="213">
        <f t="shared" si="722"/>
        <v>0</v>
      </c>
      <c r="X1581" s="213" t="str">
        <f t="shared" si="723"/>
        <v>Correcto</v>
      </c>
    </row>
    <row r="1582" spans="1:24" ht="18" customHeight="1" x14ac:dyDescent="0.25">
      <c r="A1582" s="214">
        <v>1573</v>
      </c>
      <c r="B1582" s="206" t="s">
        <v>5337</v>
      </c>
      <c r="C1582" s="207">
        <v>42192</v>
      </c>
      <c r="D1582" s="208">
        <v>2</v>
      </c>
      <c r="E1582" s="209" t="s">
        <v>93</v>
      </c>
      <c r="F1582" s="206" t="s">
        <v>1654</v>
      </c>
      <c r="G1582" s="209" t="s">
        <v>202</v>
      </c>
      <c r="H1582" s="210">
        <v>42194</v>
      </c>
      <c r="I1582" s="209" t="s">
        <v>187</v>
      </c>
      <c r="J1582" s="209" t="s">
        <v>103</v>
      </c>
      <c r="K1582" s="209" t="s">
        <v>5338</v>
      </c>
      <c r="L1582" s="210">
        <v>42194</v>
      </c>
      <c r="M1582" s="206" t="s">
        <v>1914</v>
      </c>
      <c r="N1582" s="211" t="s">
        <v>185</v>
      </c>
      <c r="O1582" s="210">
        <v>42194</v>
      </c>
      <c r="P1582" s="212">
        <f t="shared" si="721"/>
        <v>2</v>
      </c>
      <c r="Q1582" s="209" t="s">
        <v>5338</v>
      </c>
      <c r="R1582" s="211" t="s">
        <v>17</v>
      </c>
      <c r="S1582" s="206" t="s">
        <v>104</v>
      </c>
      <c r="T1582" s="206" t="s">
        <v>5339</v>
      </c>
      <c r="U1582" s="210">
        <v>42195</v>
      </c>
      <c r="V1582" s="211" t="s">
        <v>186</v>
      </c>
      <c r="W1582" s="213">
        <f t="shared" si="722"/>
        <v>0</v>
      </c>
      <c r="X1582" s="213" t="str">
        <f t="shared" si="723"/>
        <v>Correcto</v>
      </c>
    </row>
    <row r="1583" spans="1:24" ht="18" customHeight="1" x14ac:dyDescent="0.25">
      <c r="A1583" s="214">
        <v>1574</v>
      </c>
      <c r="B1583" s="206" t="s">
        <v>5340</v>
      </c>
      <c r="C1583" s="207">
        <v>42192</v>
      </c>
      <c r="D1583" s="208">
        <v>3</v>
      </c>
      <c r="E1583" s="209" t="s">
        <v>93</v>
      </c>
      <c r="F1583" s="206" t="s">
        <v>1914</v>
      </c>
      <c r="G1583" s="209" t="s">
        <v>202</v>
      </c>
      <c r="H1583" s="210">
        <v>42195</v>
      </c>
      <c r="I1583" s="209" t="s">
        <v>187</v>
      </c>
      <c r="J1583" s="209" t="s">
        <v>103</v>
      </c>
      <c r="K1583" s="209" t="s">
        <v>5341</v>
      </c>
      <c r="L1583" s="210">
        <v>42195</v>
      </c>
      <c r="M1583" s="206" t="s">
        <v>1914</v>
      </c>
      <c r="N1583" s="211" t="s">
        <v>185</v>
      </c>
      <c r="O1583" s="210">
        <v>42195</v>
      </c>
      <c r="P1583" s="212">
        <f t="shared" si="721"/>
        <v>3</v>
      </c>
      <c r="Q1583" s="209" t="s">
        <v>5341</v>
      </c>
      <c r="R1583" s="211" t="s">
        <v>17</v>
      </c>
      <c r="S1583" s="206" t="s">
        <v>104</v>
      </c>
      <c r="T1583" s="206" t="s">
        <v>5342</v>
      </c>
      <c r="U1583" s="210">
        <v>42195</v>
      </c>
      <c r="V1583" s="211" t="s">
        <v>186</v>
      </c>
      <c r="W1583" s="213">
        <f t="shared" si="722"/>
        <v>0</v>
      </c>
      <c r="X1583" s="213" t="str">
        <f t="shared" si="723"/>
        <v>Correcto</v>
      </c>
    </row>
    <row r="1584" spans="1:24" ht="18" customHeight="1" x14ac:dyDescent="0.25">
      <c r="A1584" s="214">
        <v>1575</v>
      </c>
      <c r="B1584" s="206" t="s">
        <v>5343</v>
      </c>
      <c r="C1584" s="207">
        <v>42193</v>
      </c>
      <c r="D1584" s="208">
        <v>2</v>
      </c>
      <c r="E1584" s="209" t="s">
        <v>93</v>
      </c>
      <c r="F1584" s="206" t="s">
        <v>825</v>
      </c>
      <c r="G1584" s="209" t="s">
        <v>202</v>
      </c>
      <c r="H1584" s="210">
        <v>42194</v>
      </c>
      <c r="I1584" s="209" t="s">
        <v>187</v>
      </c>
      <c r="J1584" s="209" t="s">
        <v>103</v>
      </c>
      <c r="K1584" s="209" t="s">
        <v>5344</v>
      </c>
      <c r="L1584" s="210">
        <v>42194</v>
      </c>
      <c r="M1584" s="206" t="s">
        <v>1914</v>
      </c>
      <c r="N1584" s="211" t="s">
        <v>185</v>
      </c>
      <c r="O1584" s="210">
        <v>42194</v>
      </c>
      <c r="P1584" s="212">
        <f t="shared" si="721"/>
        <v>1</v>
      </c>
      <c r="Q1584" s="209" t="s">
        <v>5344</v>
      </c>
      <c r="R1584" s="211" t="s">
        <v>17</v>
      </c>
      <c r="S1584" s="206" t="s">
        <v>101</v>
      </c>
      <c r="T1584" s="206" t="s">
        <v>1651</v>
      </c>
      <c r="U1584" s="210">
        <v>42196</v>
      </c>
      <c r="V1584" s="211" t="s">
        <v>186</v>
      </c>
      <c r="W1584" s="213">
        <f t="shared" si="722"/>
        <v>0</v>
      </c>
      <c r="X1584" s="213" t="str">
        <f t="shared" si="723"/>
        <v>Correcto</v>
      </c>
    </row>
    <row r="1585" spans="1:24" ht="18" customHeight="1" x14ac:dyDescent="0.25">
      <c r="A1585" s="214">
        <v>1576</v>
      </c>
      <c r="B1585" s="206" t="s">
        <v>5345</v>
      </c>
      <c r="C1585" s="207">
        <v>42193</v>
      </c>
      <c r="D1585" s="208">
        <v>2</v>
      </c>
      <c r="E1585" s="209" t="s">
        <v>93</v>
      </c>
      <c r="F1585" s="206" t="s">
        <v>1914</v>
      </c>
      <c r="G1585" s="209" t="s">
        <v>202</v>
      </c>
      <c r="H1585" s="210">
        <v>42194</v>
      </c>
      <c r="I1585" s="209" t="s">
        <v>187</v>
      </c>
      <c r="J1585" s="209" t="s">
        <v>103</v>
      </c>
      <c r="K1585" s="209" t="s">
        <v>5346</v>
      </c>
      <c r="L1585" s="210">
        <v>42194</v>
      </c>
      <c r="M1585" s="206" t="s">
        <v>1914</v>
      </c>
      <c r="N1585" s="211" t="s">
        <v>185</v>
      </c>
      <c r="O1585" s="210">
        <v>42194</v>
      </c>
      <c r="P1585" s="212">
        <f t="shared" si="721"/>
        <v>1</v>
      </c>
      <c r="Q1585" s="209" t="s">
        <v>5346</v>
      </c>
      <c r="R1585" s="211" t="s">
        <v>17</v>
      </c>
      <c r="S1585" s="206" t="s">
        <v>101</v>
      </c>
      <c r="T1585" s="206" t="s">
        <v>1736</v>
      </c>
      <c r="U1585" s="210">
        <v>42196</v>
      </c>
      <c r="V1585" s="211" t="s">
        <v>186</v>
      </c>
      <c r="W1585" s="213">
        <f t="shared" si="722"/>
        <v>0</v>
      </c>
      <c r="X1585" s="213" t="str">
        <f t="shared" si="723"/>
        <v>Correcto</v>
      </c>
    </row>
    <row r="1586" spans="1:24" ht="18" customHeight="1" x14ac:dyDescent="0.25">
      <c r="A1586" s="214">
        <v>1577</v>
      </c>
      <c r="B1586" s="206" t="s">
        <v>5347</v>
      </c>
      <c r="C1586" s="207">
        <v>42193</v>
      </c>
      <c r="D1586" s="208">
        <v>7</v>
      </c>
      <c r="E1586" s="209" t="s">
        <v>93</v>
      </c>
      <c r="F1586" s="206" t="s">
        <v>825</v>
      </c>
      <c r="G1586" s="209" t="s">
        <v>202</v>
      </c>
      <c r="H1586" s="210">
        <v>42195</v>
      </c>
      <c r="I1586" s="209" t="s">
        <v>187</v>
      </c>
      <c r="J1586" s="209" t="s">
        <v>103</v>
      </c>
      <c r="K1586" s="209" t="s">
        <v>5348</v>
      </c>
      <c r="L1586" s="210">
        <v>42195</v>
      </c>
      <c r="M1586" s="206" t="s">
        <v>1914</v>
      </c>
      <c r="N1586" s="211" t="s">
        <v>185</v>
      </c>
      <c r="O1586" s="210">
        <v>42195</v>
      </c>
      <c r="P1586" s="212">
        <f t="shared" ref="P1586:P1649" si="724">O1586-C1586</f>
        <v>2</v>
      </c>
      <c r="Q1586" s="209" t="s">
        <v>5349</v>
      </c>
      <c r="R1586" s="211" t="s">
        <v>17</v>
      </c>
      <c r="S1586" s="206" t="s">
        <v>101</v>
      </c>
      <c r="T1586" s="206" t="s">
        <v>5350</v>
      </c>
      <c r="U1586" s="210">
        <v>42196</v>
      </c>
      <c r="V1586" s="211" t="s">
        <v>186</v>
      </c>
      <c r="W1586" s="213">
        <f t="shared" ref="W1586:W1649" si="725">COUNTBLANK(C1586:V1586)</f>
        <v>0</v>
      </c>
      <c r="X1586" s="213" t="str">
        <f t="shared" ref="X1586:X1649" si="726">IF(W1586=0,"Correcto","Incorrecto")</f>
        <v>Correcto</v>
      </c>
    </row>
    <row r="1587" spans="1:24" ht="18" customHeight="1" x14ac:dyDescent="0.25">
      <c r="A1587" s="214">
        <v>1578</v>
      </c>
      <c r="B1587" s="206" t="s">
        <v>5351</v>
      </c>
      <c r="C1587" s="207">
        <v>42193</v>
      </c>
      <c r="D1587" s="208">
        <v>2</v>
      </c>
      <c r="E1587" s="209" t="s">
        <v>93</v>
      </c>
      <c r="F1587" s="206" t="s">
        <v>1914</v>
      </c>
      <c r="G1587" s="209" t="s">
        <v>202</v>
      </c>
      <c r="H1587" s="210">
        <v>42194</v>
      </c>
      <c r="I1587" s="209" t="s">
        <v>187</v>
      </c>
      <c r="J1587" s="209" t="s">
        <v>103</v>
      </c>
      <c r="K1587" s="209" t="s">
        <v>5352</v>
      </c>
      <c r="L1587" s="210">
        <v>42194</v>
      </c>
      <c r="M1587" s="206" t="s">
        <v>1914</v>
      </c>
      <c r="N1587" s="211" t="s">
        <v>185</v>
      </c>
      <c r="O1587" s="210">
        <v>42194</v>
      </c>
      <c r="P1587" s="212">
        <f t="shared" si="724"/>
        <v>1</v>
      </c>
      <c r="Q1587" s="209" t="s">
        <v>5352</v>
      </c>
      <c r="R1587" s="211" t="s">
        <v>17</v>
      </c>
      <c r="S1587" s="206" t="s">
        <v>101</v>
      </c>
      <c r="T1587" s="206" t="s">
        <v>5353</v>
      </c>
      <c r="U1587" s="210">
        <v>42196</v>
      </c>
      <c r="V1587" s="211" t="s">
        <v>186</v>
      </c>
      <c r="W1587" s="213">
        <f t="shared" si="725"/>
        <v>0</v>
      </c>
      <c r="X1587" s="213" t="str">
        <f t="shared" si="726"/>
        <v>Correcto</v>
      </c>
    </row>
    <row r="1588" spans="1:24" ht="18" customHeight="1" x14ac:dyDescent="0.25">
      <c r="A1588" s="214">
        <v>1579</v>
      </c>
      <c r="B1588" s="206" t="s">
        <v>5354</v>
      </c>
      <c r="C1588" s="207">
        <v>42193</v>
      </c>
      <c r="D1588" s="208">
        <v>4</v>
      </c>
      <c r="E1588" s="209" t="s">
        <v>93</v>
      </c>
      <c r="F1588" s="206" t="s">
        <v>1914</v>
      </c>
      <c r="G1588" s="209" t="s">
        <v>202</v>
      </c>
      <c r="H1588" s="210">
        <v>42195</v>
      </c>
      <c r="I1588" s="209" t="s">
        <v>187</v>
      </c>
      <c r="J1588" s="209" t="s">
        <v>103</v>
      </c>
      <c r="K1588" s="209" t="s">
        <v>5355</v>
      </c>
      <c r="L1588" s="210">
        <v>42195</v>
      </c>
      <c r="M1588" s="206" t="s">
        <v>1914</v>
      </c>
      <c r="N1588" s="211" t="s">
        <v>185</v>
      </c>
      <c r="O1588" s="210">
        <v>42195</v>
      </c>
      <c r="P1588" s="212">
        <f t="shared" si="724"/>
        <v>2</v>
      </c>
      <c r="Q1588" s="209" t="s">
        <v>5355</v>
      </c>
      <c r="R1588" s="211" t="s">
        <v>17</v>
      </c>
      <c r="S1588" s="206" t="s">
        <v>101</v>
      </c>
      <c r="T1588" s="206" t="s">
        <v>1582</v>
      </c>
      <c r="U1588" s="210">
        <v>42196</v>
      </c>
      <c r="V1588" s="211" t="s">
        <v>186</v>
      </c>
      <c r="W1588" s="213">
        <f t="shared" si="725"/>
        <v>0</v>
      </c>
      <c r="X1588" s="213" t="str">
        <f t="shared" si="726"/>
        <v>Correcto</v>
      </c>
    </row>
    <row r="1589" spans="1:24" ht="18" customHeight="1" x14ac:dyDescent="0.25">
      <c r="A1589" s="214">
        <v>1580</v>
      </c>
      <c r="B1589" s="206" t="s">
        <v>5356</v>
      </c>
      <c r="C1589" s="207">
        <v>42193</v>
      </c>
      <c r="D1589" s="208">
        <v>5</v>
      </c>
      <c r="E1589" s="209" t="s">
        <v>93</v>
      </c>
      <c r="F1589" s="206" t="s">
        <v>1914</v>
      </c>
      <c r="G1589" s="209" t="s">
        <v>202</v>
      </c>
      <c r="H1589" s="210">
        <v>42195</v>
      </c>
      <c r="I1589" s="209" t="s">
        <v>187</v>
      </c>
      <c r="J1589" s="209" t="s">
        <v>103</v>
      </c>
      <c r="K1589" s="209" t="s">
        <v>5357</v>
      </c>
      <c r="L1589" s="210">
        <v>42195</v>
      </c>
      <c r="M1589" s="206" t="s">
        <v>1914</v>
      </c>
      <c r="N1589" s="211" t="s">
        <v>185</v>
      </c>
      <c r="O1589" s="210">
        <v>42195</v>
      </c>
      <c r="P1589" s="212">
        <f t="shared" si="724"/>
        <v>2</v>
      </c>
      <c r="Q1589" s="209" t="s">
        <v>5357</v>
      </c>
      <c r="R1589" s="211" t="s">
        <v>17</v>
      </c>
      <c r="S1589" s="206" t="s">
        <v>101</v>
      </c>
      <c r="T1589" s="206" t="s">
        <v>5358</v>
      </c>
      <c r="U1589" s="210">
        <v>42196</v>
      </c>
      <c r="V1589" s="211" t="s">
        <v>186</v>
      </c>
      <c r="W1589" s="213">
        <f t="shared" si="725"/>
        <v>0</v>
      </c>
      <c r="X1589" s="213" t="str">
        <f t="shared" si="726"/>
        <v>Correcto</v>
      </c>
    </row>
    <row r="1590" spans="1:24" ht="18" customHeight="1" x14ac:dyDescent="0.25">
      <c r="A1590" s="214">
        <v>1581</v>
      </c>
      <c r="B1590" s="206" t="s">
        <v>5359</v>
      </c>
      <c r="C1590" s="207">
        <v>42193</v>
      </c>
      <c r="D1590" s="208">
        <v>4</v>
      </c>
      <c r="E1590" s="209" t="s">
        <v>93</v>
      </c>
      <c r="F1590" s="206" t="s">
        <v>1914</v>
      </c>
      <c r="G1590" s="209" t="s">
        <v>202</v>
      </c>
      <c r="H1590" s="210">
        <v>42195</v>
      </c>
      <c r="I1590" s="209" t="s">
        <v>187</v>
      </c>
      <c r="J1590" s="209" t="s">
        <v>103</v>
      </c>
      <c r="K1590" s="209" t="s">
        <v>5360</v>
      </c>
      <c r="L1590" s="210">
        <v>42195</v>
      </c>
      <c r="M1590" s="206" t="s">
        <v>1914</v>
      </c>
      <c r="N1590" s="211" t="s">
        <v>185</v>
      </c>
      <c r="O1590" s="210">
        <v>42195</v>
      </c>
      <c r="P1590" s="212">
        <f t="shared" si="724"/>
        <v>2</v>
      </c>
      <c r="Q1590" s="209" t="s">
        <v>5360</v>
      </c>
      <c r="R1590" s="211" t="s">
        <v>17</v>
      </c>
      <c r="S1590" s="206" t="s">
        <v>101</v>
      </c>
      <c r="T1590" s="206" t="s">
        <v>1604</v>
      </c>
      <c r="U1590" s="210">
        <v>42196</v>
      </c>
      <c r="V1590" s="211" t="s">
        <v>186</v>
      </c>
      <c r="W1590" s="213">
        <f t="shared" si="725"/>
        <v>0</v>
      </c>
      <c r="X1590" s="213" t="str">
        <f t="shared" si="726"/>
        <v>Correcto</v>
      </c>
    </row>
    <row r="1591" spans="1:24" ht="18" customHeight="1" x14ac:dyDescent="0.25">
      <c r="A1591" s="214">
        <v>1582</v>
      </c>
      <c r="B1591" s="206" t="s">
        <v>5361</v>
      </c>
      <c r="C1591" s="207">
        <v>42193</v>
      </c>
      <c r="D1591" s="208">
        <v>2</v>
      </c>
      <c r="E1591" s="209" t="s">
        <v>93</v>
      </c>
      <c r="F1591" s="206" t="s">
        <v>1914</v>
      </c>
      <c r="G1591" s="209" t="s">
        <v>202</v>
      </c>
      <c r="H1591" s="210">
        <v>42194</v>
      </c>
      <c r="I1591" s="209" t="s">
        <v>187</v>
      </c>
      <c r="J1591" s="209" t="s">
        <v>103</v>
      </c>
      <c r="K1591" s="209" t="s">
        <v>5362</v>
      </c>
      <c r="L1591" s="210">
        <v>42194</v>
      </c>
      <c r="M1591" s="206" t="s">
        <v>1914</v>
      </c>
      <c r="N1591" s="211" t="s">
        <v>185</v>
      </c>
      <c r="O1591" s="210">
        <v>42194</v>
      </c>
      <c r="P1591" s="212">
        <f t="shared" si="724"/>
        <v>1</v>
      </c>
      <c r="Q1591" s="209" t="s">
        <v>5362</v>
      </c>
      <c r="R1591" s="211" t="s">
        <v>17</v>
      </c>
      <c r="S1591" s="206" t="s">
        <v>101</v>
      </c>
      <c r="T1591" s="206" t="s">
        <v>5286</v>
      </c>
      <c r="U1591" s="210">
        <v>42196</v>
      </c>
      <c r="V1591" s="211" t="s">
        <v>186</v>
      </c>
      <c r="W1591" s="213">
        <f t="shared" si="725"/>
        <v>0</v>
      </c>
      <c r="X1591" s="213" t="str">
        <f t="shared" si="726"/>
        <v>Correcto</v>
      </c>
    </row>
    <row r="1592" spans="1:24" ht="18" customHeight="1" x14ac:dyDescent="0.25">
      <c r="A1592" s="214">
        <v>1583</v>
      </c>
      <c r="B1592" s="206" t="s">
        <v>5363</v>
      </c>
      <c r="C1592" s="207">
        <v>42193</v>
      </c>
      <c r="D1592" s="208">
        <v>16</v>
      </c>
      <c r="E1592" s="209" t="s">
        <v>93</v>
      </c>
      <c r="F1592" s="206" t="s">
        <v>1914</v>
      </c>
      <c r="G1592" s="209" t="s">
        <v>202</v>
      </c>
      <c r="H1592" s="210">
        <v>42195</v>
      </c>
      <c r="I1592" s="209" t="s">
        <v>187</v>
      </c>
      <c r="J1592" s="209" t="s">
        <v>103</v>
      </c>
      <c r="K1592" s="209" t="s">
        <v>5364</v>
      </c>
      <c r="L1592" s="210">
        <v>42195</v>
      </c>
      <c r="M1592" s="206" t="s">
        <v>1914</v>
      </c>
      <c r="N1592" s="211" t="s">
        <v>185</v>
      </c>
      <c r="O1592" s="210">
        <v>42195</v>
      </c>
      <c r="P1592" s="212">
        <f t="shared" si="724"/>
        <v>2</v>
      </c>
      <c r="Q1592" s="209" t="s">
        <v>5364</v>
      </c>
      <c r="R1592" s="211" t="s">
        <v>17</v>
      </c>
      <c r="S1592" s="206" t="s">
        <v>101</v>
      </c>
      <c r="T1592" s="206" t="s">
        <v>5365</v>
      </c>
      <c r="U1592" s="210">
        <v>42196</v>
      </c>
      <c r="V1592" s="211" t="s">
        <v>186</v>
      </c>
      <c r="W1592" s="213">
        <f t="shared" si="725"/>
        <v>0</v>
      </c>
      <c r="X1592" s="213" t="str">
        <f t="shared" si="726"/>
        <v>Correcto</v>
      </c>
    </row>
    <row r="1593" spans="1:24" ht="18" customHeight="1" x14ac:dyDescent="0.25">
      <c r="A1593" s="214">
        <v>1584</v>
      </c>
      <c r="B1593" s="206" t="s">
        <v>5366</v>
      </c>
      <c r="C1593" s="207">
        <v>42193</v>
      </c>
      <c r="D1593" s="208">
        <v>2</v>
      </c>
      <c r="E1593" s="209" t="s">
        <v>93</v>
      </c>
      <c r="F1593" s="206" t="s">
        <v>825</v>
      </c>
      <c r="G1593" s="209" t="s">
        <v>202</v>
      </c>
      <c r="H1593" s="210">
        <v>42194</v>
      </c>
      <c r="I1593" s="209" t="s">
        <v>187</v>
      </c>
      <c r="J1593" s="209" t="s">
        <v>103</v>
      </c>
      <c r="K1593" s="209" t="s">
        <v>5367</v>
      </c>
      <c r="L1593" s="210">
        <v>42194</v>
      </c>
      <c r="M1593" s="206" t="s">
        <v>1914</v>
      </c>
      <c r="N1593" s="211" t="s">
        <v>185</v>
      </c>
      <c r="O1593" s="210">
        <v>42194</v>
      </c>
      <c r="P1593" s="212">
        <f t="shared" si="724"/>
        <v>1</v>
      </c>
      <c r="Q1593" s="209" t="s">
        <v>5367</v>
      </c>
      <c r="R1593" s="211" t="s">
        <v>17</v>
      </c>
      <c r="S1593" s="206" t="s">
        <v>101</v>
      </c>
      <c r="T1593" s="206" t="s">
        <v>5368</v>
      </c>
      <c r="U1593" s="210">
        <v>42196</v>
      </c>
      <c r="V1593" s="211" t="s">
        <v>186</v>
      </c>
      <c r="W1593" s="213">
        <f t="shared" si="725"/>
        <v>0</v>
      </c>
      <c r="X1593" s="213" t="str">
        <f t="shared" si="726"/>
        <v>Correcto</v>
      </c>
    </row>
    <row r="1594" spans="1:24" ht="18" customHeight="1" x14ac:dyDescent="0.25">
      <c r="A1594" s="214">
        <v>1585</v>
      </c>
      <c r="B1594" s="206" t="s">
        <v>5369</v>
      </c>
      <c r="C1594" s="207">
        <v>42193</v>
      </c>
      <c r="D1594" s="208">
        <v>2</v>
      </c>
      <c r="E1594" s="209" t="s">
        <v>93</v>
      </c>
      <c r="F1594" s="206" t="s">
        <v>825</v>
      </c>
      <c r="G1594" s="209" t="s">
        <v>202</v>
      </c>
      <c r="H1594" s="210">
        <v>42194</v>
      </c>
      <c r="I1594" s="209" t="s">
        <v>187</v>
      </c>
      <c r="J1594" s="209" t="s">
        <v>103</v>
      </c>
      <c r="K1594" s="209" t="s">
        <v>5370</v>
      </c>
      <c r="L1594" s="210">
        <v>42194</v>
      </c>
      <c r="M1594" s="206" t="s">
        <v>1914</v>
      </c>
      <c r="N1594" s="211" t="s">
        <v>185</v>
      </c>
      <c r="O1594" s="210">
        <v>42194</v>
      </c>
      <c r="P1594" s="212">
        <f t="shared" si="724"/>
        <v>1</v>
      </c>
      <c r="Q1594" s="209" t="s">
        <v>5370</v>
      </c>
      <c r="R1594" s="211" t="s">
        <v>17</v>
      </c>
      <c r="S1594" s="206" t="s">
        <v>101</v>
      </c>
      <c r="T1594" s="206" t="s">
        <v>2201</v>
      </c>
      <c r="U1594" s="210">
        <v>42196</v>
      </c>
      <c r="V1594" s="211" t="s">
        <v>186</v>
      </c>
      <c r="W1594" s="213">
        <f t="shared" si="725"/>
        <v>0</v>
      </c>
      <c r="X1594" s="213" t="str">
        <f t="shared" si="726"/>
        <v>Correcto</v>
      </c>
    </row>
    <row r="1595" spans="1:24" ht="18" customHeight="1" x14ac:dyDescent="0.25">
      <c r="A1595" s="214">
        <v>1586</v>
      </c>
      <c r="B1595" s="206" t="s">
        <v>5371</v>
      </c>
      <c r="C1595" s="207">
        <v>42193</v>
      </c>
      <c r="D1595" s="208">
        <v>2</v>
      </c>
      <c r="E1595" s="209" t="s">
        <v>93</v>
      </c>
      <c r="F1595" s="206" t="s">
        <v>825</v>
      </c>
      <c r="G1595" s="209" t="s">
        <v>202</v>
      </c>
      <c r="H1595" s="210">
        <v>42194</v>
      </c>
      <c r="I1595" s="209" t="s">
        <v>187</v>
      </c>
      <c r="J1595" s="209" t="s">
        <v>103</v>
      </c>
      <c r="K1595" s="209" t="s">
        <v>5372</v>
      </c>
      <c r="L1595" s="210">
        <v>42194</v>
      </c>
      <c r="M1595" s="206" t="s">
        <v>1914</v>
      </c>
      <c r="N1595" s="211" t="s">
        <v>185</v>
      </c>
      <c r="O1595" s="210">
        <v>42194</v>
      </c>
      <c r="P1595" s="212">
        <f t="shared" si="724"/>
        <v>1</v>
      </c>
      <c r="Q1595" s="209" t="s">
        <v>5372</v>
      </c>
      <c r="R1595" s="211" t="s">
        <v>17</v>
      </c>
      <c r="S1595" s="206" t="s">
        <v>101</v>
      </c>
      <c r="T1595" s="206" t="s">
        <v>1432</v>
      </c>
      <c r="U1595" s="210">
        <v>42196</v>
      </c>
      <c r="V1595" s="211" t="s">
        <v>186</v>
      </c>
      <c r="W1595" s="213">
        <f t="shared" si="725"/>
        <v>0</v>
      </c>
      <c r="X1595" s="213" t="str">
        <f t="shared" si="726"/>
        <v>Correcto</v>
      </c>
    </row>
    <row r="1596" spans="1:24" ht="18" customHeight="1" x14ac:dyDescent="0.25">
      <c r="A1596" s="214">
        <v>1587</v>
      </c>
      <c r="B1596" s="206" t="s">
        <v>5373</v>
      </c>
      <c r="C1596" s="207">
        <v>42193</v>
      </c>
      <c r="D1596" s="208">
        <v>2</v>
      </c>
      <c r="E1596" s="209" t="s">
        <v>93</v>
      </c>
      <c r="F1596" s="206" t="s">
        <v>825</v>
      </c>
      <c r="G1596" s="209" t="s">
        <v>202</v>
      </c>
      <c r="H1596" s="210">
        <v>42194</v>
      </c>
      <c r="I1596" s="209" t="s">
        <v>187</v>
      </c>
      <c r="J1596" s="209" t="s">
        <v>103</v>
      </c>
      <c r="K1596" s="209" t="s">
        <v>5374</v>
      </c>
      <c r="L1596" s="210">
        <v>42194</v>
      </c>
      <c r="M1596" s="206" t="s">
        <v>1914</v>
      </c>
      <c r="N1596" s="211" t="s">
        <v>185</v>
      </c>
      <c r="O1596" s="210">
        <v>42194</v>
      </c>
      <c r="P1596" s="212">
        <f t="shared" si="724"/>
        <v>1</v>
      </c>
      <c r="Q1596" s="209" t="s">
        <v>5374</v>
      </c>
      <c r="R1596" s="211" t="s">
        <v>17</v>
      </c>
      <c r="S1596" s="206" t="s">
        <v>101</v>
      </c>
      <c r="T1596" s="206" t="s">
        <v>5316</v>
      </c>
      <c r="U1596" s="210">
        <v>42196</v>
      </c>
      <c r="V1596" s="211" t="s">
        <v>186</v>
      </c>
      <c r="W1596" s="213">
        <f t="shared" si="725"/>
        <v>0</v>
      </c>
      <c r="X1596" s="213" t="str">
        <f t="shared" si="726"/>
        <v>Correcto</v>
      </c>
    </row>
    <row r="1597" spans="1:24" ht="18" customHeight="1" x14ac:dyDescent="0.25">
      <c r="A1597" s="214">
        <v>1588</v>
      </c>
      <c r="B1597" s="206" t="s">
        <v>5375</v>
      </c>
      <c r="C1597" s="207">
        <v>42193</v>
      </c>
      <c r="D1597" s="208">
        <v>28</v>
      </c>
      <c r="E1597" s="209" t="s">
        <v>93</v>
      </c>
      <c r="F1597" s="206" t="s">
        <v>1654</v>
      </c>
      <c r="G1597" s="209" t="s">
        <v>202</v>
      </c>
      <c r="H1597" s="210">
        <v>42195</v>
      </c>
      <c r="I1597" s="209" t="s">
        <v>187</v>
      </c>
      <c r="J1597" s="209" t="s">
        <v>103</v>
      </c>
      <c r="K1597" s="209" t="s">
        <v>5376</v>
      </c>
      <c r="L1597" s="210">
        <v>42195</v>
      </c>
      <c r="M1597" s="206" t="s">
        <v>1914</v>
      </c>
      <c r="N1597" s="211" t="s">
        <v>185</v>
      </c>
      <c r="O1597" s="210">
        <v>42195</v>
      </c>
      <c r="P1597" s="212">
        <f t="shared" si="724"/>
        <v>2</v>
      </c>
      <c r="Q1597" s="209" t="s">
        <v>5376</v>
      </c>
      <c r="R1597" s="211" t="s">
        <v>17</v>
      </c>
      <c r="S1597" s="206" t="s">
        <v>5377</v>
      </c>
      <c r="T1597" s="206" t="s">
        <v>5378</v>
      </c>
      <c r="U1597" s="210">
        <v>42195</v>
      </c>
      <c r="V1597" s="211" t="s">
        <v>186</v>
      </c>
      <c r="W1597" s="213">
        <f t="shared" si="725"/>
        <v>0</v>
      </c>
      <c r="X1597" s="213" t="str">
        <f t="shared" si="726"/>
        <v>Correcto</v>
      </c>
    </row>
    <row r="1598" spans="1:24" ht="18" customHeight="1" x14ac:dyDescent="0.25">
      <c r="A1598" s="214">
        <v>1589</v>
      </c>
      <c r="B1598" s="206" t="s">
        <v>5379</v>
      </c>
      <c r="C1598" s="207">
        <v>42193</v>
      </c>
      <c r="D1598" s="208">
        <v>2</v>
      </c>
      <c r="E1598" s="209" t="s">
        <v>93</v>
      </c>
      <c r="F1598" s="206" t="s">
        <v>1654</v>
      </c>
      <c r="G1598" s="209" t="s">
        <v>202</v>
      </c>
      <c r="H1598" s="210">
        <v>42194</v>
      </c>
      <c r="I1598" s="209" t="s">
        <v>187</v>
      </c>
      <c r="J1598" s="209" t="s">
        <v>103</v>
      </c>
      <c r="K1598" s="209" t="s">
        <v>5380</v>
      </c>
      <c r="L1598" s="210">
        <v>42194</v>
      </c>
      <c r="M1598" s="206" t="s">
        <v>1914</v>
      </c>
      <c r="N1598" s="211" t="s">
        <v>185</v>
      </c>
      <c r="O1598" s="210">
        <v>42194</v>
      </c>
      <c r="P1598" s="212">
        <f t="shared" si="724"/>
        <v>1</v>
      </c>
      <c r="Q1598" s="209" t="s">
        <v>5380</v>
      </c>
      <c r="R1598" s="211" t="s">
        <v>17</v>
      </c>
      <c r="S1598" s="206" t="s">
        <v>5381</v>
      </c>
      <c r="T1598" s="206" t="s">
        <v>5382</v>
      </c>
      <c r="U1598" s="210">
        <v>42195</v>
      </c>
      <c r="V1598" s="211" t="s">
        <v>186</v>
      </c>
      <c r="W1598" s="213">
        <f t="shared" si="725"/>
        <v>0</v>
      </c>
      <c r="X1598" s="213" t="str">
        <f t="shared" si="726"/>
        <v>Correcto</v>
      </c>
    </row>
    <row r="1599" spans="1:24" ht="18" customHeight="1" x14ac:dyDescent="0.25">
      <c r="A1599" s="214">
        <v>1590</v>
      </c>
      <c r="B1599" s="206" t="s">
        <v>5383</v>
      </c>
      <c r="C1599" s="207">
        <v>42193</v>
      </c>
      <c r="D1599" s="208">
        <v>2</v>
      </c>
      <c r="E1599" s="209" t="s">
        <v>93</v>
      </c>
      <c r="F1599" s="206" t="s">
        <v>1654</v>
      </c>
      <c r="G1599" s="209" t="s">
        <v>202</v>
      </c>
      <c r="H1599" s="210">
        <v>42194</v>
      </c>
      <c r="I1599" s="209" t="s">
        <v>187</v>
      </c>
      <c r="J1599" s="209" t="s">
        <v>103</v>
      </c>
      <c r="K1599" s="209" t="s">
        <v>5384</v>
      </c>
      <c r="L1599" s="210">
        <v>42194</v>
      </c>
      <c r="M1599" s="206" t="s">
        <v>1914</v>
      </c>
      <c r="N1599" s="211" t="s">
        <v>185</v>
      </c>
      <c r="O1599" s="210">
        <v>42194</v>
      </c>
      <c r="P1599" s="212">
        <f t="shared" si="724"/>
        <v>1</v>
      </c>
      <c r="Q1599" s="209" t="s">
        <v>5384</v>
      </c>
      <c r="R1599" s="211" t="s">
        <v>17</v>
      </c>
      <c r="S1599" s="206" t="s">
        <v>5385</v>
      </c>
      <c r="T1599" s="206" t="s">
        <v>5386</v>
      </c>
      <c r="U1599" s="210">
        <v>42195</v>
      </c>
      <c r="V1599" s="211" t="s">
        <v>186</v>
      </c>
      <c r="W1599" s="213">
        <f t="shared" si="725"/>
        <v>0</v>
      </c>
      <c r="X1599" s="213" t="str">
        <f t="shared" si="726"/>
        <v>Correcto</v>
      </c>
    </row>
    <row r="1600" spans="1:24" ht="18" customHeight="1" x14ac:dyDescent="0.25">
      <c r="A1600" s="214">
        <v>1591</v>
      </c>
      <c r="B1600" s="206" t="s">
        <v>5387</v>
      </c>
      <c r="C1600" s="207">
        <v>42193</v>
      </c>
      <c r="D1600" s="208">
        <v>2</v>
      </c>
      <c r="E1600" s="209" t="s">
        <v>93</v>
      </c>
      <c r="F1600" s="206" t="s">
        <v>1654</v>
      </c>
      <c r="G1600" s="209" t="s">
        <v>202</v>
      </c>
      <c r="H1600" s="210">
        <v>42194</v>
      </c>
      <c r="I1600" s="209" t="s">
        <v>187</v>
      </c>
      <c r="J1600" s="209" t="s">
        <v>103</v>
      </c>
      <c r="K1600" s="209" t="s">
        <v>5388</v>
      </c>
      <c r="L1600" s="210">
        <v>42194</v>
      </c>
      <c r="M1600" s="206" t="s">
        <v>1914</v>
      </c>
      <c r="N1600" s="211" t="s">
        <v>185</v>
      </c>
      <c r="O1600" s="210">
        <v>42194</v>
      </c>
      <c r="P1600" s="212">
        <f t="shared" si="724"/>
        <v>1</v>
      </c>
      <c r="Q1600" s="209" t="s">
        <v>5388</v>
      </c>
      <c r="R1600" s="211" t="s">
        <v>17</v>
      </c>
      <c r="S1600" s="206" t="s">
        <v>104</v>
      </c>
      <c r="T1600" s="206" t="s">
        <v>5389</v>
      </c>
      <c r="U1600" s="210">
        <v>42195</v>
      </c>
      <c r="V1600" s="211" t="s">
        <v>186</v>
      </c>
      <c r="W1600" s="213">
        <f t="shared" si="725"/>
        <v>0</v>
      </c>
      <c r="X1600" s="213" t="str">
        <f t="shared" si="726"/>
        <v>Correcto</v>
      </c>
    </row>
    <row r="1601" spans="1:24" ht="18" customHeight="1" x14ac:dyDescent="0.25">
      <c r="A1601" s="214">
        <v>1592</v>
      </c>
      <c r="B1601" s="206" t="s">
        <v>5390</v>
      </c>
      <c r="C1601" s="207">
        <v>42193</v>
      </c>
      <c r="D1601" s="208">
        <v>2</v>
      </c>
      <c r="E1601" s="209" t="s">
        <v>93</v>
      </c>
      <c r="F1601" s="206" t="s">
        <v>1654</v>
      </c>
      <c r="G1601" s="209" t="s">
        <v>202</v>
      </c>
      <c r="H1601" s="210">
        <v>42195</v>
      </c>
      <c r="I1601" s="209" t="s">
        <v>187</v>
      </c>
      <c r="J1601" s="209" t="s">
        <v>103</v>
      </c>
      <c r="K1601" s="209" t="s">
        <v>5391</v>
      </c>
      <c r="L1601" s="210">
        <v>42195</v>
      </c>
      <c r="M1601" s="206" t="s">
        <v>1914</v>
      </c>
      <c r="N1601" s="211" t="s">
        <v>185</v>
      </c>
      <c r="O1601" s="210">
        <v>42195</v>
      </c>
      <c r="P1601" s="212">
        <f t="shared" si="724"/>
        <v>2</v>
      </c>
      <c r="Q1601" s="209" t="s">
        <v>5391</v>
      </c>
      <c r="R1601" s="211" t="s">
        <v>605</v>
      </c>
      <c r="S1601" s="206" t="s">
        <v>101</v>
      </c>
      <c r="T1601" s="206" t="s">
        <v>5279</v>
      </c>
      <c r="U1601" s="210">
        <v>42196</v>
      </c>
      <c r="V1601" s="211" t="s">
        <v>186</v>
      </c>
      <c r="W1601" s="213">
        <f t="shared" si="725"/>
        <v>0</v>
      </c>
      <c r="X1601" s="213" t="str">
        <f t="shared" si="726"/>
        <v>Correcto</v>
      </c>
    </row>
    <row r="1602" spans="1:24" ht="18" customHeight="1" x14ac:dyDescent="0.25">
      <c r="A1602" s="214">
        <v>1593</v>
      </c>
      <c r="B1602" s="206" t="s">
        <v>5392</v>
      </c>
      <c r="C1602" s="207">
        <v>42193</v>
      </c>
      <c r="D1602" s="208">
        <v>2</v>
      </c>
      <c r="E1602" s="209" t="s">
        <v>93</v>
      </c>
      <c r="F1602" s="206" t="s">
        <v>825</v>
      </c>
      <c r="G1602" s="209" t="s">
        <v>202</v>
      </c>
      <c r="H1602" s="210">
        <v>42194</v>
      </c>
      <c r="I1602" s="209" t="s">
        <v>187</v>
      </c>
      <c r="J1602" s="209" t="s">
        <v>103</v>
      </c>
      <c r="K1602" s="209" t="s">
        <v>5393</v>
      </c>
      <c r="L1602" s="210">
        <v>42194</v>
      </c>
      <c r="M1602" s="206" t="s">
        <v>1914</v>
      </c>
      <c r="N1602" s="211" t="s">
        <v>185</v>
      </c>
      <c r="O1602" s="210">
        <v>42194</v>
      </c>
      <c r="P1602" s="212">
        <f t="shared" si="724"/>
        <v>1</v>
      </c>
      <c r="Q1602" s="209" t="s">
        <v>5393</v>
      </c>
      <c r="R1602" s="211" t="s">
        <v>17</v>
      </c>
      <c r="S1602" s="206" t="s">
        <v>101</v>
      </c>
      <c r="T1602" s="206" t="s">
        <v>1586</v>
      </c>
      <c r="U1602" s="210">
        <v>42196</v>
      </c>
      <c r="V1602" s="211" t="s">
        <v>186</v>
      </c>
      <c r="W1602" s="213">
        <f t="shared" si="725"/>
        <v>0</v>
      </c>
      <c r="X1602" s="213" t="str">
        <f t="shared" si="726"/>
        <v>Correcto</v>
      </c>
    </row>
    <row r="1603" spans="1:24" ht="18" customHeight="1" x14ac:dyDescent="0.25">
      <c r="A1603" s="214">
        <v>1594</v>
      </c>
      <c r="B1603" s="206" t="s">
        <v>5394</v>
      </c>
      <c r="C1603" s="207">
        <v>42193</v>
      </c>
      <c r="D1603" s="208">
        <v>2</v>
      </c>
      <c r="E1603" s="209" t="s">
        <v>93</v>
      </c>
      <c r="F1603" s="206" t="s">
        <v>1914</v>
      </c>
      <c r="G1603" s="209" t="s">
        <v>202</v>
      </c>
      <c r="H1603" s="210">
        <v>42195</v>
      </c>
      <c r="I1603" s="209" t="s">
        <v>187</v>
      </c>
      <c r="J1603" s="209" t="s">
        <v>103</v>
      </c>
      <c r="K1603" s="209" t="s">
        <v>5395</v>
      </c>
      <c r="L1603" s="210">
        <v>42195</v>
      </c>
      <c r="M1603" s="206" t="s">
        <v>1914</v>
      </c>
      <c r="N1603" s="211" t="s">
        <v>185</v>
      </c>
      <c r="O1603" s="210">
        <v>42195</v>
      </c>
      <c r="P1603" s="212">
        <f t="shared" si="724"/>
        <v>2</v>
      </c>
      <c r="Q1603" s="209" t="s">
        <v>5395</v>
      </c>
      <c r="R1603" s="211" t="s">
        <v>17</v>
      </c>
      <c r="S1603" s="206" t="s">
        <v>101</v>
      </c>
      <c r="T1603" s="206" t="s">
        <v>1586</v>
      </c>
      <c r="U1603" s="210">
        <v>42196</v>
      </c>
      <c r="V1603" s="211" t="s">
        <v>186</v>
      </c>
      <c r="W1603" s="213">
        <f t="shared" si="725"/>
        <v>0</v>
      </c>
      <c r="X1603" s="213" t="str">
        <f t="shared" si="726"/>
        <v>Correcto</v>
      </c>
    </row>
    <row r="1604" spans="1:24" ht="18" customHeight="1" x14ac:dyDescent="0.25">
      <c r="A1604" s="214">
        <v>1595</v>
      </c>
      <c r="B1604" s="206" t="s">
        <v>5396</v>
      </c>
      <c r="C1604" s="207">
        <v>42193</v>
      </c>
      <c r="D1604" s="208">
        <v>2</v>
      </c>
      <c r="E1604" s="209" t="s">
        <v>93</v>
      </c>
      <c r="F1604" s="206" t="s">
        <v>825</v>
      </c>
      <c r="G1604" s="209" t="s">
        <v>202</v>
      </c>
      <c r="H1604" s="210">
        <v>42194</v>
      </c>
      <c r="I1604" s="209" t="s">
        <v>187</v>
      </c>
      <c r="J1604" s="209" t="s">
        <v>103</v>
      </c>
      <c r="K1604" s="209" t="s">
        <v>5397</v>
      </c>
      <c r="L1604" s="210">
        <v>42194</v>
      </c>
      <c r="M1604" s="206" t="s">
        <v>1914</v>
      </c>
      <c r="N1604" s="211" t="s">
        <v>185</v>
      </c>
      <c r="O1604" s="210">
        <v>42194</v>
      </c>
      <c r="P1604" s="212">
        <f t="shared" si="724"/>
        <v>1</v>
      </c>
      <c r="Q1604" s="209" t="s">
        <v>5397</v>
      </c>
      <c r="R1604" s="211" t="s">
        <v>17</v>
      </c>
      <c r="S1604" s="206" t="s">
        <v>101</v>
      </c>
      <c r="T1604" s="206" t="s">
        <v>1586</v>
      </c>
      <c r="U1604" s="210">
        <v>42196</v>
      </c>
      <c r="V1604" s="211" t="s">
        <v>186</v>
      </c>
      <c r="W1604" s="213">
        <f t="shared" si="725"/>
        <v>0</v>
      </c>
      <c r="X1604" s="213" t="str">
        <f t="shared" si="726"/>
        <v>Correcto</v>
      </c>
    </row>
    <row r="1605" spans="1:24" ht="18" customHeight="1" x14ac:dyDescent="0.25">
      <c r="A1605" s="214">
        <v>1596</v>
      </c>
      <c r="B1605" s="206" t="s">
        <v>5398</v>
      </c>
      <c r="C1605" s="207">
        <v>42193</v>
      </c>
      <c r="D1605" s="208">
        <v>2</v>
      </c>
      <c r="E1605" s="209" t="s">
        <v>93</v>
      </c>
      <c r="F1605" s="206" t="s">
        <v>1914</v>
      </c>
      <c r="G1605" s="209" t="s">
        <v>202</v>
      </c>
      <c r="H1605" s="210">
        <v>42195</v>
      </c>
      <c r="I1605" s="209" t="s">
        <v>187</v>
      </c>
      <c r="J1605" s="209" t="s">
        <v>103</v>
      </c>
      <c r="K1605" s="209" t="s">
        <v>5399</v>
      </c>
      <c r="L1605" s="210">
        <v>42195</v>
      </c>
      <c r="M1605" s="206" t="s">
        <v>1914</v>
      </c>
      <c r="N1605" s="211" t="s">
        <v>185</v>
      </c>
      <c r="O1605" s="210">
        <v>42195</v>
      </c>
      <c r="P1605" s="212">
        <f t="shared" si="724"/>
        <v>2</v>
      </c>
      <c r="Q1605" s="209" t="s">
        <v>5399</v>
      </c>
      <c r="R1605" s="211" t="s">
        <v>17</v>
      </c>
      <c r="S1605" s="206" t="s">
        <v>5400</v>
      </c>
      <c r="T1605" s="206">
        <v>1103616676</v>
      </c>
      <c r="U1605" s="210">
        <v>42196</v>
      </c>
      <c r="V1605" s="211" t="s">
        <v>186</v>
      </c>
      <c r="W1605" s="213">
        <f t="shared" si="725"/>
        <v>0</v>
      </c>
      <c r="X1605" s="213" t="str">
        <f t="shared" si="726"/>
        <v>Correcto</v>
      </c>
    </row>
    <row r="1606" spans="1:24" ht="18" customHeight="1" x14ac:dyDescent="0.25">
      <c r="A1606" s="214">
        <v>1597</v>
      </c>
      <c r="B1606" s="206" t="s">
        <v>5401</v>
      </c>
      <c r="C1606" s="207">
        <v>42194</v>
      </c>
      <c r="D1606" s="208">
        <v>2</v>
      </c>
      <c r="E1606" s="209" t="s">
        <v>93</v>
      </c>
      <c r="F1606" s="206" t="s">
        <v>825</v>
      </c>
      <c r="G1606" s="209" t="s">
        <v>202</v>
      </c>
      <c r="H1606" s="210">
        <v>42195</v>
      </c>
      <c r="I1606" s="209" t="s">
        <v>187</v>
      </c>
      <c r="J1606" s="209" t="s">
        <v>103</v>
      </c>
      <c r="K1606" s="209" t="s">
        <v>5402</v>
      </c>
      <c r="L1606" s="210">
        <v>42195</v>
      </c>
      <c r="M1606" s="206" t="s">
        <v>824</v>
      </c>
      <c r="N1606" s="211" t="s">
        <v>185</v>
      </c>
      <c r="O1606" s="210">
        <v>42195</v>
      </c>
      <c r="P1606" s="212">
        <f t="shared" si="724"/>
        <v>1</v>
      </c>
      <c r="Q1606" s="209" t="s">
        <v>5402</v>
      </c>
      <c r="R1606" s="211" t="s">
        <v>17</v>
      </c>
      <c r="S1606" s="206" t="s">
        <v>5403</v>
      </c>
      <c r="T1606" s="206">
        <v>1103824387</v>
      </c>
      <c r="U1606" s="210"/>
      <c r="V1606" s="211" t="s">
        <v>186</v>
      </c>
      <c r="W1606" s="213">
        <f t="shared" si="725"/>
        <v>1</v>
      </c>
      <c r="X1606" s="213" t="str">
        <f t="shared" si="726"/>
        <v>Incorrecto</v>
      </c>
    </row>
    <row r="1607" spans="1:24" ht="18" customHeight="1" x14ac:dyDescent="0.25">
      <c r="A1607" s="214">
        <v>1598</v>
      </c>
      <c r="B1607" s="206" t="s">
        <v>5404</v>
      </c>
      <c r="C1607" s="207">
        <v>42194</v>
      </c>
      <c r="D1607" s="208">
        <v>2</v>
      </c>
      <c r="E1607" s="209" t="s">
        <v>93</v>
      </c>
      <c r="F1607" s="206" t="s">
        <v>825</v>
      </c>
      <c r="G1607" s="209" t="s">
        <v>202</v>
      </c>
      <c r="H1607" s="210">
        <v>42196</v>
      </c>
      <c r="I1607" s="209" t="s">
        <v>187</v>
      </c>
      <c r="J1607" s="209" t="s">
        <v>103</v>
      </c>
      <c r="K1607" s="209" t="s">
        <v>5405</v>
      </c>
      <c r="L1607" s="210">
        <v>42196</v>
      </c>
      <c r="M1607" s="206" t="s">
        <v>1914</v>
      </c>
      <c r="N1607" s="211" t="s">
        <v>185</v>
      </c>
      <c r="O1607" s="210">
        <v>42196</v>
      </c>
      <c r="P1607" s="212">
        <f t="shared" si="724"/>
        <v>2</v>
      </c>
      <c r="Q1607" s="209" t="s">
        <v>5405</v>
      </c>
      <c r="R1607" s="211" t="s">
        <v>17</v>
      </c>
      <c r="S1607" s="206" t="s">
        <v>5406</v>
      </c>
      <c r="T1607" s="206">
        <v>1101364600</v>
      </c>
      <c r="U1607" s="210"/>
      <c r="V1607" s="211" t="s">
        <v>186</v>
      </c>
      <c r="W1607" s="213">
        <f t="shared" si="725"/>
        <v>1</v>
      </c>
      <c r="X1607" s="213" t="str">
        <f t="shared" si="726"/>
        <v>Incorrecto</v>
      </c>
    </row>
    <row r="1608" spans="1:24" ht="18" customHeight="1" x14ac:dyDescent="0.25">
      <c r="A1608" s="214">
        <v>1599</v>
      </c>
      <c r="B1608" s="206" t="s">
        <v>5407</v>
      </c>
      <c r="C1608" s="207">
        <v>42194</v>
      </c>
      <c r="D1608" s="208">
        <v>2</v>
      </c>
      <c r="E1608" s="209" t="s">
        <v>93</v>
      </c>
      <c r="F1608" s="206" t="s">
        <v>824</v>
      </c>
      <c r="G1608" s="209" t="s">
        <v>202</v>
      </c>
      <c r="H1608" s="210">
        <v>42195</v>
      </c>
      <c r="I1608" s="209" t="s">
        <v>187</v>
      </c>
      <c r="J1608" s="209" t="s">
        <v>103</v>
      </c>
      <c r="K1608" s="209" t="s">
        <v>5408</v>
      </c>
      <c r="L1608" s="210">
        <v>42195</v>
      </c>
      <c r="M1608" s="206" t="s">
        <v>824</v>
      </c>
      <c r="N1608" s="211" t="s">
        <v>185</v>
      </c>
      <c r="O1608" s="210">
        <v>42195</v>
      </c>
      <c r="P1608" s="212">
        <f t="shared" si="724"/>
        <v>1</v>
      </c>
      <c r="Q1608" s="209" t="s">
        <v>5408</v>
      </c>
      <c r="R1608" s="211" t="s">
        <v>17</v>
      </c>
      <c r="S1608" s="206" t="s">
        <v>5409</v>
      </c>
      <c r="T1608" s="206">
        <v>1105037475</v>
      </c>
      <c r="U1608" s="210"/>
      <c r="V1608" s="211" t="s">
        <v>186</v>
      </c>
      <c r="W1608" s="213">
        <f t="shared" si="725"/>
        <v>1</v>
      </c>
      <c r="X1608" s="213" t="str">
        <f t="shared" si="726"/>
        <v>Incorrecto</v>
      </c>
    </row>
    <row r="1609" spans="1:24" ht="18" customHeight="1" x14ac:dyDescent="0.25">
      <c r="A1609" s="214">
        <v>1600</v>
      </c>
      <c r="B1609" s="206" t="s">
        <v>5410</v>
      </c>
      <c r="C1609" s="207">
        <v>42194</v>
      </c>
      <c r="D1609" s="208">
        <v>2</v>
      </c>
      <c r="E1609" s="209" t="s">
        <v>93</v>
      </c>
      <c r="F1609" s="206" t="s">
        <v>825</v>
      </c>
      <c r="G1609" s="209" t="s">
        <v>202</v>
      </c>
      <c r="H1609" s="210">
        <v>42195</v>
      </c>
      <c r="I1609" s="209" t="s">
        <v>187</v>
      </c>
      <c r="J1609" s="209" t="s">
        <v>103</v>
      </c>
      <c r="K1609" s="209" t="s">
        <v>5411</v>
      </c>
      <c r="L1609" s="210">
        <v>42195</v>
      </c>
      <c r="M1609" s="206" t="s">
        <v>824</v>
      </c>
      <c r="N1609" s="211" t="s">
        <v>185</v>
      </c>
      <c r="O1609" s="210">
        <v>42195</v>
      </c>
      <c r="P1609" s="212">
        <f t="shared" si="724"/>
        <v>1</v>
      </c>
      <c r="Q1609" s="209" t="s">
        <v>5411</v>
      </c>
      <c r="R1609" s="211" t="s">
        <v>17</v>
      </c>
      <c r="S1609" s="206" t="s">
        <v>5412</v>
      </c>
      <c r="T1609" s="206">
        <v>1104299308</v>
      </c>
      <c r="U1609" s="210"/>
      <c r="V1609" s="211" t="s">
        <v>186</v>
      </c>
      <c r="W1609" s="213">
        <f t="shared" si="725"/>
        <v>1</v>
      </c>
      <c r="X1609" s="213" t="str">
        <f t="shared" si="726"/>
        <v>Incorrecto</v>
      </c>
    </row>
    <row r="1610" spans="1:24" ht="18" customHeight="1" x14ac:dyDescent="0.25">
      <c r="A1610" s="214">
        <v>1601</v>
      </c>
      <c r="B1610" s="206" t="s">
        <v>5413</v>
      </c>
      <c r="C1610" s="207">
        <v>42194</v>
      </c>
      <c r="D1610" s="208">
        <v>2</v>
      </c>
      <c r="E1610" s="209" t="s">
        <v>93</v>
      </c>
      <c r="F1610" s="206" t="s">
        <v>1654</v>
      </c>
      <c r="G1610" s="209" t="s">
        <v>202</v>
      </c>
      <c r="H1610" s="210">
        <v>42196</v>
      </c>
      <c r="I1610" s="209" t="s">
        <v>187</v>
      </c>
      <c r="J1610" s="209" t="s">
        <v>103</v>
      </c>
      <c r="K1610" s="209" t="s">
        <v>5414</v>
      </c>
      <c r="L1610" s="210">
        <v>42196</v>
      </c>
      <c r="M1610" s="206" t="s">
        <v>1914</v>
      </c>
      <c r="N1610" s="211" t="s">
        <v>185</v>
      </c>
      <c r="O1610" s="210">
        <v>42196</v>
      </c>
      <c r="P1610" s="212">
        <f t="shared" si="724"/>
        <v>2</v>
      </c>
      <c r="Q1610" s="209" t="s">
        <v>5414</v>
      </c>
      <c r="R1610" s="211" t="s">
        <v>17</v>
      </c>
      <c r="S1610" s="206" t="s">
        <v>5415</v>
      </c>
      <c r="T1610" s="206">
        <v>1102858956</v>
      </c>
      <c r="U1610" s="210"/>
      <c r="V1610" s="211" t="s">
        <v>186</v>
      </c>
      <c r="W1610" s="213">
        <f t="shared" si="725"/>
        <v>1</v>
      </c>
      <c r="X1610" s="213" t="str">
        <f t="shared" si="726"/>
        <v>Incorrecto</v>
      </c>
    </row>
    <row r="1611" spans="1:24" ht="18" customHeight="1" x14ac:dyDescent="0.25">
      <c r="A1611" s="214">
        <v>1602</v>
      </c>
      <c r="B1611" s="206" t="s">
        <v>5416</v>
      </c>
      <c r="C1611" s="207">
        <v>42194</v>
      </c>
      <c r="D1611" s="208">
        <v>22</v>
      </c>
      <c r="E1611" s="209" t="s">
        <v>93</v>
      </c>
      <c r="F1611" s="206" t="s">
        <v>825</v>
      </c>
      <c r="G1611" s="209" t="s">
        <v>202</v>
      </c>
      <c r="H1611" s="210">
        <v>42195</v>
      </c>
      <c r="I1611" s="209" t="s">
        <v>187</v>
      </c>
      <c r="J1611" s="209" t="s">
        <v>103</v>
      </c>
      <c r="K1611" s="209" t="s">
        <v>5417</v>
      </c>
      <c r="L1611" s="210">
        <v>42195</v>
      </c>
      <c r="M1611" s="206" t="s">
        <v>824</v>
      </c>
      <c r="N1611" s="211" t="s">
        <v>185</v>
      </c>
      <c r="O1611" s="210">
        <v>42195</v>
      </c>
      <c r="P1611" s="212">
        <f t="shared" si="724"/>
        <v>1</v>
      </c>
      <c r="Q1611" s="209" t="s">
        <v>5417</v>
      </c>
      <c r="R1611" s="211" t="s">
        <v>17</v>
      </c>
      <c r="S1611" s="206" t="s">
        <v>5418</v>
      </c>
      <c r="T1611" s="206">
        <v>11050187357</v>
      </c>
      <c r="U1611" s="210"/>
      <c r="V1611" s="211" t="s">
        <v>186</v>
      </c>
      <c r="W1611" s="213">
        <f t="shared" si="725"/>
        <v>1</v>
      </c>
      <c r="X1611" s="213" t="str">
        <f t="shared" si="726"/>
        <v>Incorrecto</v>
      </c>
    </row>
    <row r="1612" spans="1:24" ht="18" customHeight="1" x14ac:dyDescent="0.25">
      <c r="A1612" s="214">
        <v>1603</v>
      </c>
      <c r="B1612" s="206" t="s">
        <v>5419</v>
      </c>
      <c r="C1612" s="207">
        <v>42194</v>
      </c>
      <c r="D1612" s="208">
        <v>2</v>
      </c>
      <c r="E1612" s="209" t="s">
        <v>93</v>
      </c>
      <c r="F1612" s="206" t="s">
        <v>1914</v>
      </c>
      <c r="G1612" s="209" t="s">
        <v>202</v>
      </c>
      <c r="H1612" s="210">
        <v>42196</v>
      </c>
      <c r="I1612" s="209" t="s">
        <v>187</v>
      </c>
      <c r="J1612" s="209" t="s">
        <v>103</v>
      </c>
      <c r="K1612" s="209" t="s">
        <v>5420</v>
      </c>
      <c r="L1612" s="210">
        <v>42196</v>
      </c>
      <c r="M1612" s="206" t="s">
        <v>1914</v>
      </c>
      <c r="N1612" s="211" t="s">
        <v>185</v>
      </c>
      <c r="O1612" s="210">
        <v>42196</v>
      </c>
      <c r="P1612" s="212">
        <f t="shared" si="724"/>
        <v>2</v>
      </c>
      <c r="Q1612" s="209" t="s">
        <v>5420</v>
      </c>
      <c r="R1612" s="211" t="s">
        <v>17</v>
      </c>
      <c r="S1612" s="206" t="s">
        <v>5421</v>
      </c>
      <c r="T1612" s="206">
        <v>1103600167</v>
      </c>
      <c r="U1612" s="210"/>
      <c r="V1612" s="211" t="s">
        <v>186</v>
      </c>
      <c r="W1612" s="213">
        <f t="shared" si="725"/>
        <v>1</v>
      </c>
      <c r="X1612" s="213" t="str">
        <f t="shared" si="726"/>
        <v>Incorrecto</v>
      </c>
    </row>
    <row r="1613" spans="1:24" ht="18" customHeight="1" x14ac:dyDescent="0.25">
      <c r="A1613" s="214">
        <v>1604</v>
      </c>
      <c r="B1613" s="206" t="s">
        <v>5422</v>
      </c>
      <c r="C1613" s="207">
        <v>42194</v>
      </c>
      <c r="D1613" s="208">
        <v>2</v>
      </c>
      <c r="E1613" s="209" t="s">
        <v>93</v>
      </c>
      <c r="F1613" s="206" t="s">
        <v>1914</v>
      </c>
      <c r="G1613" s="209" t="s">
        <v>202</v>
      </c>
      <c r="H1613" s="210">
        <v>42195</v>
      </c>
      <c r="I1613" s="209" t="s">
        <v>187</v>
      </c>
      <c r="J1613" s="209" t="s">
        <v>103</v>
      </c>
      <c r="K1613" s="209" t="s">
        <v>5423</v>
      </c>
      <c r="L1613" s="210">
        <v>42195</v>
      </c>
      <c r="M1613" s="206" t="s">
        <v>1914</v>
      </c>
      <c r="N1613" s="211" t="s">
        <v>185</v>
      </c>
      <c r="O1613" s="210">
        <v>42195</v>
      </c>
      <c r="P1613" s="212">
        <f t="shared" si="724"/>
        <v>1</v>
      </c>
      <c r="Q1613" s="209" t="s">
        <v>5423</v>
      </c>
      <c r="R1613" s="211" t="s">
        <v>17</v>
      </c>
      <c r="S1613" s="206" t="s">
        <v>101</v>
      </c>
      <c r="T1613" s="206" t="s">
        <v>1825</v>
      </c>
      <c r="U1613" s="210">
        <v>42196</v>
      </c>
      <c r="V1613" s="211" t="s">
        <v>186</v>
      </c>
      <c r="W1613" s="213">
        <f t="shared" si="725"/>
        <v>0</v>
      </c>
      <c r="X1613" s="213" t="str">
        <f t="shared" si="726"/>
        <v>Correcto</v>
      </c>
    </row>
    <row r="1614" spans="1:24" ht="18" customHeight="1" x14ac:dyDescent="0.25">
      <c r="A1614" s="214">
        <v>1605</v>
      </c>
      <c r="B1614" s="206" t="s">
        <v>5424</v>
      </c>
      <c r="C1614" s="207">
        <v>42194</v>
      </c>
      <c r="D1614" s="208">
        <v>2</v>
      </c>
      <c r="E1614" s="209" t="s">
        <v>93</v>
      </c>
      <c r="F1614" s="206" t="s">
        <v>1914</v>
      </c>
      <c r="G1614" s="209" t="s">
        <v>202</v>
      </c>
      <c r="H1614" s="210">
        <v>42195</v>
      </c>
      <c r="I1614" s="209" t="s">
        <v>187</v>
      </c>
      <c r="J1614" s="209" t="s">
        <v>103</v>
      </c>
      <c r="K1614" s="209" t="s">
        <v>5425</v>
      </c>
      <c r="L1614" s="210">
        <v>42195</v>
      </c>
      <c r="M1614" s="206" t="s">
        <v>1914</v>
      </c>
      <c r="N1614" s="211" t="s">
        <v>185</v>
      </c>
      <c r="O1614" s="210">
        <v>42195</v>
      </c>
      <c r="P1614" s="212">
        <f t="shared" si="724"/>
        <v>1</v>
      </c>
      <c r="Q1614" s="209" t="s">
        <v>5425</v>
      </c>
      <c r="R1614" s="211" t="s">
        <v>17</v>
      </c>
      <c r="S1614" s="206" t="s">
        <v>101</v>
      </c>
      <c r="T1614" s="206" t="s">
        <v>4513</v>
      </c>
      <c r="U1614" s="210">
        <v>42137</v>
      </c>
      <c r="V1614" s="211" t="s">
        <v>186</v>
      </c>
      <c r="W1614" s="213">
        <f t="shared" si="725"/>
        <v>0</v>
      </c>
      <c r="X1614" s="213" t="str">
        <f t="shared" si="726"/>
        <v>Correcto</v>
      </c>
    </row>
    <row r="1615" spans="1:24" ht="18" customHeight="1" x14ac:dyDescent="0.25">
      <c r="A1615" s="214">
        <v>1606</v>
      </c>
      <c r="B1615" s="206" t="s">
        <v>5426</v>
      </c>
      <c r="C1615" s="207">
        <v>42194</v>
      </c>
      <c r="D1615" s="208">
        <v>2</v>
      </c>
      <c r="E1615" s="209" t="s">
        <v>93</v>
      </c>
      <c r="F1615" s="206" t="s">
        <v>825</v>
      </c>
      <c r="G1615" s="209" t="s">
        <v>202</v>
      </c>
      <c r="H1615" s="210">
        <v>42195</v>
      </c>
      <c r="I1615" s="209" t="s">
        <v>187</v>
      </c>
      <c r="J1615" s="209" t="s">
        <v>103</v>
      </c>
      <c r="K1615" s="209" t="s">
        <v>5427</v>
      </c>
      <c r="L1615" s="210">
        <v>42195</v>
      </c>
      <c r="M1615" s="206" t="s">
        <v>824</v>
      </c>
      <c r="N1615" s="211" t="s">
        <v>185</v>
      </c>
      <c r="O1615" s="210">
        <v>42195</v>
      </c>
      <c r="P1615" s="212">
        <f t="shared" si="724"/>
        <v>1</v>
      </c>
      <c r="Q1615" s="209" t="s">
        <v>5427</v>
      </c>
      <c r="R1615" s="211" t="s">
        <v>17</v>
      </c>
      <c r="S1615" s="206" t="s">
        <v>101</v>
      </c>
      <c r="T1615" s="206" t="s">
        <v>5428</v>
      </c>
      <c r="U1615" s="210">
        <v>42196</v>
      </c>
      <c r="V1615" s="211" t="s">
        <v>186</v>
      </c>
      <c r="W1615" s="213">
        <f t="shared" si="725"/>
        <v>0</v>
      </c>
      <c r="X1615" s="213" t="str">
        <f t="shared" si="726"/>
        <v>Correcto</v>
      </c>
    </row>
    <row r="1616" spans="1:24" ht="18" customHeight="1" x14ac:dyDescent="0.25">
      <c r="A1616" s="214">
        <v>1607</v>
      </c>
      <c r="B1616" s="206" t="s">
        <v>5429</v>
      </c>
      <c r="C1616" s="207">
        <v>42194</v>
      </c>
      <c r="D1616" s="208">
        <v>2</v>
      </c>
      <c r="E1616" s="209" t="s">
        <v>93</v>
      </c>
      <c r="F1616" s="206" t="s">
        <v>825</v>
      </c>
      <c r="G1616" s="209" t="s">
        <v>202</v>
      </c>
      <c r="H1616" s="210">
        <v>42195</v>
      </c>
      <c r="I1616" s="209" t="s">
        <v>187</v>
      </c>
      <c r="J1616" s="209" t="s">
        <v>103</v>
      </c>
      <c r="K1616" s="209" t="s">
        <v>5430</v>
      </c>
      <c r="L1616" s="210">
        <v>42195</v>
      </c>
      <c r="M1616" s="206" t="s">
        <v>824</v>
      </c>
      <c r="N1616" s="211" t="s">
        <v>185</v>
      </c>
      <c r="O1616" s="210">
        <v>42195</v>
      </c>
      <c r="P1616" s="212">
        <f t="shared" si="724"/>
        <v>1</v>
      </c>
      <c r="Q1616" s="209" t="s">
        <v>5430</v>
      </c>
      <c r="R1616" s="211" t="s">
        <v>17</v>
      </c>
      <c r="S1616" s="206" t="s">
        <v>5431</v>
      </c>
      <c r="T1616" s="206">
        <v>1150094637</v>
      </c>
      <c r="U1616" s="210"/>
      <c r="V1616" s="211" t="s">
        <v>186</v>
      </c>
      <c r="W1616" s="213">
        <f t="shared" si="725"/>
        <v>1</v>
      </c>
      <c r="X1616" s="213" t="str">
        <f t="shared" si="726"/>
        <v>Incorrecto</v>
      </c>
    </row>
    <row r="1617" spans="1:24" ht="18" customHeight="1" x14ac:dyDescent="0.25">
      <c r="A1617" s="214">
        <v>1608</v>
      </c>
      <c r="B1617" s="206" t="s">
        <v>5432</v>
      </c>
      <c r="C1617" s="207">
        <v>42194</v>
      </c>
      <c r="D1617" s="208">
        <v>2</v>
      </c>
      <c r="E1617" s="209" t="s">
        <v>93</v>
      </c>
      <c r="F1617" s="206" t="s">
        <v>825</v>
      </c>
      <c r="G1617" s="209" t="s">
        <v>202</v>
      </c>
      <c r="H1617" s="210">
        <v>42195</v>
      </c>
      <c r="I1617" s="209" t="s">
        <v>187</v>
      </c>
      <c r="J1617" s="209" t="s">
        <v>103</v>
      </c>
      <c r="K1617" s="209" t="s">
        <v>5433</v>
      </c>
      <c r="L1617" s="210">
        <v>42195</v>
      </c>
      <c r="M1617" s="206" t="s">
        <v>824</v>
      </c>
      <c r="N1617" s="211" t="s">
        <v>185</v>
      </c>
      <c r="O1617" s="210">
        <v>42195</v>
      </c>
      <c r="P1617" s="212">
        <f t="shared" si="724"/>
        <v>1</v>
      </c>
      <c r="Q1617" s="209" t="s">
        <v>5433</v>
      </c>
      <c r="R1617" s="211" t="s">
        <v>17</v>
      </c>
      <c r="S1617" s="206" t="s">
        <v>101</v>
      </c>
      <c r="T1617" s="206" t="s">
        <v>1693</v>
      </c>
      <c r="U1617" s="210">
        <v>42196</v>
      </c>
      <c r="V1617" s="211" t="s">
        <v>186</v>
      </c>
      <c r="W1617" s="213">
        <f t="shared" si="725"/>
        <v>0</v>
      </c>
      <c r="X1617" s="213" t="str">
        <f t="shared" si="726"/>
        <v>Correcto</v>
      </c>
    </row>
    <row r="1618" spans="1:24" ht="18" customHeight="1" x14ac:dyDescent="0.25">
      <c r="A1618" s="214">
        <v>1609</v>
      </c>
      <c r="B1618" s="206" t="s">
        <v>5434</v>
      </c>
      <c r="C1618" s="207">
        <v>42194</v>
      </c>
      <c r="D1618" s="208">
        <v>2</v>
      </c>
      <c r="E1618" s="209" t="s">
        <v>93</v>
      </c>
      <c r="F1618" s="206" t="s">
        <v>1654</v>
      </c>
      <c r="G1618" s="209" t="s">
        <v>202</v>
      </c>
      <c r="H1618" s="210">
        <v>42196</v>
      </c>
      <c r="I1618" s="209" t="s">
        <v>187</v>
      </c>
      <c r="J1618" s="209" t="s">
        <v>103</v>
      </c>
      <c r="K1618" s="209" t="s">
        <v>5435</v>
      </c>
      <c r="L1618" s="210">
        <v>42196</v>
      </c>
      <c r="M1618" s="206" t="s">
        <v>1914</v>
      </c>
      <c r="N1618" s="211" t="s">
        <v>185</v>
      </c>
      <c r="O1618" s="210">
        <v>42196</v>
      </c>
      <c r="P1618" s="212">
        <f t="shared" si="724"/>
        <v>2</v>
      </c>
      <c r="Q1618" s="209" t="s">
        <v>5435</v>
      </c>
      <c r="R1618" s="211" t="s">
        <v>17</v>
      </c>
      <c r="S1618" s="206" t="s">
        <v>5436</v>
      </c>
      <c r="T1618" s="206">
        <v>1103019038</v>
      </c>
      <c r="U1618" s="210"/>
      <c r="V1618" s="211" t="s">
        <v>186</v>
      </c>
      <c r="W1618" s="213">
        <f t="shared" si="725"/>
        <v>1</v>
      </c>
      <c r="X1618" s="213" t="str">
        <f t="shared" si="726"/>
        <v>Incorrecto</v>
      </c>
    </row>
    <row r="1619" spans="1:24" ht="18" customHeight="1" x14ac:dyDescent="0.25">
      <c r="A1619" s="214">
        <v>1610</v>
      </c>
      <c r="B1619" s="206" t="s">
        <v>5437</v>
      </c>
      <c r="C1619" s="207">
        <v>42194</v>
      </c>
      <c r="D1619" s="208">
        <v>2</v>
      </c>
      <c r="E1619" s="209" t="s">
        <v>93</v>
      </c>
      <c r="F1619" s="206" t="s">
        <v>825</v>
      </c>
      <c r="G1619" s="209" t="s">
        <v>202</v>
      </c>
      <c r="H1619" s="210">
        <v>42195</v>
      </c>
      <c r="I1619" s="209" t="s">
        <v>187</v>
      </c>
      <c r="J1619" s="209" t="s">
        <v>103</v>
      </c>
      <c r="K1619" s="209" t="s">
        <v>5438</v>
      </c>
      <c r="L1619" s="210">
        <v>42195</v>
      </c>
      <c r="M1619" s="206" t="s">
        <v>824</v>
      </c>
      <c r="N1619" s="211" t="s">
        <v>185</v>
      </c>
      <c r="O1619" s="210">
        <v>42195</v>
      </c>
      <c r="P1619" s="212">
        <f t="shared" si="724"/>
        <v>1</v>
      </c>
      <c r="Q1619" s="209" t="s">
        <v>5438</v>
      </c>
      <c r="R1619" s="211" t="s">
        <v>17</v>
      </c>
      <c r="S1619" s="206" t="s">
        <v>5439</v>
      </c>
      <c r="T1619" s="206">
        <v>1105535999</v>
      </c>
      <c r="U1619" s="210"/>
      <c r="V1619" s="211" t="s">
        <v>186</v>
      </c>
      <c r="W1619" s="213">
        <f t="shared" si="725"/>
        <v>1</v>
      </c>
      <c r="X1619" s="213" t="str">
        <f t="shared" si="726"/>
        <v>Incorrecto</v>
      </c>
    </row>
    <row r="1620" spans="1:24" ht="18" customHeight="1" x14ac:dyDescent="0.25">
      <c r="A1620" s="214">
        <v>1611</v>
      </c>
      <c r="B1620" s="206" t="s">
        <v>5440</v>
      </c>
      <c r="C1620" s="207">
        <v>42195</v>
      </c>
      <c r="D1620" s="208">
        <v>2</v>
      </c>
      <c r="E1620" s="209" t="s">
        <v>93</v>
      </c>
      <c r="F1620" s="206" t="s">
        <v>825</v>
      </c>
      <c r="G1620" s="209" t="s">
        <v>202</v>
      </c>
      <c r="H1620" s="210">
        <v>42196</v>
      </c>
      <c r="I1620" s="209" t="s">
        <v>187</v>
      </c>
      <c r="J1620" s="209" t="s">
        <v>103</v>
      </c>
      <c r="K1620" s="209" t="s">
        <v>5441</v>
      </c>
      <c r="L1620" s="210">
        <v>42196</v>
      </c>
      <c r="M1620" s="206" t="s">
        <v>824</v>
      </c>
      <c r="N1620" s="211" t="s">
        <v>185</v>
      </c>
      <c r="O1620" s="210">
        <v>42196</v>
      </c>
      <c r="P1620" s="212">
        <f t="shared" si="724"/>
        <v>1</v>
      </c>
      <c r="Q1620" s="209" t="s">
        <v>5441</v>
      </c>
      <c r="R1620" s="211" t="s">
        <v>17</v>
      </c>
      <c r="S1620" s="206" t="s">
        <v>5442</v>
      </c>
      <c r="T1620" s="206">
        <v>1101107785</v>
      </c>
      <c r="U1620" s="210">
        <v>42196</v>
      </c>
      <c r="V1620" s="211" t="s">
        <v>186</v>
      </c>
      <c r="W1620" s="213">
        <f t="shared" si="725"/>
        <v>0</v>
      </c>
      <c r="X1620" s="213" t="str">
        <f t="shared" si="726"/>
        <v>Correcto</v>
      </c>
    </row>
    <row r="1621" spans="1:24" ht="18" customHeight="1" x14ac:dyDescent="0.25">
      <c r="A1621" s="214">
        <v>1612</v>
      </c>
      <c r="B1621" s="206" t="s">
        <v>5443</v>
      </c>
      <c r="C1621" s="207">
        <v>42195</v>
      </c>
      <c r="D1621" s="208">
        <v>2</v>
      </c>
      <c r="E1621" s="209" t="s">
        <v>93</v>
      </c>
      <c r="F1621" s="206" t="s">
        <v>825</v>
      </c>
      <c r="G1621" s="209" t="s">
        <v>202</v>
      </c>
      <c r="H1621" s="210">
        <v>42196</v>
      </c>
      <c r="I1621" s="209" t="s">
        <v>187</v>
      </c>
      <c r="J1621" s="209" t="s">
        <v>103</v>
      </c>
      <c r="K1621" s="209" t="s">
        <v>5444</v>
      </c>
      <c r="L1621" s="210">
        <v>42196</v>
      </c>
      <c r="M1621" s="206" t="s">
        <v>824</v>
      </c>
      <c r="N1621" s="211" t="s">
        <v>185</v>
      </c>
      <c r="O1621" s="210">
        <v>42196</v>
      </c>
      <c r="P1621" s="212">
        <f t="shared" si="724"/>
        <v>1</v>
      </c>
      <c r="Q1621" s="209" t="s">
        <v>5444</v>
      </c>
      <c r="R1621" s="211" t="s">
        <v>17</v>
      </c>
      <c r="S1621" s="206" t="s">
        <v>5445</v>
      </c>
      <c r="T1621" s="206">
        <v>1104611064</v>
      </c>
      <c r="U1621" s="210"/>
      <c r="V1621" s="211" t="s">
        <v>186</v>
      </c>
      <c r="W1621" s="213">
        <f t="shared" si="725"/>
        <v>1</v>
      </c>
      <c r="X1621" s="213" t="str">
        <f t="shared" si="726"/>
        <v>Incorrecto</v>
      </c>
    </row>
    <row r="1622" spans="1:24" ht="18" customHeight="1" x14ac:dyDescent="0.25">
      <c r="A1622" s="214">
        <v>1613</v>
      </c>
      <c r="B1622" s="206" t="s">
        <v>5446</v>
      </c>
      <c r="C1622" s="207">
        <v>42195</v>
      </c>
      <c r="D1622" s="208">
        <v>2</v>
      </c>
      <c r="E1622" s="209" t="s">
        <v>93</v>
      </c>
      <c r="F1622" s="206" t="s">
        <v>825</v>
      </c>
      <c r="G1622" s="209" t="s">
        <v>202</v>
      </c>
      <c r="H1622" s="210">
        <v>42196</v>
      </c>
      <c r="I1622" s="209" t="s">
        <v>187</v>
      </c>
      <c r="J1622" s="209" t="s">
        <v>103</v>
      </c>
      <c r="K1622" s="209" t="s">
        <v>5447</v>
      </c>
      <c r="L1622" s="210">
        <v>42196</v>
      </c>
      <c r="M1622" s="206" t="s">
        <v>824</v>
      </c>
      <c r="N1622" s="211" t="s">
        <v>185</v>
      </c>
      <c r="O1622" s="210">
        <v>42196</v>
      </c>
      <c r="P1622" s="212">
        <f t="shared" si="724"/>
        <v>1</v>
      </c>
      <c r="Q1622" s="209" t="s">
        <v>5447</v>
      </c>
      <c r="R1622" s="211" t="s">
        <v>17</v>
      </c>
      <c r="S1622" s="206" t="s">
        <v>5448</v>
      </c>
      <c r="T1622" s="206" t="s">
        <v>5449</v>
      </c>
      <c r="U1622" s="210">
        <v>42198</v>
      </c>
      <c r="V1622" s="211" t="s">
        <v>186</v>
      </c>
      <c r="W1622" s="213">
        <f t="shared" si="725"/>
        <v>0</v>
      </c>
      <c r="X1622" s="213" t="str">
        <f t="shared" si="726"/>
        <v>Correcto</v>
      </c>
    </row>
    <row r="1623" spans="1:24" ht="18" customHeight="1" x14ac:dyDescent="0.25">
      <c r="A1623" s="214">
        <v>1614</v>
      </c>
      <c r="B1623" s="206" t="s">
        <v>5450</v>
      </c>
      <c r="C1623" s="207">
        <v>42195</v>
      </c>
      <c r="D1623" s="208">
        <v>2</v>
      </c>
      <c r="E1623" s="209" t="s">
        <v>93</v>
      </c>
      <c r="F1623" s="206" t="s">
        <v>825</v>
      </c>
      <c r="G1623" s="209" t="s">
        <v>202</v>
      </c>
      <c r="H1623" s="210">
        <v>42196</v>
      </c>
      <c r="I1623" s="209" t="s">
        <v>187</v>
      </c>
      <c r="J1623" s="209" t="s">
        <v>103</v>
      </c>
      <c r="K1623" s="209" t="s">
        <v>5451</v>
      </c>
      <c r="L1623" s="210">
        <v>42196</v>
      </c>
      <c r="M1623" s="206" t="s">
        <v>824</v>
      </c>
      <c r="N1623" s="211" t="s">
        <v>185</v>
      </c>
      <c r="O1623" s="210">
        <v>42196</v>
      </c>
      <c r="P1623" s="212">
        <f t="shared" si="724"/>
        <v>1</v>
      </c>
      <c r="Q1623" s="209" t="s">
        <v>5451</v>
      </c>
      <c r="R1623" s="211" t="s">
        <v>17</v>
      </c>
      <c r="S1623" s="206" t="s">
        <v>5452</v>
      </c>
      <c r="T1623" s="206" t="s">
        <v>5453</v>
      </c>
      <c r="U1623" s="210">
        <v>42198</v>
      </c>
      <c r="V1623" s="211" t="s">
        <v>186</v>
      </c>
      <c r="W1623" s="213">
        <f t="shared" si="725"/>
        <v>0</v>
      </c>
      <c r="X1623" s="213" t="str">
        <f t="shared" si="726"/>
        <v>Correcto</v>
      </c>
    </row>
    <row r="1624" spans="1:24" ht="18" customHeight="1" x14ac:dyDescent="0.25">
      <c r="A1624" s="214">
        <v>1615</v>
      </c>
      <c r="B1624" s="206" t="s">
        <v>5454</v>
      </c>
      <c r="C1624" s="207">
        <v>42195</v>
      </c>
      <c r="D1624" s="208">
        <v>2</v>
      </c>
      <c r="E1624" s="209" t="s">
        <v>93</v>
      </c>
      <c r="F1624" s="206" t="s">
        <v>825</v>
      </c>
      <c r="G1624" s="209" t="s">
        <v>202</v>
      </c>
      <c r="H1624" s="210">
        <v>42196</v>
      </c>
      <c r="I1624" s="209" t="s">
        <v>187</v>
      </c>
      <c r="J1624" s="209" t="s">
        <v>103</v>
      </c>
      <c r="K1624" s="209" t="s">
        <v>5451</v>
      </c>
      <c r="L1624" s="210">
        <v>42196</v>
      </c>
      <c r="M1624" s="206" t="s">
        <v>824</v>
      </c>
      <c r="N1624" s="211" t="s">
        <v>185</v>
      </c>
      <c r="O1624" s="210">
        <v>42196</v>
      </c>
      <c r="P1624" s="212">
        <f t="shared" si="724"/>
        <v>1</v>
      </c>
      <c r="Q1624" s="209" t="s">
        <v>5451</v>
      </c>
      <c r="R1624" s="211" t="s">
        <v>17</v>
      </c>
      <c r="S1624" s="206" t="s">
        <v>5455</v>
      </c>
      <c r="T1624" s="206" t="s">
        <v>5456</v>
      </c>
      <c r="U1624" s="210">
        <v>42199</v>
      </c>
      <c r="V1624" s="211" t="s">
        <v>186</v>
      </c>
      <c r="W1624" s="213">
        <f t="shared" si="725"/>
        <v>0</v>
      </c>
      <c r="X1624" s="213" t="str">
        <f t="shared" si="726"/>
        <v>Correcto</v>
      </c>
    </row>
    <row r="1625" spans="1:24" ht="18" customHeight="1" x14ac:dyDescent="0.25">
      <c r="A1625" s="214">
        <v>1616</v>
      </c>
      <c r="B1625" s="206" t="s">
        <v>5457</v>
      </c>
      <c r="C1625" s="207">
        <v>42195</v>
      </c>
      <c r="D1625" s="208">
        <v>24</v>
      </c>
      <c r="E1625" s="209" t="s">
        <v>93</v>
      </c>
      <c r="F1625" s="206" t="s">
        <v>1654</v>
      </c>
      <c r="G1625" s="209" t="s">
        <v>202</v>
      </c>
      <c r="H1625" s="210">
        <v>42196</v>
      </c>
      <c r="I1625" s="209" t="s">
        <v>187</v>
      </c>
      <c r="J1625" s="209" t="s">
        <v>103</v>
      </c>
      <c r="K1625" s="209" t="s">
        <v>5458</v>
      </c>
      <c r="L1625" s="210">
        <v>42196</v>
      </c>
      <c r="M1625" s="206" t="s">
        <v>1914</v>
      </c>
      <c r="N1625" s="211" t="s">
        <v>185</v>
      </c>
      <c r="O1625" s="210">
        <v>42196</v>
      </c>
      <c r="P1625" s="212">
        <f t="shared" si="724"/>
        <v>1</v>
      </c>
      <c r="Q1625" s="209" t="s">
        <v>5458</v>
      </c>
      <c r="R1625" s="211" t="s">
        <v>17</v>
      </c>
      <c r="S1625" s="206" t="s">
        <v>5459</v>
      </c>
      <c r="T1625" s="206">
        <v>1104447469</v>
      </c>
      <c r="U1625" s="210">
        <v>42200</v>
      </c>
      <c r="V1625" s="211" t="s">
        <v>186</v>
      </c>
      <c r="W1625" s="213">
        <f t="shared" si="725"/>
        <v>0</v>
      </c>
      <c r="X1625" s="213" t="str">
        <f t="shared" si="726"/>
        <v>Correcto</v>
      </c>
    </row>
    <row r="1626" spans="1:24" ht="18" customHeight="1" x14ac:dyDescent="0.25">
      <c r="A1626" s="214">
        <v>1617</v>
      </c>
      <c r="B1626" s="206" t="s">
        <v>5460</v>
      </c>
      <c r="C1626" s="207">
        <v>42195</v>
      </c>
      <c r="D1626" s="208">
        <v>9</v>
      </c>
      <c r="E1626" s="209" t="s">
        <v>93</v>
      </c>
      <c r="F1626" s="206" t="s">
        <v>825</v>
      </c>
      <c r="G1626" s="209" t="s">
        <v>202</v>
      </c>
      <c r="H1626" s="210">
        <v>42198</v>
      </c>
      <c r="I1626" s="209" t="s">
        <v>187</v>
      </c>
      <c r="J1626" s="209" t="s">
        <v>103</v>
      </c>
      <c r="K1626" s="209" t="s">
        <v>5461</v>
      </c>
      <c r="L1626" s="210">
        <v>42198</v>
      </c>
      <c r="M1626" s="206" t="s">
        <v>5462</v>
      </c>
      <c r="N1626" s="211" t="s">
        <v>185</v>
      </c>
      <c r="O1626" s="210">
        <v>42199</v>
      </c>
      <c r="P1626" s="212">
        <f t="shared" si="724"/>
        <v>4</v>
      </c>
      <c r="Q1626" s="209" t="s">
        <v>5463</v>
      </c>
      <c r="R1626" s="211" t="s">
        <v>17</v>
      </c>
      <c r="S1626" s="206" t="s">
        <v>101</v>
      </c>
      <c r="T1626" s="206" t="s">
        <v>1432</v>
      </c>
      <c r="U1626" s="210">
        <v>42200</v>
      </c>
      <c r="V1626" s="211" t="s">
        <v>186</v>
      </c>
      <c r="W1626" s="213">
        <f t="shared" si="725"/>
        <v>0</v>
      </c>
      <c r="X1626" s="213" t="str">
        <f t="shared" si="726"/>
        <v>Correcto</v>
      </c>
    </row>
    <row r="1627" spans="1:24" ht="18" customHeight="1" x14ac:dyDescent="0.25">
      <c r="A1627" s="214">
        <v>1618</v>
      </c>
      <c r="B1627" s="206" t="s">
        <v>5464</v>
      </c>
      <c r="C1627" s="207">
        <v>42195</v>
      </c>
      <c r="D1627" s="208">
        <v>2</v>
      </c>
      <c r="E1627" s="209" t="s">
        <v>93</v>
      </c>
      <c r="F1627" s="206" t="s">
        <v>1654</v>
      </c>
      <c r="G1627" s="209" t="s">
        <v>202</v>
      </c>
      <c r="H1627" s="210">
        <v>42196</v>
      </c>
      <c r="I1627" s="209" t="s">
        <v>187</v>
      </c>
      <c r="J1627" s="209" t="s">
        <v>103</v>
      </c>
      <c r="K1627" s="209" t="s">
        <v>5465</v>
      </c>
      <c r="L1627" s="210">
        <v>42196</v>
      </c>
      <c r="M1627" s="206" t="s">
        <v>1914</v>
      </c>
      <c r="N1627" s="211" t="s">
        <v>185</v>
      </c>
      <c r="O1627" s="210">
        <v>42196</v>
      </c>
      <c r="P1627" s="212">
        <f t="shared" si="724"/>
        <v>1</v>
      </c>
      <c r="Q1627" s="209" t="s">
        <v>5465</v>
      </c>
      <c r="R1627" s="211" t="s">
        <v>1027</v>
      </c>
      <c r="S1627" s="206" t="s">
        <v>101</v>
      </c>
      <c r="T1627" s="206" t="s">
        <v>5466</v>
      </c>
      <c r="U1627" s="210">
        <v>42196</v>
      </c>
      <c r="V1627" s="211" t="s">
        <v>186</v>
      </c>
      <c r="W1627" s="213">
        <f t="shared" si="725"/>
        <v>0</v>
      </c>
      <c r="X1627" s="213" t="str">
        <f t="shared" si="726"/>
        <v>Correcto</v>
      </c>
    </row>
    <row r="1628" spans="1:24" ht="18" customHeight="1" x14ac:dyDescent="0.25">
      <c r="A1628" s="214">
        <v>1619</v>
      </c>
      <c r="B1628" s="206" t="s">
        <v>5467</v>
      </c>
      <c r="C1628" s="207">
        <v>42195</v>
      </c>
      <c r="D1628" s="208">
        <v>2</v>
      </c>
      <c r="E1628" s="209" t="s">
        <v>93</v>
      </c>
      <c r="F1628" s="206" t="s">
        <v>1654</v>
      </c>
      <c r="G1628" s="209" t="s">
        <v>202</v>
      </c>
      <c r="H1628" s="210">
        <v>42196</v>
      </c>
      <c r="I1628" s="209" t="s">
        <v>187</v>
      </c>
      <c r="J1628" s="209" t="s">
        <v>103</v>
      </c>
      <c r="K1628" s="209" t="s">
        <v>5468</v>
      </c>
      <c r="L1628" s="210">
        <v>42196</v>
      </c>
      <c r="M1628" s="206" t="s">
        <v>1914</v>
      </c>
      <c r="N1628" s="211" t="s">
        <v>185</v>
      </c>
      <c r="O1628" s="210">
        <v>42196</v>
      </c>
      <c r="P1628" s="212">
        <f t="shared" si="724"/>
        <v>1</v>
      </c>
      <c r="Q1628" s="209" t="s">
        <v>5468</v>
      </c>
      <c r="R1628" s="211" t="s">
        <v>605</v>
      </c>
      <c r="S1628" s="206" t="s">
        <v>101</v>
      </c>
      <c r="T1628" s="206" t="s">
        <v>5279</v>
      </c>
      <c r="U1628" s="210">
        <v>42196</v>
      </c>
      <c r="V1628" s="211" t="s">
        <v>186</v>
      </c>
      <c r="W1628" s="213">
        <f t="shared" si="725"/>
        <v>0</v>
      </c>
      <c r="X1628" s="213" t="str">
        <f t="shared" si="726"/>
        <v>Correcto</v>
      </c>
    </row>
    <row r="1629" spans="1:24" ht="18" customHeight="1" x14ac:dyDescent="0.25">
      <c r="A1629" s="214">
        <v>1620</v>
      </c>
      <c r="B1629" s="206" t="s">
        <v>5469</v>
      </c>
      <c r="C1629" s="207">
        <v>42196</v>
      </c>
      <c r="D1629" s="208">
        <v>2</v>
      </c>
      <c r="E1629" s="209" t="s">
        <v>93</v>
      </c>
      <c r="F1629" s="206" t="s">
        <v>825</v>
      </c>
      <c r="G1629" s="209" t="s">
        <v>202</v>
      </c>
      <c r="H1629" s="210">
        <v>42196</v>
      </c>
      <c r="I1629" s="209" t="s">
        <v>187</v>
      </c>
      <c r="J1629" s="209" t="s">
        <v>103</v>
      </c>
      <c r="K1629" s="209" t="s">
        <v>5470</v>
      </c>
      <c r="L1629" s="210">
        <v>42196</v>
      </c>
      <c r="M1629" s="206" t="s">
        <v>1914</v>
      </c>
      <c r="N1629" s="211" t="s">
        <v>185</v>
      </c>
      <c r="O1629" s="210">
        <v>42198</v>
      </c>
      <c r="P1629" s="212">
        <f t="shared" si="724"/>
        <v>2</v>
      </c>
      <c r="Q1629" s="209" t="s">
        <v>5471</v>
      </c>
      <c r="R1629" s="211" t="s">
        <v>17</v>
      </c>
      <c r="S1629" s="206" t="s">
        <v>101</v>
      </c>
      <c r="T1629" s="206" t="s">
        <v>5472</v>
      </c>
      <c r="U1629" s="210">
        <v>42200</v>
      </c>
      <c r="V1629" s="211" t="s">
        <v>186</v>
      </c>
      <c r="W1629" s="213">
        <f t="shared" si="725"/>
        <v>0</v>
      </c>
      <c r="X1629" s="213" t="str">
        <f t="shared" si="726"/>
        <v>Correcto</v>
      </c>
    </row>
    <row r="1630" spans="1:24" ht="18" customHeight="1" x14ac:dyDescent="0.25">
      <c r="A1630" s="214">
        <v>1621</v>
      </c>
      <c r="B1630" s="206" t="s">
        <v>5473</v>
      </c>
      <c r="C1630" s="207">
        <v>42196</v>
      </c>
      <c r="D1630" s="208">
        <v>6</v>
      </c>
      <c r="E1630" s="209" t="s">
        <v>93</v>
      </c>
      <c r="F1630" s="206" t="s">
        <v>825</v>
      </c>
      <c r="G1630" s="209" t="s">
        <v>202</v>
      </c>
      <c r="H1630" s="210">
        <v>42198</v>
      </c>
      <c r="I1630" s="209" t="s">
        <v>187</v>
      </c>
      <c r="J1630" s="209" t="s">
        <v>103</v>
      </c>
      <c r="K1630" s="209" t="s">
        <v>5474</v>
      </c>
      <c r="L1630" s="210">
        <v>42198</v>
      </c>
      <c r="M1630" s="206" t="s">
        <v>5462</v>
      </c>
      <c r="N1630" s="211" t="s">
        <v>185</v>
      </c>
      <c r="O1630" s="210">
        <v>42199</v>
      </c>
      <c r="P1630" s="212">
        <f t="shared" si="724"/>
        <v>3</v>
      </c>
      <c r="Q1630" s="209" t="s">
        <v>5475</v>
      </c>
      <c r="R1630" s="211" t="s">
        <v>17</v>
      </c>
      <c r="S1630" s="206" t="s">
        <v>101</v>
      </c>
      <c r="T1630" s="206" t="s">
        <v>1432</v>
      </c>
      <c r="U1630" s="210">
        <v>42200</v>
      </c>
      <c r="V1630" s="211" t="s">
        <v>186</v>
      </c>
      <c r="W1630" s="213">
        <f t="shared" si="725"/>
        <v>0</v>
      </c>
      <c r="X1630" s="213" t="str">
        <f t="shared" si="726"/>
        <v>Correcto</v>
      </c>
    </row>
    <row r="1631" spans="1:24" ht="18" customHeight="1" x14ac:dyDescent="0.25">
      <c r="A1631" s="214">
        <v>1622</v>
      </c>
      <c r="B1631" s="206" t="s">
        <v>5476</v>
      </c>
      <c r="C1631" s="207">
        <v>42196</v>
      </c>
      <c r="D1631" s="208">
        <v>4</v>
      </c>
      <c r="E1631" s="209" t="s">
        <v>93</v>
      </c>
      <c r="F1631" s="206" t="s">
        <v>825</v>
      </c>
      <c r="G1631" s="209" t="s">
        <v>202</v>
      </c>
      <c r="H1631" s="210">
        <v>42199</v>
      </c>
      <c r="I1631" s="209" t="s">
        <v>187</v>
      </c>
      <c r="J1631" s="209" t="s">
        <v>103</v>
      </c>
      <c r="K1631" s="209" t="s">
        <v>5477</v>
      </c>
      <c r="L1631" s="210">
        <v>42199</v>
      </c>
      <c r="M1631" s="206" t="s">
        <v>5462</v>
      </c>
      <c r="N1631" s="211" t="s">
        <v>185</v>
      </c>
      <c r="O1631" s="210">
        <v>42199</v>
      </c>
      <c r="P1631" s="212">
        <f t="shared" si="724"/>
        <v>3</v>
      </c>
      <c r="Q1631" s="209" t="s">
        <v>5478</v>
      </c>
      <c r="R1631" s="211" t="s">
        <v>17</v>
      </c>
      <c r="S1631" s="206" t="s">
        <v>101</v>
      </c>
      <c r="T1631" s="206" t="s">
        <v>1604</v>
      </c>
      <c r="U1631" s="210">
        <v>42200</v>
      </c>
      <c r="V1631" s="211" t="s">
        <v>186</v>
      </c>
      <c r="W1631" s="213">
        <f t="shared" si="725"/>
        <v>0</v>
      </c>
      <c r="X1631" s="213" t="str">
        <f t="shared" si="726"/>
        <v>Correcto</v>
      </c>
    </row>
    <row r="1632" spans="1:24" ht="18" customHeight="1" x14ac:dyDescent="0.25">
      <c r="A1632" s="214">
        <v>1623</v>
      </c>
      <c r="B1632" s="206" t="s">
        <v>5479</v>
      </c>
      <c r="C1632" s="207">
        <v>42196</v>
      </c>
      <c r="D1632" s="208">
        <v>2</v>
      </c>
      <c r="E1632" s="209" t="s">
        <v>93</v>
      </c>
      <c r="F1632" s="206" t="s">
        <v>825</v>
      </c>
      <c r="G1632" s="209" t="s">
        <v>202</v>
      </c>
      <c r="H1632" s="210">
        <v>42199</v>
      </c>
      <c r="I1632" s="209" t="s">
        <v>187</v>
      </c>
      <c r="J1632" s="209" t="s">
        <v>103</v>
      </c>
      <c r="K1632" s="209" t="s">
        <v>5480</v>
      </c>
      <c r="L1632" s="210">
        <v>42199</v>
      </c>
      <c r="M1632" s="206" t="s">
        <v>5462</v>
      </c>
      <c r="N1632" s="211" t="s">
        <v>185</v>
      </c>
      <c r="O1632" s="210">
        <v>42199</v>
      </c>
      <c r="P1632" s="212">
        <f t="shared" si="724"/>
        <v>3</v>
      </c>
      <c r="Q1632" s="209" t="s">
        <v>5481</v>
      </c>
      <c r="R1632" s="211" t="s">
        <v>17</v>
      </c>
      <c r="S1632" s="206" t="s">
        <v>101</v>
      </c>
      <c r="T1632" s="206" t="s">
        <v>1651</v>
      </c>
      <c r="U1632" s="210">
        <v>42200</v>
      </c>
      <c r="V1632" s="211" t="s">
        <v>186</v>
      </c>
      <c r="W1632" s="213">
        <f t="shared" si="725"/>
        <v>0</v>
      </c>
      <c r="X1632" s="213" t="str">
        <f t="shared" si="726"/>
        <v>Correcto</v>
      </c>
    </row>
    <row r="1633" spans="1:25" ht="18" customHeight="1" x14ac:dyDescent="0.25">
      <c r="A1633" s="214">
        <v>1624</v>
      </c>
      <c r="B1633" s="206" t="s">
        <v>5482</v>
      </c>
      <c r="C1633" s="207">
        <v>42196</v>
      </c>
      <c r="D1633" s="208">
        <v>2</v>
      </c>
      <c r="E1633" s="209" t="s">
        <v>93</v>
      </c>
      <c r="F1633" s="206" t="s">
        <v>825</v>
      </c>
      <c r="G1633" s="209" t="s">
        <v>202</v>
      </c>
      <c r="H1633" s="210">
        <v>42198</v>
      </c>
      <c r="I1633" s="209" t="s">
        <v>187</v>
      </c>
      <c r="J1633" s="209" t="s">
        <v>103</v>
      </c>
      <c r="K1633" s="209" t="s">
        <v>5483</v>
      </c>
      <c r="L1633" s="210">
        <v>42198</v>
      </c>
      <c r="M1633" s="206" t="s">
        <v>5462</v>
      </c>
      <c r="N1633" s="211" t="s">
        <v>185</v>
      </c>
      <c r="O1633" s="210">
        <v>42199</v>
      </c>
      <c r="P1633" s="212">
        <f t="shared" si="724"/>
        <v>3</v>
      </c>
      <c r="Q1633" s="209" t="s">
        <v>5484</v>
      </c>
      <c r="R1633" s="211" t="s">
        <v>17</v>
      </c>
      <c r="S1633" s="206" t="s">
        <v>101</v>
      </c>
      <c r="T1633" s="206" t="s">
        <v>1651</v>
      </c>
      <c r="U1633" s="210">
        <v>42200</v>
      </c>
      <c r="V1633" s="211" t="s">
        <v>186</v>
      </c>
      <c r="W1633" s="213">
        <f t="shared" si="725"/>
        <v>0</v>
      </c>
      <c r="X1633" s="213" t="str">
        <f t="shared" si="726"/>
        <v>Correcto</v>
      </c>
    </row>
    <row r="1634" spans="1:25" ht="18" customHeight="1" x14ac:dyDescent="0.25">
      <c r="A1634" s="214">
        <v>1625</v>
      </c>
      <c r="B1634" s="206" t="s">
        <v>5485</v>
      </c>
      <c r="C1634" s="207">
        <v>42196</v>
      </c>
      <c r="D1634" s="208">
        <v>2</v>
      </c>
      <c r="E1634" s="209" t="s">
        <v>93</v>
      </c>
      <c r="F1634" s="206" t="s">
        <v>825</v>
      </c>
      <c r="G1634" s="209" t="s">
        <v>202</v>
      </c>
      <c r="H1634" s="210">
        <v>42198</v>
      </c>
      <c r="I1634" s="209" t="s">
        <v>187</v>
      </c>
      <c r="J1634" s="209" t="s">
        <v>103</v>
      </c>
      <c r="K1634" s="209" t="s">
        <v>5486</v>
      </c>
      <c r="L1634" s="210">
        <v>42198</v>
      </c>
      <c r="M1634" s="206" t="s">
        <v>5462</v>
      </c>
      <c r="N1634" s="211" t="s">
        <v>185</v>
      </c>
      <c r="O1634" s="210">
        <v>42199</v>
      </c>
      <c r="P1634" s="212">
        <f t="shared" si="724"/>
        <v>3</v>
      </c>
      <c r="Q1634" s="209" t="s">
        <v>5487</v>
      </c>
      <c r="R1634" s="211" t="s">
        <v>17</v>
      </c>
      <c r="S1634" s="206" t="s">
        <v>101</v>
      </c>
      <c r="T1634" s="206" t="s">
        <v>1651</v>
      </c>
      <c r="U1634" s="210">
        <v>42200</v>
      </c>
      <c r="V1634" s="211" t="s">
        <v>186</v>
      </c>
      <c r="W1634" s="213">
        <f t="shared" si="725"/>
        <v>0</v>
      </c>
      <c r="X1634" s="213" t="str">
        <f t="shared" si="726"/>
        <v>Correcto</v>
      </c>
    </row>
    <row r="1635" spans="1:25" ht="18" customHeight="1" x14ac:dyDescent="0.25">
      <c r="A1635" s="214">
        <v>1626</v>
      </c>
      <c r="B1635" s="206" t="s">
        <v>5488</v>
      </c>
      <c r="C1635" s="207">
        <v>42196</v>
      </c>
      <c r="D1635" s="208">
        <v>2</v>
      </c>
      <c r="E1635" s="209" t="s">
        <v>93</v>
      </c>
      <c r="F1635" s="206" t="s">
        <v>825</v>
      </c>
      <c r="G1635" s="209" t="s">
        <v>202</v>
      </c>
      <c r="H1635" s="210">
        <v>42198</v>
      </c>
      <c r="I1635" s="209" t="s">
        <v>187</v>
      </c>
      <c r="J1635" s="209" t="s">
        <v>103</v>
      </c>
      <c r="K1635" s="209" t="s">
        <v>5489</v>
      </c>
      <c r="L1635" s="210">
        <v>42198</v>
      </c>
      <c r="M1635" s="206" t="s">
        <v>5462</v>
      </c>
      <c r="N1635" s="211" t="s">
        <v>185</v>
      </c>
      <c r="O1635" s="210">
        <v>42199</v>
      </c>
      <c r="P1635" s="212">
        <f t="shared" si="724"/>
        <v>3</v>
      </c>
      <c r="Q1635" s="209" t="s">
        <v>5490</v>
      </c>
      <c r="R1635" s="211" t="s">
        <v>17</v>
      </c>
      <c r="S1635" s="206" t="s">
        <v>101</v>
      </c>
      <c r="T1635" s="206" t="s">
        <v>1815</v>
      </c>
      <c r="U1635" s="210">
        <v>42200</v>
      </c>
      <c r="V1635" s="211" t="s">
        <v>186</v>
      </c>
      <c r="W1635" s="213">
        <f t="shared" si="725"/>
        <v>0</v>
      </c>
      <c r="X1635" s="213" t="str">
        <f t="shared" si="726"/>
        <v>Correcto</v>
      </c>
    </row>
    <row r="1636" spans="1:25" ht="18" customHeight="1" x14ac:dyDescent="0.25">
      <c r="A1636" s="214">
        <v>1627</v>
      </c>
      <c r="B1636" s="206" t="s">
        <v>5491</v>
      </c>
      <c r="C1636" s="207">
        <v>42198</v>
      </c>
      <c r="D1636" s="208">
        <v>2</v>
      </c>
      <c r="E1636" s="209" t="s">
        <v>93</v>
      </c>
      <c r="F1636" s="206" t="s">
        <v>825</v>
      </c>
      <c r="G1636" s="209" t="s">
        <v>202</v>
      </c>
      <c r="H1636" s="210">
        <v>42199</v>
      </c>
      <c r="I1636" s="209" t="s">
        <v>187</v>
      </c>
      <c r="J1636" s="209" t="s">
        <v>103</v>
      </c>
      <c r="K1636" s="209" t="s">
        <v>5492</v>
      </c>
      <c r="L1636" s="210">
        <v>42199</v>
      </c>
      <c r="M1636" s="206" t="s">
        <v>5462</v>
      </c>
      <c r="N1636" s="211" t="s">
        <v>185</v>
      </c>
      <c r="O1636" s="210">
        <v>42199</v>
      </c>
      <c r="P1636" s="212">
        <f t="shared" si="724"/>
        <v>1</v>
      </c>
      <c r="Q1636" s="209" t="s">
        <v>5493</v>
      </c>
      <c r="R1636" s="211" t="s">
        <v>17</v>
      </c>
      <c r="S1636" s="206" t="s">
        <v>5494</v>
      </c>
      <c r="T1636" s="206" t="s">
        <v>5495</v>
      </c>
      <c r="U1636" s="210">
        <v>42200</v>
      </c>
      <c r="V1636" s="211" t="s">
        <v>186</v>
      </c>
      <c r="W1636" s="213">
        <f t="shared" si="725"/>
        <v>0</v>
      </c>
      <c r="X1636" s="213" t="str">
        <f t="shared" si="726"/>
        <v>Correcto</v>
      </c>
    </row>
    <row r="1637" spans="1:25" ht="18" customHeight="1" x14ac:dyDescent="0.25">
      <c r="A1637" s="214">
        <v>1628</v>
      </c>
      <c r="B1637" s="206" t="s">
        <v>5496</v>
      </c>
      <c r="C1637" s="207">
        <v>42198</v>
      </c>
      <c r="D1637" s="208">
        <v>2</v>
      </c>
      <c r="E1637" s="209" t="s">
        <v>93</v>
      </c>
      <c r="F1637" s="206" t="s">
        <v>825</v>
      </c>
      <c r="G1637" s="209" t="s">
        <v>202</v>
      </c>
      <c r="H1637" s="210">
        <v>42199</v>
      </c>
      <c r="I1637" s="209" t="s">
        <v>187</v>
      </c>
      <c r="J1637" s="209" t="s">
        <v>103</v>
      </c>
      <c r="K1637" s="209" t="s">
        <v>5497</v>
      </c>
      <c r="L1637" s="210">
        <v>42199</v>
      </c>
      <c r="M1637" s="206" t="s">
        <v>5462</v>
      </c>
      <c r="N1637" s="211" t="s">
        <v>185</v>
      </c>
      <c r="O1637" s="210">
        <v>42199</v>
      </c>
      <c r="P1637" s="212">
        <f t="shared" si="724"/>
        <v>1</v>
      </c>
      <c r="Q1637" s="209" t="s">
        <v>5498</v>
      </c>
      <c r="R1637" s="211" t="s">
        <v>17</v>
      </c>
      <c r="S1637" s="206" t="s">
        <v>5499</v>
      </c>
      <c r="T1637" s="206" t="s">
        <v>5500</v>
      </c>
      <c r="U1637" s="210">
        <v>42200</v>
      </c>
      <c r="V1637" s="211" t="s">
        <v>186</v>
      </c>
      <c r="W1637" s="213">
        <f t="shared" si="725"/>
        <v>0</v>
      </c>
      <c r="X1637" s="213" t="str">
        <f t="shared" si="726"/>
        <v>Correcto</v>
      </c>
    </row>
    <row r="1638" spans="1:25" ht="18" customHeight="1" x14ac:dyDescent="0.25">
      <c r="A1638" s="214">
        <v>1629</v>
      </c>
      <c r="B1638" s="206" t="s">
        <v>5501</v>
      </c>
      <c r="C1638" s="207">
        <v>42198</v>
      </c>
      <c r="D1638" s="208">
        <v>2</v>
      </c>
      <c r="E1638" s="209" t="s">
        <v>93</v>
      </c>
      <c r="F1638" s="206" t="s">
        <v>825</v>
      </c>
      <c r="G1638" s="209" t="s">
        <v>202</v>
      </c>
      <c r="H1638" s="210">
        <v>42199</v>
      </c>
      <c r="I1638" s="209" t="s">
        <v>187</v>
      </c>
      <c r="J1638" s="209" t="s">
        <v>103</v>
      </c>
      <c r="K1638" s="209" t="s">
        <v>5502</v>
      </c>
      <c r="L1638" s="210">
        <v>42199</v>
      </c>
      <c r="M1638" s="206" t="s">
        <v>5462</v>
      </c>
      <c r="N1638" s="211" t="s">
        <v>185</v>
      </c>
      <c r="O1638" s="210">
        <v>42199</v>
      </c>
      <c r="P1638" s="212">
        <f t="shared" si="724"/>
        <v>1</v>
      </c>
      <c r="Q1638" s="209" t="s">
        <v>5503</v>
      </c>
      <c r="R1638" s="211" t="s">
        <v>17</v>
      </c>
      <c r="S1638" s="206" t="s">
        <v>5504</v>
      </c>
      <c r="T1638" s="206" t="s">
        <v>5505</v>
      </c>
      <c r="U1638" s="210">
        <v>42205</v>
      </c>
      <c r="V1638" s="211" t="s">
        <v>186</v>
      </c>
      <c r="W1638" s="213">
        <f t="shared" si="725"/>
        <v>0</v>
      </c>
      <c r="X1638" s="213" t="str">
        <f t="shared" si="726"/>
        <v>Correcto</v>
      </c>
    </row>
    <row r="1639" spans="1:25" ht="18" customHeight="1" x14ac:dyDescent="0.25">
      <c r="A1639" s="214">
        <v>1630</v>
      </c>
      <c r="B1639" s="206" t="s">
        <v>5506</v>
      </c>
      <c r="C1639" s="207">
        <v>42198</v>
      </c>
      <c r="D1639" s="208">
        <v>2</v>
      </c>
      <c r="E1639" s="209" t="s">
        <v>93</v>
      </c>
      <c r="F1639" s="206" t="s">
        <v>825</v>
      </c>
      <c r="G1639" s="209" t="s">
        <v>202</v>
      </c>
      <c r="H1639" s="210">
        <v>42199</v>
      </c>
      <c r="I1639" s="209" t="s">
        <v>187</v>
      </c>
      <c r="J1639" s="209" t="s">
        <v>103</v>
      </c>
      <c r="K1639" s="209" t="s">
        <v>5507</v>
      </c>
      <c r="L1639" s="210">
        <v>42199</v>
      </c>
      <c r="M1639" s="206" t="s">
        <v>5462</v>
      </c>
      <c r="N1639" s="211" t="s">
        <v>185</v>
      </c>
      <c r="O1639" s="210">
        <v>42199</v>
      </c>
      <c r="P1639" s="212">
        <f t="shared" si="724"/>
        <v>1</v>
      </c>
      <c r="Q1639" s="209" t="s">
        <v>5508</v>
      </c>
      <c r="R1639" s="211" t="s">
        <v>17</v>
      </c>
      <c r="S1639" s="206" t="s">
        <v>5509</v>
      </c>
      <c r="T1639" s="206" t="s">
        <v>5510</v>
      </c>
      <c r="U1639" s="210">
        <v>42202</v>
      </c>
      <c r="V1639" s="211" t="s">
        <v>186</v>
      </c>
      <c r="W1639" s="213">
        <f t="shared" si="725"/>
        <v>0</v>
      </c>
      <c r="X1639" s="213" t="str">
        <f t="shared" si="726"/>
        <v>Correcto</v>
      </c>
    </row>
    <row r="1640" spans="1:25" ht="18" customHeight="1" x14ac:dyDescent="0.25">
      <c r="A1640" s="214">
        <v>1631</v>
      </c>
      <c r="B1640" s="206" t="s">
        <v>5511</v>
      </c>
      <c r="C1640" s="207">
        <v>42199</v>
      </c>
      <c r="D1640" s="208">
        <v>2</v>
      </c>
      <c r="E1640" s="209" t="s">
        <v>93</v>
      </c>
      <c r="F1640" s="206" t="s">
        <v>825</v>
      </c>
      <c r="G1640" s="209" t="s">
        <v>202</v>
      </c>
      <c r="H1640" s="210">
        <v>42201</v>
      </c>
      <c r="I1640" s="209" t="s">
        <v>187</v>
      </c>
      <c r="J1640" s="209" t="s">
        <v>103</v>
      </c>
      <c r="K1640" s="209" t="s">
        <v>5512</v>
      </c>
      <c r="L1640" s="210">
        <v>42201</v>
      </c>
      <c r="M1640" s="206" t="s">
        <v>824</v>
      </c>
      <c r="N1640" s="211" t="s">
        <v>185</v>
      </c>
      <c r="O1640" s="210">
        <v>42201</v>
      </c>
      <c r="P1640" s="212">
        <f t="shared" si="724"/>
        <v>2</v>
      </c>
      <c r="Q1640" s="209" t="s">
        <v>5512</v>
      </c>
      <c r="R1640" s="211" t="s">
        <v>17</v>
      </c>
      <c r="S1640" s="206" t="s">
        <v>5513</v>
      </c>
      <c r="T1640" s="206" t="s">
        <v>5514</v>
      </c>
      <c r="U1640" s="215">
        <v>42219</v>
      </c>
      <c r="V1640" s="211" t="s">
        <v>186</v>
      </c>
      <c r="W1640" s="213">
        <f t="shared" si="725"/>
        <v>0</v>
      </c>
      <c r="X1640" s="213" t="str">
        <f t="shared" si="726"/>
        <v>Correcto</v>
      </c>
      <c r="Y1640" s="196"/>
    </row>
    <row r="1641" spans="1:25" ht="18" customHeight="1" x14ac:dyDescent="0.25">
      <c r="A1641" s="214">
        <v>1632</v>
      </c>
      <c r="B1641" s="206" t="s">
        <v>5515</v>
      </c>
      <c r="C1641" s="207">
        <v>42199</v>
      </c>
      <c r="D1641" s="208">
        <v>2</v>
      </c>
      <c r="E1641" s="209" t="s">
        <v>93</v>
      </c>
      <c r="F1641" s="206" t="s">
        <v>825</v>
      </c>
      <c r="G1641" s="209" t="s">
        <v>202</v>
      </c>
      <c r="H1641" s="210">
        <v>42200</v>
      </c>
      <c r="I1641" s="209" t="s">
        <v>187</v>
      </c>
      <c r="J1641" s="209" t="s">
        <v>103</v>
      </c>
      <c r="K1641" s="209" t="s">
        <v>5516</v>
      </c>
      <c r="L1641" s="210">
        <v>42200</v>
      </c>
      <c r="M1641" s="206" t="s">
        <v>5462</v>
      </c>
      <c r="N1641" s="211" t="s">
        <v>185</v>
      </c>
      <c r="O1641" s="210">
        <v>42201</v>
      </c>
      <c r="P1641" s="212">
        <f t="shared" si="724"/>
        <v>2</v>
      </c>
      <c r="Q1641" s="209" t="s">
        <v>5517</v>
      </c>
      <c r="R1641" s="211" t="s">
        <v>17</v>
      </c>
      <c r="S1641" s="206" t="s">
        <v>101</v>
      </c>
      <c r="T1641" s="206" t="s">
        <v>1815</v>
      </c>
      <c r="U1641" s="210">
        <v>42201</v>
      </c>
      <c r="V1641" s="211" t="s">
        <v>186</v>
      </c>
      <c r="W1641" s="213">
        <f t="shared" si="725"/>
        <v>0</v>
      </c>
      <c r="X1641" s="213" t="str">
        <f t="shared" si="726"/>
        <v>Correcto</v>
      </c>
    </row>
    <row r="1642" spans="1:25" ht="18" customHeight="1" x14ac:dyDescent="0.25">
      <c r="A1642" s="214">
        <v>1633</v>
      </c>
      <c r="B1642" s="206" t="s">
        <v>5518</v>
      </c>
      <c r="C1642" s="207">
        <v>42199</v>
      </c>
      <c r="D1642" s="208">
        <v>2</v>
      </c>
      <c r="E1642" s="209" t="s">
        <v>93</v>
      </c>
      <c r="F1642" s="206" t="s">
        <v>825</v>
      </c>
      <c r="G1642" s="209" t="s">
        <v>202</v>
      </c>
      <c r="H1642" s="210">
        <v>42200</v>
      </c>
      <c r="I1642" s="209" t="s">
        <v>187</v>
      </c>
      <c r="J1642" s="209" t="s">
        <v>103</v>
      </c>
      <c r="K1642" s="209" t="s">
        <v>5519</v>
      </c>
      <c r="L1642" s="210">
        <v>42200</v>
      </c>
      <c r="M1642" s="206" t="s">
        <v>5462</v>
      </c>
      <c r="N1642" s="211" t="s">
        <v>185</v>
      </c>
      <c r="O1642" s="210">
        <v>42201</v>
      </c>
      <c r="P1642" s="212">
        <f t="shared" si="724"/>
        <v>2</v>
      </c>
      <c r="Q1642" s="209" t="s">
        <v>5520</v>
      </c>
      <c r="R1642" s="211" t="s">
        <v>17</v>
      </c>
      <c r="S1642" s="206" t="s">
        <v>101</v>
      </c>
      <c r="T1642" s="206" t="s">
        <v>1651</v>
      </c>
      <c r="U1642" s="210">
        <v>42201</v>
      </c>
      <c r="V1642" s="211" t="s">
        <v>186</v>
      </c>
      <c r="W1642" s="213">
        <f t="shared" si="725"/>
        <v>0</v>
      </c>
      <c r="X1642" s="213" t="str">
        <f t="shared" si="726"/>
        <v>Correcto</v>
      </c>
    </row>
    <row r="1643" spans="1:25" ht="18" customHeight="1" x14ac:dyDescent="0.25">
      <c r="A1643" s="214">
        <v>1634</v>
      </c>
      <c r="B1643" s="206" t="s">
        <v>5521</v>
      </c>
      <c r="C1643" s="207">
        <v>42199</v>
      </c>
      <c r="D1643" s="208">
        <v>2</v>
      </c>
      <c r="E1643" s="209" t="s">
        <v>93</v>
      </c>
      <c r="F1643" s="206" t="s">
        <v>825</v>
      </c>
      <c r="G1643" s="209" t="s">
        <v>202</v>
      </c>
      <c r="H1643" s="210">
        <v>42201</v>
      </c>
      <c r="I1643" s="209" t="s">
        <v>187</v>
      </c>
      <c r="J1643" s="209" t="s">
        <v>103</v>
      </c>
      <c r="K1643" s="209" t="s">
        <v>5522</v>
      </c>
      <c r="L1643" s="210">
        <v>42201</v>
      </c>
      <c r="M1643" s="206" t="s">
        <v>5462</v>
      </c>
      <c r="N1643" s="211" t="s">
        <v>185</v>
      </c>
      <c r="O1643" s="210">
        <v>42201</v>
      </c>
      <c r="P1643" s="212">
        <f t="shared" si="724"/>
        <v>2</v>
      </c>
      <c r="Q1643" s="209" t="s">
        <v>5523</v>
      </c>
      <c r="R1643" s="211" t="s">
        <v>17</v>
      </c>
      <c r="S1643" s="206" t="s">
        <v>101</v>
      </c>
      <c r="T1643" s="206" t="s">
        <v>1651</v>
      </c>
      <c r="U1643" s="210">
        <v>42206</v>
      </c>
      <c r="V1643" s="211" t="s">
        <v>186</v>
      </c>
      <c r="W1643" s="213">
        <f t="shared" si="725"/>
        <v>0</v>
      </c>
      <c r="X1643" s="213" t="str">
        <f t="shared" si="726"/>
        <v>Correcto</v>
      </c>
    </row>
    <row r="1644" spans="1:25" ht="18" customHeight="1" x14ac:dyDescent="0.25">
      <c r="A1644" s="214">
        <v>1635</v>
      </c>
      <c r="B1644" s="206" t="s">
        <v>5524</v>
      </c>
      <c r="C1644" s="207">
        <v>42199</v>
      </c>
      <c r="D1644" s="208">
        <v>2</v>
      </c>
      <c r="E1644" s="209" t="s">
        <v>93</v>
      </c>
      <c r="F1644" s="206" t="s">
        <v>825</v>
      </c>
      <c r="G1644" s="209" t="s">
        <v>202</v>
      </c>
      <c r="H1644" s="210">
        <v>42201</v>
      </c>
      <c r="I1644" s="209" t="s">
        <v>187</v>
      </c>
      <c r="J1644" s="209" t="s">
        <v>103</v>
      </c>
      <c r="K1644" s="209" t="s">
        <v>5525</v>
      </c>
      <c r="L1644" s="210">
        <v>42201</v>
      </c>
      <c r="M1644" s="206" t="s">
        <v>5462</v>
      </c>
      <c r="N1644" s="211" t="s">
        <v>185</v>
      </c>
      <c r="O1644" s="210">
        <v>42202</v>
      </c>
      <c r="P1644" s="212">
        <f t="shared" si="724"/>
        <v>3</v>
      </c>
      <c r="Q1644" s="209" t="s">
        <v>5526</v>
      </c>
      <c r="R1644" s="211" t="s">
        <v>17</v>
      </c>
      <c r="S1644" s="206" t="s">
        <v>101</v>
      </c>
      <c r="T1644" s="206" t="s">
        <v>1432</v>
      </c>
      <c r="U1644" s="210">
        <v>42206</v>
      </c>
      <c r="V1644" s="211" t="s">
        <v>186</v>
      </c>
      <c r="W1644" s="213">
        <f t="shared" si="725"/>
        <v>0</v>
      </c>
      <c r="X1644" s="213" t="str">
        <f t="shared" si="726"/>
        <v>Correcto</v>
      </c>
    </row>
    <row r="1645" spans="1:25" ht="18" customHeight="1" x14ac:dyDescent="0.25">
      <c r="A1645" s="214">
        <v>1636</v>
      </c>
      <c r="B1645" s="206" t="s">
        <v>5527</v>
      </c>
      <c r="C1645" s="207">
        <v>42199</v>
      </c>
      <c r="D1645" s="208">
        <v>2</v>
      </c>
      <c r="E1645" s="209" t="s">
        <v>93</v>
      </c>
      <c r="F1645" s="206" t="s">
        <v>825</v>
      </c>
      <c r="G1645" s="209" t="s">
        <v>202</v>
      </c>
      <c r="H1645" s="210">
        <v>42200</v>
      </c>
      <c r="I1645" s="209" t="s">
        <v>187</v>
      </c>
      <c r="J1645" s="209" t="s">
        <v>103</v>
      </c>
      <c r="K1645" s="209" t="s">
        <v>5528</v>
      </c>
      <c r="L1645" s="210">
        <v>42200</v>
      </c>
      <c r="M1645" s="206" t="s">
        <v>5462</v>
      </c>
      <c r="N1645" s="211" t="s">
        <v>185</v>
      </c>
      <c r="O1645" s="210">
        <v>42200</v>
      </c>
      <c r="P1645" s="212">
        <f t="shared" si="724"/>
        <v>1</v>
      </c>
      <c r="Q1645" s="209" t="s">
        <v>5529</v>
      </c>
      <c r="R1645" s="211" t="s">
        <v>17</v>
      </c>
      <c r="S1645" s="206" t="s">
        <v>101</v>
      </c>
      <c r="T1645" s="206" t="s">
        <v>1651</v>
      </c>
      <c r="U1645" s="210">
        <v>42201</v>
      </c>
      <c r="V1645" s="211" t="s">
        <v>186</v>
      </c>
      <c r="W1645" s="213">
        <f t="shared" si="725"/>
        <v>0</v>
      </c>
      <c r="X1645" s="213" t="str">
        <f t="shared" si="726"/>
        <v>Correcto</v>
      </c>
    </row>
    <row r="1646" spans="1:25" ht="18" customHeight="1" x14ac:dyDescent="0.25">
      <c r="A1646" s="214">
        <v>1637</v>
      </c>
      <c r="B1646" s="206" t="s">
        <v>5530</v>
      </c>
      <c r="C1646" s="207">
        <v>42199</v>
      </c>
      <c r="D1646" s="208">
        <v>6</v>
      </c>
      <c r="E1646" s="209" t="s">
        <v>93</v>
      </c>
      <c r="F1646" s="206" t="s">
        <v>825</v>
      </c>
      <c r="G1646" s="209" t="s">
        <v>202</v>
      </c>
      <c r="H1646" s="210">
        <v>42201</v>
      </c>
      <c r="I1646" s="209" t="s">
        <v>187</v>
      </c>
      <c r="J1646" s="209" t="s">
        <v>103</v>
      </c>
      <c r="K1646" s="209" t="s">
        <v>5531</v>
      </c>
      <c r="L1646" s="210">
        <v>42201</v>
      </c>
      <c r="M1646" s="206" t="s">
        <v>5462</v>
      </c>
      <c r="N1646" s="211" t="s">
        <v>185</v>
      </c>
      <c r="O1646" s="210">
        <v>42202</v>
      </c>
      <c r="P1646" s="212">
        <f t="shared" si="724"/>
        <v>3</v>
      </c>
      <c r="Q1646" s="209" t="s">
        <v>5532</v>
      </c>
      <c r="R1646" s="211" t="s">
        <v>17</v>
      </c>
      <c r="S1646" s="206" t="s">
        <v>101</v>
      </c>
      <c r="T1646" s="206" t="s">
        <v>2201</v>
      </c>
      <c r="U1646" s="210">
        <v>42206</v>
      </c>
      <c r="V1646" s="211" t="s">
        <v>186</v>
      </c>
      <c r="W1646" s="213">
        <f t="shared" si="725"/>
        <v>0</v>
      </c>
      <c r="X1646" s="213" t="str">
        <f t="shared" si="726"/>
        <v>Correcto</v>
      </c>
    </row>
    <row r="1647" spans="1:25" ht="18" customHeight="1" x14ac:dyDescent="0.25">
      <c r="A1647" s="214">
        <v>1638</v>
      </c>
      <c r="B1647" s="206" t="s">
        <v>5533</v>
      </c>
      <c r="C1647" s="207">
        <v>42199</v>
      </c>
      <c r="D1647" s="208">
        <v>2</v>
      </c>
      <c r="E1647" s="209" t="s">
        <v>93</v>
      </c>
      <c r="F1647" s="206" t="s">
        <v>825</v>
      </c>
      <c r="G1647" s="209" t="s">
        <v>202</v>
      </c>
      <c r="H1647" s="210">
        <v>42200</v>
      </c>
      <c r="I1647" s="209" t="s">
        <v>187</v>
      </c>
      <c r="J1647" s="209" t="s">
        <v>103</v>
      </c>
      <c r="K1647" s="209" t="s">
        <v>5534</v>
      </c>
      <c r="L1647" s="210">
        <v>42200</v>
      </c>
      <c r="M1647" s="206" t="s">
        <v>5462</v>
      </c>
      <c r="N1647" s="211" t="s">
        <v>185</v>
      </c>
      <c r="O1647" s="210">
        <v>42200</v>
      </c>
      <c r="P1647" s="212">
        <f t="shared" si="724"/>
        <v>1</v>
      </c>
      <c r="Q1647" s="209" t="s">
        <v>5529</v>
      </c>
      <c r="R1647" s="211" t="s">
        <v>17</v>
      </c>
      <c r="S1647" s="206" t="s">
        <v>101</v>
      </c>
      <c r="T1647" s="206" t="s">
        <v>1815</v>
      </c>
      <c r="U1647" s="210">
        <v>42201</v>
      </c>
      <c r="V1647" s="211" t="s">
        <v>186</v>
      </c>
      <c r="W1647" s="213">
        <f t="shared" si="725"/>
        <v>0</v>
      </c>
      <c r="X1647" s="213" t="str">
        <f t="shared" si="726"/>
        <v>Correcto</v>
      </c>
    </row>
    <row r="1648" spans="1:25" ht="18" customHeight="1" x14ac:dyDescent="0.25">
      <c r="A1648" s="214">
        <v>1639</v>
      </c>
      <c r="B1648" s="206" t="s">
        <v>5535</v>
      </c>
      <c r="C1648" s="207">
        <v>42199</v>
      </c>
      <c r="D1648" s="208">
        <v>2</v>
      </c>
      <c r="E1648" s="209" t="s">
        <v>93</v>
      </c>
      <c r="F1648" s="206" t="s">
        <v>825</v>
      </c>
      <c r="G1648" s="209" t="s">
        <v>202</v>
      </c>
      <c r="H1648" s="210">
        <v>42200</v>
      </c>
      <c r="I1648" s="209" t="s">
        <v>187</v>
      </c>
      <c r="J1648" s="209" t="s">
        <v>103</v>
      </c>
      <c r="K1648" s="209" t="s">
        <v>5536</v>
      </c>
      <c r="L1648" s="210">
        <v>42200</v>
      </c>
      <c r="M1648" s="206" t="s">
        <v>5462</v>
      </c>
      <c r="N1648" s="211" t="s">
        <v>185</v>
      </c>
      <c r="O1648" s="210">
        <v>42200</v>
      </c>
      <c r="P1648" s="212">
        <f t="shared" si="724"/>
        <v>1</v>
      </c>
      <c r="Q1648" s="209" t="s">
        <v>5537</v>
      </c>
      <c r="R1648" s="211" t="s">
        <v>17</v>
      </c>
      <c r="S1648" s="206" t="s">
        <v>101</v>
      </c>
      <c r="T1648" s="206" t="s">
        <v>1815</v>
      </c>
      <c r="U1648" s="210">
        <v>42201</v>
      </c>
      <c r="V1648" s="211" t="s">
        <v>186</v>
      </c>
      <c r="W1648" s="213">
        <f t="shared" si="725"/>
        <v>0</v>
      </c>
      <c r="X1648" s="213" t="str">
        <f t="shared" si="726"/>
        <v>Correcto</v>
      </c>
    </row>
    <row r="1649" spans="1:24" ht="18" customHeight="1" x14ac:dyDescent="0.25">
      <c r="A1649" s="214">
        <v>1640</v>
      </c>
      <c r="B1649" s="206" t="s">
        <v>5538</v>
      </c>
      <c r="C1649" s="207">
        <v>42199</v>
      </c>
      <c r="D1649" s="208">
        <v>2</v>
      </c>
      <c r="E1649" s="209" t="s">
        <v>93</v>
      </c>
      <c r="F1649" s="206" t="s">
        <v>825</v>
      </c>
      <c r="G1649" s="209" t="s">
        <v>202</v>
      </c>
      <c r="H1649" s="210">
        <v>42200</v>
      </c>
      <c r="I1649" s="209" t="s">
        <v>187</v>
      </c>
      <c r="J1649" s="209" t="s">
        <v>103</v>
      </c>
      <c r="K1649" s="209" t="s">
        <v>5539</v>
      </c>
      <c r="L1649" s="210">
        <v>42200</v>
      </c>
      <c r="M1649" s="206" t="s">
        <v>5462</v>
      </c>
      <c r="N1649" s="211" t="s">
        <v>185</v>
      </c>
      <c r="O1649" s="210">
        <v>42201</v>
      </c>
      <c r="P1649" s="212">
        <f t="shared" si="724"/>
        <v>2</v>
      </c>
      <c r="Q1649" s="209" t="s">
        <v>5540</v>
      </c>
      <c r="R1649" s="211" t="s">
        <v>17</v>
      </c>
      <c r="S1649" s="206" t="s">
        <v>101</v>
      </c>
      <c r="T1649" s="206" t="s">
        <v>1659</v>
      </c>
      <c r="U1649" s="210">
        <v>42206</v>
      </c>
      <c r="V1649" s="211" t="s">
        <v>186</v>
      </c>
      <c r="W1649" s="213">
        <f t="shared" si="725"/>
        <v>0</v>
      </c>
      <c r="X1649" s="213" t="str">
        <f t="shared" si="726"/>
        <v>Correcto</v>
      </c>
    </row>
    <row r="1650" spans="1:24" ht="18" customHeight="1" x14ac:dyDescent="0.25">
      <c r="A1650" s="214">
        <v>1641</v>
      </c>
      <c r="B1650" s="206" t="s">
        <v>5541</v>
      </c>
      <c r="C1650" s="207">
        <v>42199</v>
      </c>
      <c r="D1650" s="208">
        <v>2</v>
      </c>
      <c r="E1650" s="209" t="s">
        <v>93</v>
      </c>
      <c r="F1650" s="206" t="s">
        <v>825</v>
      </c>
      <c r="G1650" s="209" t="s">
        <v>202</v>
      </c>
      <c r="H1650" s="210">
        <v>42201</v>
      </c>
      <c r="I1650" s="209" t="s">
        <v>187</v>
      </c>
      <c r="J1650" s="209" t="s">
        <v>103</v>
      </c>
      <c r="K1650" s="209" t="s">
        <v>5542</v>
      </c>
      <c r="L1650" s="210">
        <v>42201</v>
      </c>
      <c r="M1650" s="206" t="s">
        <v>5462</v>
      </c>
      <c r="N1650" s="211" t="s">
        <v>185</v>
      </c>
      <c r="O1650" s="210">
        <v>42201</v>
      </c>
      <c r="P1650" s="212">
        <f t="shared" ref="P1650:P1713" si="727">O1650-C1650</f>
        <v>2</v>
      </c>
      <c r="Q1650" s="209" t="s">
        <v>5543</v>
      </c>
      <c r="R1650" s="211" t="s">
        <v>17</v>
      </c>
      <c r="S1650" s="206" t="s">
        <v>101</v>
      </c>
      <c r="T1650" s="206" t="s">
        <v>1432</v>
      </c>
      <c r="U1650" s="210">
        <v>42206</v>
      </c>
      <c r="V1650" s="211" t="s">
        <v>186</v>
      </c>
      <c r="W1650" s="213">
        <f t="shared" ref="W1650:W1713" si="728">COUNTBLANK(C1650:V1650)</f>
        <v>0</v>
      </c>
      <c r="X1650" s="213" t="str">
        <f t="shared" ref="X1650:X1713" si="729">IF(W1650=0,"Correcto","Incorrecto")</f>
        <v>Correcto</v>
      </c>
    </row>
    <row r="1651" spans="1:24" ht="18" customHeight="1" x14ac:dyDescent="0.25">
      <c r="A1651" s="214">
        <v>1642</v>
      </c>
      <c r="B1651" s="206" t="s">
        <v>5544</v>
      </c>
      <c r="C1651" s="207">
        <v>42199</v>
      </c>
      <c r="D1651" s="208">
        <v>2</v>
      </c>
      <c r="E1651" s="209" t="s">
        <v>93</v>
      </c>
      <c r="F1651" s="206" t="s">
        <v>825</v>
      </c>
      <c r="G1651" s="209" t="s">
        <v>202</v>
      </c>
      <c r="H1651" s="210">
        <v>42201</v>
      </c>
      <c r="I1651" s="209" t="s">
        <v>187</v>
      </c>
      <c r="J1651" s="209" t="s">
        <v>103</v>
      </c>
      <c r="K1651" s="209" t="s">
        <v>5545</v>
      </c>
      <c r="L1651" s="210">
        <v>42201</v>
      </c>
      <c r="M1651" s="206" t="s">
        <v>5462</v>
      </c>
      <c r="N1651" s="211" t="s">
        <v>185</v>
      </c>
      <c r="O1651" s="210">
        <v>42201</v>
      </c>
      <c r="P1651" s="212">
        <f t="shared" si="727"/>
        <v>2</v>
      </c>
      <c r="Q1651" s="209" t="s">
        <v>5546</v>
      </c>
      <c r="R1651" s="211" t="s">
        <v>17</v>
      </c>
      <c r="S1651" s="206" t="s">
        <v>101</v>
      </c>
      <c r="T1651" s="206" t="s">
        <v>1432</v>
      </c>
      <c r="U1651" s="210">
        <v>42206</v>
      </c>
      <c r="V1651" s="211" t="s">
        <v>186</v>
      </c>
      <c r="W1651" s="213">
        <f t="shared" si="728"/>
        <v>0</v>
      </c>
      <c r="X1651" s="213" t="str">
        <f t="shared" si="729"/>
        <v>Correcto</v>
      </c>
    </row>
    <row r="1652" spans="1:24" ht="18" customHeight="1" x14ac:dyDescent="0.25">
      <c r="A1652" s="214">
        <v>1643</v>
      </c>
      <c r="B1652" s="206" t="s">
        <v>5547</v>
      </c>
      <c r="C1652" s="207">
        <v>42199</v>
      </c>
      <c r="D1652" s="208">
        <v>2</v>
      </c>
      <c r="E1652" s="209" t="s">
        <v>93</v>
      </c>
      <c r="F1652" s="206" t="s">
        <v>825</v>
      </c>
      <c r="G1652" s="209" t="s">
        <v>202</v>
      </c>
      <c r="H1652" s="210">
        <v>42200</v>
      </c>
      <c r="I1652" s="209" t="s">
        <v>187</v>
      </c>
      <c r="J1652" s="209" t="s">
        <v>103</v>
      </c>
      <c r="K1652" s="209" t="s">
        <v>5548</v>
      </c>
      <c r="L1652" s="210">
        <v>42200</v>
      </c>
      <c r="M1652" s="206" t="s">
        <v>5462</v>
      </c>
      <c r="N1652" s="211" t="s">
        <v>185</v>
      </c>
      <c r="O1652" s="210">
        <v>42200</v>
      </c>
      <c r="P1652" s="212">
        <f t="shared" si="727"/>
        <v>1</v>
      </c>
      <c r="Q1652" s="209" t="s">
        <v>5549</v>
      </c>
      <c r="R1652" s="211" t="s">
        <v>1026</v>
      </c>
      <c r="S1652" s="206" t="s">
        <v>101</v>
      </c>
      <c r="T1652" s="206" t="s">
        <v>5550</v>
      </c>
      <c r="U1652" s="210">
        <v>42206</v>
      </c>
      <c r="V1652" s="211" t="s">
        <v>186</v>
      </c>
      <c r="W1652" s="213">
        <f t="shared" si="728"/>
        <v>0</v>
      </c>
      <c r="X1652" s="213" t="str">
        <f t="shared" si="729"/>
        <v>Correcto</v>
      </c>
    </row>
    <row r="1653" spans="1:24" ht="18" customHeight="1" x14ac:dyDescent="0.25">
      <c r="A1653" s="214">
        <v>1644</v>
      </c>
      <c r="B1653" s="206" t="s">
        <v>5551</v>
      </c>
      <c r="C1653" s="207">
        <v>42199</v>
      </c>
      <c r="D1653" s="208">
        <v>2</v>
      </c>
      <c r="E1653" s="209" t="s">
        <v>93</v>
      </c>
      <c r="F1653" s="206" t="s">
        <v>825</v>
      </c>
      <c r="G1653" s="209" t="s">
        <v>202</v>
      </c>
      <c r="H1653" s="210">
        <v>42200</v>
      </c>
      <c r="I1653" s="209" t="s">
        <v>187</v>
      </c>
      <c r="J1653" s="209" t="s">
        <v>103</v>
      </c>
      <c r="K1653" s="209" t="s">
        <v>5552</v>
      </c>
      <c r="L1653" s="210">
        <v>42200</v>
      </c>
      <c r="M1653" s="206" t="s">
        <v>5462</v>
      </c>
      <c r="N1653" s="211" t="s">
        <v>185</v>
      </c>
      <c r="O1653" s="210">
        <v>42200</v>
      </c>
      <c r="P1653" s="212">
        <f t="shared" si="727"/>
        <v>1</v>
      </c>
      <c r="Q1653" s="209" t="s">
        <v>5553</v>
      </c>
      <c r="R1653" s="211" t="s">
        <v>17</v>
      </c>
      <c r="S1653" s="206" t="s">
        <v>101</v>
      </c>
      <c r="T1653" s="206" t="s">
        <v>1693</v>
      </c>
      <c r="U1653" s="210">
        <v>42201</v>
      </c>
      <c r="V1653" s="211" t="s">
        <v>186</v>
      </c>
      <c r="W1653" s="213">
        <f t="shared" si="728"/>
        <v>0</v>
      </c>
      <c r="X1653" s="213" t="str">
        <f t="shared" si="729"/>
        <v>Correcto</v>
      </c>
    </row>
    <row r="1654" spans="1:24" ht="18" customHeight="1" x14ac:dyDescent="0.25">
      <c r="A1654" s="214">
        <v>1645</v>
      </c>
      <c r="B1654" s="206" t="s">
        <v>5554</v>
      </c>
      <c r="C1654" s="207">
        <v>42199</v>
      </c>
      <c r="D1654" s="208">
        <v>2</v>
      </c>
      <c r="E1654" s="209" t="s">
        <v>93</v>
      </c>
      <c r="F1654" s="206" t="s">
        <v>825</v>
      </c>
      <c r="G1654" s="209" t="s">
        <v>202</v>
      </c>
      <c r="H1654" s="210">
        <v>42200</v>
      </c>
      <c r="I1654" s="209" t="s">
        <v>187</v>
      </c>
      <c r="J1654" s="209" t="s">
        <v>103</v>
      </c>
      <c r="K1654" s="209" t="s">
        <v>5555</v>
      </c>
      <c r="L1654" s="210">
        <v>42200</v>
      </c>
      <c r="M1654" s="206" t="s">
        <v>5462</v>
      </c>
      <c r="N1654" s="211" t="s">
        <v>185</v>
      </c>
      <c r="O1654" s="210">
        <v>42200</v>
      </c>
      <c r="P1654" s="212">
        <f t="shared" si="727"/>
        <v>1</v>
      </c>
      <c r="Q1654" s="209" t="s">
        <v>5556</v>
      </c>
      <c r="R1654" s="211" t="s">
        <v>17</v>
      </c>
      <c r="S1654" s="206" t="s">
        <v>101</v>
      </c>
      <c r="T1654" s="206" t="s">
        <v>1815</v>
      </c>
      <c r="U1654" s="210">
        <v>42201</v>
      </c>
      <c r="V1654" s="211" t="s">
        <v>186</v>
      </c>
      <c r="W1654" s="213">
        <f t="shared" si="728"/>
        <v>0</v>
      </c>
      <c r="X1654" s="213" t="str">
        <f t="shared" si="729"/>
        <v>Correcto</v>
      </c>
    </row>
    <row r="1655" spans="1:24" ht="18" customHeight="1" x14ac:dyDescent="0.25">
      <c r="A1655" s="214">
        <v>1646</v>
      </c>
      <c r="B1655" s="206" t="s">
        <v>5557</v>
      </c>
      <c r="C1655" s="207">
        <v>42199</v>
      </c>
      <c r="D1655" s="208">
        <v>2</v>
      </c>
      <c r="E1655" s="209" t="s">
        <v>93</v>
      </c>
      <c r="F1655" s="206" t="s">
        <v>5558</v>
      </c>
      <c r="G1655" s="209" t="s">
        <v>202</v>
      </c>
      <c r="H1655" s="210">
        <v>42200</v>
      </c>
      <c r="I1655" s="209" t="s">
        <v>187</v>
      </c>
      <c r="J1655" s="209" t="s">
        <v>103</v>
      </c>
      <c r="K1655" s="209" t="s">
        <v>5559</v>
      </c>
      <c r="L1655" s="210">
        <v>42200</v>
      </c>
      <c r="M1655" s="206" t="s">
        <v>5560</v>
      </c>
      <c r="N1655" s="211" t="s">
        <v>1295</v>
      </c>
      <c r="O1655" s="210">
        <v>42207</v>
      </c>
      <c r="P1655" s="212">
        <f t="shared" si="727"/>
        <v>8</v>
      </c>
      <c r="Q1655" s="209" t="s">
        <v>5561</v>
      </c>
      <c r="R1655" s="211" t="s">
        <v>17</v>
      </c>
      <c r="S1655" s="206" t="s">
        <v>5562</v>
      </c>
      <c r="T1655" s="206" t="s">
        <v>6505</v>
      </c>
      <c r="U1655" s="210">
        <v>42207</v>
      </c>
      <c r="V1655" s="211" t="s">
        <v>186</v>
      </c>
      <c r="W1655" s="213">
        <f t="shared" si="728"/>
        <v>0</v>
      </c>
      <c r="X1655" s="213" t="str">
        <f t="shared" si="729"/>
        <v>Correcto</v>
      </c>
    </row>
    <row r="1656" spans="1:24" ht="18" customHeight="1" x14ac:dyDescent="0.25">
      <c r="A1656" s="214">
        <v>1647</v>
      </c>
      <c r="B1656" s="206" t="s">
        <v>5563</v>
      </c>
      <c r="C1656" s="207">
        <v>42199</v>
      </c>
      <c r="D1656" s="208">
        <v>32</v>
      </c>
      <c r="E1656" s="209" t="s">
        <v>93</v>
      </c>
      <c r="F1656" s="206" t="s">
        <v>825</v>
      </c>
      <c r="G1656" s="209" t="s">
        <v>202</v>
      </c>
      <c r="H1656" s="210">
        <v>42200</v>
      </c>
      <c r="I1656" s="209" t="s">
        <v>187</v>
      </c>
      <c r="J1656" s="209" t="s">
        <v>103</v>
      </c>
      <c r="K1656" s="209" t="s">
        <v>5564</v>
      </c>
      <c r="L1656" s="210">
        <v>42200</v>
      </c>
      <c r="M1656" s="206" t="s">
        <v>5462</v>
      </c>
      <c r="N1656" s="211" t="s">
        <v>185</v>
      </c>
      <c r="O1656" s="210">
        <v>42201</v>
      </c>
      <c r="P1656" s="212">
        <f t="shared" si="727"/>
        <v>2</v>
      </c>
      <c r="Q1656" s="209" t="s">
        <v>5565</v>
      </c>
      <c r="R1656" s="211" t="s">
        <v>17</v>
      </c>
      <c r="S1656" s="206" t="s">
        <v>101</v>
      </c>
      <c r="T1656" s="206" t="s">
        <v>1432</v>
      </c>
      <c r="U1656" s="210">
        <v>42206</v>
      </c>
      <c r="V1656" s="211" t="s">
        <v>186</v>
      </c>
      <c r="W1656" s="213">
        <f t="shared" si="728"/>
        <v>0</v>
      </c>
      <c r="X1656" s="213" t="str">
        <f t="shared" si="729"/>
        <v>Correcto</v>
      </c>
    </row>
    <row r="1657" spans="1:24" ht="18" customHeight="1" x14ac:dyDescent="0.25">
      <c r="A1657" s="214">
        <v>1648</v>
      </c>
      <c r="B1657" s="206" t="s">
        <v>5566</v>
      </c>
      <c r="C1657" s="207">
        <v>42199</v>
      </c>
      <c r="D1657" s="208">
        <v>2</v>
      </c>
      <c r="E1657" s="209" t="s">
        <v>93</v>
      </c>
      <c r="F1657" s="206" t="s">
        <v>825</v>
      </c>
      <c r="G1657" s="209" t="s">
        <v>202</v>
      </c>
      <c r="H1657" s="210">
        <v>42199</v>
      </c>
      <c r="I1657" s="209" t="s">
        <v>187</v>
      </c>
      <c r="J1657" s="209" t="s">
        <v>103</v>
      </c>
      <c r="K1657" s="209" t="s">
        <v>5567</v>
      </c>
      <c r="L1657" s="210">
        <v>42199</v>
      </c>
      <c r="M1657" s="206" t="s">
        <v>5462</v>
      </c>
      <c r="N1657" s="211" t="s">
        <v>185</v>
      </c>
      <c r="O1657" s="210">
        <v>42200</v>
      </c>
      <c r="P1657" s="212">
        <f t="shared" si="727"/>
        <v>1</v>
      </c>
      <c r="Q1657" s="209" t="s">
        <v>5568</v>
      </c>
      <c r="R1657" s="211" t="s">
        <v>17</v>
      </c>
      <c r="S1657" s="206" t="s">
        <v>101</v>
      </c>
      <c r="T1657" s="206" t="s">
        <v>1604</v>
      </c>
      <c r="U1657" s="210">
        <v>42201</v>
      </c>
      <c r="V1657" s="211" t="s">
        <v>186</v>
      </c>
      <c r="W1657" s="213">
        <f t="shared" si="728"/>
        <v>0</v>
      </c>
      <c r="X1657" s="213" t="str">
        <f t="shared" si="729"/>
        <v>Correcto</v>
      </c>
    </row>
    <row r="1658" spans="1:24" ht="18" customHeight="1" x14ac:dyDescent="0.25">
      <c r="A1658" s="214">
        <v>1649</v>
      </c>
      <c r="B1658" s="206" t="s">
        <v>5569</v>
      </c>
      <c r="C1658" s="207">
        <v>42199</v>
      </c>
      <c r="D1658" s="208">
        <v>31</v>
      </c>
      <c r="E1658" s="209" t="s">
        <v>93</v>
      </c>
      <c r="F1658" s="206" t="s">
        <v>825</v>
      </c>
      <c r="G1658" s="209" t="s">
        <v>202</v>
      </c>
      <c r="H1658" s="210">
        <v>42201</v>
      </c>
      <c r="I1658" s="209" t="s">
        <v>187</v>
      </c>
      <c r="J1658" s="209" t="s">
        <v>103</v>
      </c>
      <c r="K1658" s="209" t="s">
        <v>5570</v>
      </c>
      <c r="L1658" s="210">
        <v>42201</v>
      </c>
      <c r="M1658" s="206" t="s">
        <v>5462</v>
      </c>
      <c r="N1658" s="211" t="s">
        <v>185</v>
      </c>
      <c r="O1658" s="210">
        <v>42202</v>
      </c>
      <c r="P1658" s="212">
        <f t="shared" si="727"/>
        <v>3</v>
      </c>
      <c r="Q1658" s="209" t="s">
        <v>5571</v>
      </c>
      <c r="R1658" s="211" t="s">
        <v>605</v>
      </c>
      <c r="S1658" s="206" t="s">
        <v>101</v>
      </c>
      <c r="T1658" s="206" t="s">
        <v>5572</v>
      </c>
      <c r="U1658" s="210">
        <v>42205</v>
      </c>
      <c r="V1658" s="211" t="s">
        <v>186</v>
      </c>
      <c r="W1658" s="213">
        <f t="shared" si="728"/>
        <v>0</v>
      </c>
      <c r="X1658" s="213" t="str">
        <f t="shared" si="729"/>
        <v>Correcto</v>
      </c>
    </row>
    <row r="1659" spans="1:24" ht="18" customHeight="1" x14ac:dyDescent="0.25">
      <c r="A1659" s="214">
        <v>1650</v>
      </c>
      <c r="B1659" s="206" t="s">
        <v>5573</v>
      </c>
      <c r="C1659" s="207">
        <v>42199</v>
      </c>
      <c r="D1659" s="208">
        <v>2</v>
      </c>
      <c r="E1659" s="209" t="s">
        <v>93</v>
      </c>
      <c r="F1659" s="206" t="s">
        <v>825</v>
      </c>
      <c r="G1659" s="209" t="s">
        <v>202</v>
      </c>
      <c r="H1659" s="210">
        <v>42199</v>
      </c>
      <c r="I1659" s="209" t="s">
        <v>187</v>
      </c>
      <c r="J1659" s="209" t="s">
        <v>103</v>
      </c>
      <c r="K1659" s="209" t="s">
        <v>5574</v>
      </c>
      <c r="L1659" s="210">
        <v>42199</v>
      </c>
      <c r="M1659" s="206" t="s">
        <v>5462</v>
      </c>
      <c r="N1659" s="211" t="s">
        <v>185</v>
      </c>
      <c r="O1659" s="210">
        <v>42200</v>
      </c>
      <c r="P1659" s="212">
        <f t="shared" si="727"/>
        <v>1</v>
      </c>
      <c r="Q1659" s="209" t="s">
        <v>5575</v>
      </c>
      <c r="R1659" s="211" t="s">
        <v>17</v>
      </c>
      <c r="S1659" s="206" t="s">
        <v>1604</v>
      </c>
      <c r="T1659" s="206" t="s">
        <v>1604</v>
      </c>
      <c r="U1659" s="210">
        <v>42201</v>
      </c>
      <c r="V1659" s="211" t="s">
        <v>186</v>
      </c>
      <c r="W1659" s="213">
        <f t="shared" si="728"/>
        <v>0</v>
      </c>
      <c r="X1659" s="213" t="str">
        <f t="shared" si="729"/>
        <v>Correcto</v>
      </c>
    </row>
    <row r="1660" spans="1:24" ht="18" customHeight="1" x14ac:dyDescent="0.25">
      <c r="A1660" s="214">
        <v>1651</v>
      </c>
      <c r="B1660" s="206" t="s">
        <v>5576</v>
      </c>
      <c r="C1660" s="207">
        <v>42199</v>
      </c>
      <c r="D1660" s="208">
        <v>2</v>
      </c>
      <c r="E1660" s="209" t="s">
        <v>93</v>
      </c>
      <c r="F1660" s="206" t="s">
        <v>825</v>
      </c>
      <c r="G1660" s="209" t="s">
        <v>202</v>
      </c>
      <c r="H1660" s="210">
        <v>42199</v>
      </c>
      <c r="I1660" s="209" t="s">
        <v>187</v>
      </c>
      <c r="J1660" s="209" t="s">
        <v>103</v>
      </c>
      <c r="K1660" s="209" t="s">
        <v>5577</v>
      </c>
      <c r="L1660" s="210">
        <v>42199</v>
      </c>
      <c r="M1660" s="206" t="s">
        <v>5462</v>
      </c>
      <c r="N1660" s="211" t="s">
        <v>185</v>
      </c>
      <c r="O1660" s="210">
        <v>42200</v>
      </c>
      <c r="P1660" s="212">
        <f t="shared" si="727"/>
        <v>1</v>
      </c>
      <c r="Q1660" s="209" t="s">
        <v>5578</v>
      </c>
      <c r="R1660" s="211" t="s">
        <v>17</v>
      </c>
      <c r="S1660" s="206" t="s">
        <v>101</v>
      </c>
      <c r="T1660" s="206" t="s">
        <v>1604</v>
      </c>
      <c r="U1660" s="210">
        <v>42201</v>
      </c>
      <c r="V1660" s="211" t="s">
        <v>186</v>
      </c>
      <c r="W1660" s="213">
        <f t="shared" si="728"/>
        <v>0</v>
      </c>
      <c r="X1660" s="213" t="str">
        <f t="shared" si="729"/>
        <v>Correcto</v>
      </c>
    </row>
    <row r="1661" spans="1:24" ht="18" customHeight="1" x14ac:dyDescent="0.25">
      <c r="A1661" s="214">
        <v>1652</v>
      </c>
      <c r="B1661" s="206" t="s">
        <v>5579</v>
      </c>
      <c r="C1661" s="207">
        <v>42199</v>
      </c>
      <c r="D1661" s="208">
        <v>11</v>
      </c>
      <c r="E1661" s="209" t="s">
        <v>93</v>
      </c>
      <c r="F1661" s="206" t="s">
        <v>825</v>
      </c>
      <c r="G1661" s="209" t="s">
        <v>202</v>
      </c>
      <c r="H1661" s="210">
        <v>42202</v>
      </c>
      <c r="I1661" s="209" t="s">
        <v>187</v>
      </c>
      <c r="J1661" s="209" t="s">
        <v>103</v>
      </c>
      <c r="K1661" s="209" t="s">
        <v>5580</v>
      </c>
      <c r="L1661" s="210">
        <v>42202</v>
      </c>
      <c r="M1661" s="206" t="s">
        <v>5462</v>
      </c>
      <c r="N1661" s="211" t="s">
        <v>185</v>
      </c>
      <c r="O1661" s="210">
        <v>42202</v>
      </c>
      <c r="P1661" s="212">
        <f t="shared" si="727"/>
        <v>3</v>
      </c>
      <c r="Q1661" s="209" t="s">
        <v>5581</v>
      </c>
      <c r="R1661" s="211" t="s">
        <v>605</v>
      </c>
      <c r="S1661" s="206" t="s">
        <v>101</v>
      </c>
      <c r="T1661" s="206" t="s">
        <v>5582</v>
      </c>
      <c r="U1661" s="210">
        <v>42202</v>
      </c>
      <c r="V1661" s="211" t="s">
        <v>186</v>
      </c>
      <c r="W1661" s="213">
        <f t="shared" si="728"/>
        <v>0</v>
      </c>
      <c r="X1661" s="213" t="str">
        <f t="shared" si="729"/>
        <v>Correcto</v>
      </c>
    </row>
    <row r="1662" spans="1:24" ht="18" customHeight="1" x14ac:dyDescent="0.25">
      <c r="A1662" s="214">
        <v>1653</v>
      </c>
      <c r="B1662" s="206" t="s">
        <v>5583</v>
      </c>
      <c r="C1662" s="207">
        <v>42199</v>
      </c>
      <c r="D1662" s="208">
        <v>5</v>
      </c>
      <c r="E1662" s="209" t="s">
        <v>93</v>
      </c>
      <c r="F1662" s="206" t="s">
        <v>825</v>
      </c>
      <c r="G1662" s="209" t="s">
        <v>202</v>
      </c>
      <c r="H1662" s="210">
        <v>42201</v>
      </c>
      <c r="I1662" s="209" t="s">
        <v>187</v>
      </c>
      <c r="J1662" s="209" t="s">
        <v>103</v>
      </c>
      <c r="K1662" s="209" t="s">
        <v>5584</v>
      </c>
      <c r="L1662" s="210">
        <v>42201</v>
      </c>
      <c r="M1662" s="206" t="s">
        <v>5462</v>
      </c>
      <c r="N1662" s="211" t="s">
        <v>185</v>
      </c>
      <c r="O1662" s="210">
        <v>42202</v>
      </c>
      <c r="P1662" s="212">
        <f t="shared" si="727"/>
        <v>3</v>
      </c>
      <c r="Q1662" s="209" t="s">
        <v>5585</v>
      </c>
      <c r="R1662" s="211" t="s">
        <v>605</v>
      </c>
      <c r="S1662" s="206" t="s">
        <v>101</v>
      </c>
      <c r="T1662" s="206" t="s">
        <v>5582</v>
      </c>
      <c r="U1662" s="210">
        <v>42202</v>
      </c>
      <c r="V1662" s="211" t="s">
        <v>186</v>
      </c>
      <c r="W1662" s="213">
        <f t="shared" si="728"/>
        <v>0</v>
      </c>
      <c r="X1662" s="213" t="str">
        <f t="shared" si="729"/>
        <v>Correcto</v>
      </c>
    </row>
    <row r="1663" spans="1:24" ht="18" customHeight="1" x14ac:dyDescent="0.25">
      <c r="A1663" s="214">
        <v>1654</v>
      </c>
      <c r="B1663" s="206" t="s">
        <v>5586</v>
      </c>
      <c r="C1663" s="207">
        <v>42199</v>
      </c>
      <c r="D1663" s="208">
        <v>35</v>
      </c>
      <c r="E1663" s="209" t="s">
        <v>93</v>
      </c>
      <c r="F1663" s="206" t="s">
        <v>825</v>
      </c>
      <c r="G1663" s="209" t="s">
        <v>202</v>
      </c>
      <c r="H1663" s="210">
        <v>42201</v>
      </c>
      <c r="I1663" s="209" t="s">
        <v>187</v>
      </c>
      <c r="J1663" s="209" t="s">
        <v>103</v>
      </c>
      <c r="K1663" s="209" t="s">
        <v>5587</v>
      </c>
      <c r="L1663" s="210">
        <v>42201</v>
      </c>
      <c r="M1663" s="206" t="s">
        <v>5462</v>
      </c>
      <c r="N1663" s="211" t="s">
        <v>185</v>
      </c>
      <c r="O1663" s="210">
        <v>42202</v>
      </c>
      <c r="P1663" s="212">
        <f t="shared" si="727"/>
        <v>3</v>
      </c>
      <c r="Q1663" s="209" t="s">
        <v>5588</v>
      </c>
      <c r="R1663" s="211" t="s">
        <v>605</v>
      </c>
      <c r="S1663" s="206" t="s">
        <v>101</v>
      </c>
      <c r="T1663" s="206" t="s">
        <v>5572</v>
      </c>
      <c r="U1663" s="210">
        <v>42205</v>
      </c>
      <c r="V1663" s="211" t="s">
        <v>186</v>
      </c>
      <c r="W1663" s="213">
        <f t="shared" si="728"/>
        <v>0</v>
      </c>
      <c r="X1663" s="213" t="str">
        <f t="shared" si="729"/>
        <v>Correcto</v>
      </c>
    </row>
    <row r="1664" spans="1:24" ht="18" customHeight="1" x14ac:dyDescent="0.25">
      <c r="A1664" s="214">
        <v>1655</v>
      </c>
      <c r="B1664" s="206" t="s">
        <v>5589</v>
      </c>
      <c r="C1664" s="207">
        <v>42199</v>
      </c>
      <c r="D1664" s="208">
        <v>35</v>
      </c>
      <c r="E1664" s="209" t="s">
        <v>93</v>
      </c>
      <c r="F1664" s="206" t="s">
        <v>825</v>
      </c>
      <c r="G1664" s="209" t="s">
        <v>202</v>
      </c>
      <c r="H1664" s="210">
        <v>42201</v>
      </c>
      <c r="I1664" s="209" t="s">
        <v>187</v>
      </c>
      <c r="J1664" s="209" t="s">
        <v>103</v>
      </c>
      <c r="K1664" s="209" t="s">
        <v>5590</v>
      </c>
      <c r="L1664" s="210">
        <v>42201</v>
      </c>
      <c r="M1664" s="206" t="s">
        <v>5462</v>
      </c>
      <c r="N1664" s="211" t="s">
        <v>185</v>
      </c>
      <c r="O1664" s="210">
        <v>42202</v>
      </c>
      <c r="P1664" s="212">
        <f t="shared" si="727"/>
        <v>3</v>
      </c>
      <c r="Q1664" s="209" t="s">
        <v>5591</v>
      </c>
      <c r="R1664" s="211" t="s">
        <v>605</v>
      </c>
      <c r="S1664" s="206" t="s">
        <v>101</v>
      </c>
      <c r="T1664" s="206" t="s">
        <v>5572</v>
      </c>
      <c r="U1664" s="210">
        <v>42205</v>
      </c>
      <c r="V1664" s="211" t="s">
        <v>186</v>
      </c>
      <c r="W1664" s="213">
        <f t="shared" si="728"/>
        <v>0</v>
      </c>
      <c r="X1664" s="213" t="str">
        <f t="shared" si="729"/>
        <v>Correcto</v>
      </c>
    </row>
    <row r="1665" spans="1:25" ht="18" customHeight="1" x14ac:dyDescent="0.25">
      <c r="A1665" s="214">
        <v>1656</v>
      </c>
      <c r="B1665" s="206" t="s">
        <v>5592</v>
      </c>
      <c r="C1665" s="207">
        <v>42199</v>
      </c>
      <c r="D1665" s="208">
        <v>3</v>
      </c>
      <c r="E1665" s="209" t="s">
        <v>93</v>
      </c>
      <c r="F1665" s="206" t="s">
        <v>825</v>
      </c>
      <c r="G1665" s="209" t="s">
        <v>202</v>
      </c>
      <c r="H1665" s="210">
        <v>42201</v>
      </c>
      <c r="I1665" s="209" t="s">
        <v>187</v>
      </c>
      <c r="J1665" s="209" t="s">
        <v>103</v>
      </c>
      <c r="K1665" s="209" t="s">
        <v>5593</v>
      </c>
      <c r="L1665" s="210">
        <v>42201</v>
      </c>
      <c r="M1665" s="206" t="s">
        <v>5462</v>
      </c>
      <c r="N1665" s="211" t="s">
        <v>185</v>
      </c>
      <c r="O1665" s="210">
        <v>42202</v>
      </c>
      <c r="P1665" s="212">
        <f t="shared" si="727"/>
        <v>3</v>
      </c>
      <c r="Q1665" s="209" t="s">
        <v>5594</v>
      </c>
      <c r="R1665" s="211" t="s">
        <v>17</v>
      </c>
      <c r="S1665" s="206" t="s">
        <v>5595</v>
      </c>
      <c r="T1665" s="206">
        <v>1103630354</v>
      </c>
      <c r="U1665" s="210"/>
      <c r="V1665" s="211" t="s">
        <v>186</v>
      </c>
      <c r="W1665" s="213">
        <f t="shared" si="728"/>
        <v>1</v>
      </c>
      <c r="X1665" s="213" t="str">
        <f t="shared" si="729"/>
        <v>Incorrecto</v>
      </c>
    </row>
    <row r="1666" spans="1:25" ht="18" customHeight="1" x14ac:dyDescent="0.25">
      <c r="A1666" s="214">
        <v>1657</v>
      </c>
      <c r="B1666" s="206" t="s">
        <v>5596</v>
      </c>
      <c r="C1666" s="207">
        <v>42200</v>
      </c>
      <c r="D1666" s="208">
        <v>2</v>
      </c>
      <c r="E1666" s="209" t="s">
        <v>93</v>
      </c>
      <c r="F1666" s="206" t="s">
        <v>825</v>
      </c>
      <c r="G1666" s="209" t="s">
        <v>202</v>
      </c>
      <c r="H1666" s="210">
        <v>42201</v>
      </c>
      <c r="I1666" s="209" t="s">
        <v>187</v>
      </c>
      <c r="J1666" s="209" t="s">
        <v>103</v>
      </c>
      <c r="K1666" s="209" t="s">
        <v>5597</v>
      </c>
      <c r="L1666" s="210">
        <v>42201</v>
      </c>
      <c r="M1666" s="206" t="s">
        <v>5462</v>
      </c>
      <c r="N1666" s="211" t="s">
        <v>185</v>
      </c>
      <c r="O1666" s="210">
        <v>42201</v>
      </c>
      <c r="P1666" s="212">
        <f t="shared" si="727"/>
        <v>1</v>
      </c>
      <c r="Q1666" s="209" t="s">
        <v>5598</v>
      </c>
      <c r="R1666" s="211" t="s">
        <v>17</v>
      </c>
      <c r="S1666" s="206" t="s">
        <v>5599</v>
      </c>
      <c r="T1666" s="206" t="s">
        <v>5600</v>
      </c>
      <c r="U1666" s="210">
        <v>42202</v>
      </c>
      <c r="V1666" s="211" t="s">
        <v>186</v>
      </c>
      <c r="W1666" s="213">
        <f t="shared" si="728"/>
        <v>0</v>
      </c>
      <c r="X1666" s="213" t="str">
        <f t="shared" si="729"/>
        <v>Correcto</v>
      </c>
    </row>
    <row r="1667" spans="1:25" ht="18" customHeight="1" x14ac:dyDescent="0.25">
      <c r="A1667" s="214">
        <v>1658</v>
      </c>
      <c r="B1667" s="206" t="s">
        <v>5601</v>
      </c>
      <c r="C1667" s="207">
        <v>42200</v>
      </c>
      <c r="D1667" s="208">
        <v>2</v>
      </c>
      <c r="E1667" s="209" t="s">
        <v>93</v>
      </c>
      <c r="F1667" s="206" t="s">
        <v>825</v>
      </c>
      <c r="G1667" s="209" t="s">
        <v>202</v>
      </c>
      <c r="H1667" s="210">
        <v>42201</v>
      </c>
      <c r="I1667" s="209" t="s">
        <v>187</v>
      </c>
      <c r="J1667" s="209" t="s">
        <v>103</v>
      </c>
      <c r="K1667" s="209" t="s">
        <v>5602</v>
      </c>
      <c r="L1667" s="210">
        <v>42201</v>
      </c>
      <c r="M1667" s="206" t="s">
        <v>5462</v>
      </c>
      <c r="N1667" s="211" t="s">
        <v>185</v>
      </c>
      <c r="O1667" s="210">
        <v>42201</v>
      </c>
      <c r="P1667" s="212">
        <f t="shared" si="727"/>
        <v>1</v>
      </c>
      <c r="Q1667" s="209" t="s">
        <v>5603</v>
      </c>
      <c r="R1667" s="211" t="s">
        <v>17</v>
      </c>
      <c r="S1667" s="206" t="s">
        <v>5604</v>
      </c>
      <c r="T1667" s="206" t="s">
        <v>5605</v>
      </c>
      <c r="U1667" s="210">
        <v>42202</v>
      </c>
      <c r="V1667" s="211" t="s">
        <v>186</v>
      </c>
      <c r="W1667" s="213">
        <f t="shared" si="728"/>
        <v>0</v>
      </c>
      <c r="X1667" s="213" t="str">
        <f t="shared" si="729"/>
        <v>Correcto</v>
      </c>
    </row>
    <row r="1668" spans="1:25" ht="18" customHeight="1" x14ac:dyDescent="0.25">
      <c r="A1668" s="214">
        <v>1659</v>
      </c>
      <c r="B1668" s="206" t="s">
        <v>5606</v>
      </c>
      <c r="C1668" s="207">
        <v>42200</v>
      </c>
      <c r="D1668" s="208">
        <v>2</v>
      </c>
      <c r="E1668" s="209" t="s">
        <v>93</v>
      </c>
      <c r="F1668" s="206" t="s">
        <v>825</v>
      </c>
      <c r="G1668" s="209" t="s">
        <v>202</v>
      </c>
      <c r="H1668" s="210">
        <v>42201</v>
      </c>
      <c r="I1668" s="209" t="s">
        <v>187</v>
      </c>
      <c r="J1668" s="209" t="s">
        <v>103</v>
      </c>
      <c r="K1668" s="209" t="s">
        <v>5607</v>
      </c>
      <c r="L1668" s="210">
        <v>42201</v>
      </c>
      <c r="M1668" s="206" t="s">
        <v>824</v>
      </c>
      <c r="N1668" s="211" t="s">
        <v>185</v>
      </c>
      <c r="O1668" s="210">
        <v>42201</v>
      </c>
      <c r="P1668" s="212">
        <f t="shared" si="727"/>
        <v>1</v>
      </c>
      <c r="Q1668" s="209" t="s">
        <v>5607</v>
      </c>
      <c r="R1668" s="211" t="s">
        <v>17</v>
      </c>
      <c r="S1668" s="206" t="s">
        <v>5608</v>
      </c>
      <c r="T1668" s="206" t="s">
        <v>5609</v>
      </c>
      <c r="U1668" s="210">
        <v>42202</v>
      </c>
      <c r="V1668" s="211" t="s">
        <v>186</v>
      </c>
      <c r="W1668" s="213">
        <f t="shared" si="728"/>
        <v>0</v>
      </c>
      <c r="X1668" s="213" t="str">
        <f t="shared" si="729"/>
        <v>Correcto</v>
      </c>
    </row>
    <row r="1669" spans="1:25" ht="18" customHeight="1" x14ac:dyDescent="0.25">
      <c r="A1669" s="214">
        <v>1660</v>
      </c>
      <c r="B1669" s="206" t="s">
        <v>5610</v>
      </c>
      <c r="C1669" s="207">
        <v>42200</v>
      </c>
      <c r="D1669" s="208">
        <v>3</v>
      </c>
      <c r="E1669" s="209" t="s">
        <v>93</v>
      </c>
      <c r="F1669" s="206" t="s">
        <v>825</v>
      </c>
      <c r="G1669" s="209" t="s">
        <v>202</v>
      </c>
      <c r="H1669" s="210">
        <v>42201</v>
      </c>
      <c r="I1669" s="209" t="s">
        <v>187</v>
      </c>
      <c r="J1669" s="209" t="s">
        <v>103</v>
      </c>
      <c r="K1669" s="209" t="s">
        <v>5611</v>
      </c>
      <c r="L1669" s="210">
        <v>42201</v>
      </c>
      <c r="M1669" s="206" t="s">
        <v>824</v>
      </c>
      <c r="N1669" s="211" t="s">
        <v>185</v>
      </c>
      <c r="O1669" s="210">
        <v>42201</v>
      </c>
      <c r="P1669" s="212">
        <f t="shared" si="727"/>
        <v>1</v>
      </c>
      <c r="Q1669" s="209" t="s">
        <v>5612</v>
      </c>
      <c r="R1669" s="211" t="s">
        <v>17</v>
      </c>
      <c r="S1669" s="206" t="s">
        <v>5613</v>
      </c>
      <c r="T1669" s="206" t="s">
        <v>5614</v>
      </c>
      <c r="U1669" s="210">
        <v>42201</v>
      </c>
      <c r="V1669" s="211" t="s">
        <v>186</v>
      </c>
      <c r="W1669" s="213">
        <f t="shared" si="728"/>
        <v>0</v>
      </c>
      <c r="X1669" s="213" t="str">
        <f t="shared" si="729"/>
        <v>Correcto</v>
      </c>
    </row>
    <row r="1670" spans="1:25" ht="18" customHeight="1" x14ac:dyDescent="0.25">
      <c r="A1670" s="214">
        <v>1661</v>
      </c>
      <c r="B1670" s="206" t="s">
        <v>5615</v>
      </c>
      <c r="C1670" s="207">
        <v>42200</v>
      </c>
      <c r="D1670" s="208">
        <v>2</v>
      </c>
      <c r="E1670" s="209" t="s">
        <v>93</v>
      </c>
      <c r="F1670" s="206" t="s">
        <v>825</v>
      </c>
      <c r="G1670" s="209" t="s">
        <v>202</v>
      </c>
      <c r="H1670" s="210">
        <v>42201</v>
      </c>
      <c r="I1670" s="209" t="s">
        <v>187</v>
      </c>
      <c r="J1670" s="209" t="s">
        <v>103</v>
      </c>
      <c r="K1670" s="209" t="s">
        <v>5616</v>
      </c>
      <c r="L1670" s="210">
        <v>42201</v>
      </c>
      <c r="M1670" s="206" t="s">
        <v>824</v>
      </c>
      <c r="N1670" s="211" t="s">
        <v>185</v>
      </c>
      <c r="O1670" s="210">
        <v>42201</v>
      </c>
      <c r="P1670" s="212">
        <f t="shared" si="727"/>
        <v>1</v>
      </c>
      <c r="Q1670" s="209" t="s">
        <v>5616</v>
      </c>
      <c r="R1670" s="211" t="s">
        <v>17</v>
      </c>
      <c r="S1670" s="206" t="s">
        <v>5613</v>
      </c>
      <c r="T1670" s="206">
        <v>1900330232</v>
      </c>
      <c r="U1670" s="210"/>
      <c r="V1670" s="211" t="s">
        <v>186</v>
      </c>
      <c r="W1670" s="213">
        <f t="shared" si="728"/>
        <v>1</v>
      </c>
      <c r="X1670" s="213" t="str">
        <f t="shared" si="729"/>
        <v>Incorrecto</v>
      </c>
    </row>
    <row r="1671" spans="1:25" ht="18" customHeight="1" x14ac:dyDescent="0.25">
      <c r="A1671" s="214">
        <v>1662</v>
      </c>
      <c r="B1671" s="206" t="s">
        <v>5617</v>
      </c>
      <c r="C1671" s="207">
        <v>42200</v>
      </c>
      <c r="D1671" s="208">
        <v>2</v>
      </c>
      <c r="E1671" s="209" t="s">
        <v>93</v>
      </c>
      <c r="F1671" s="206" t="s">
        <v>825</v>
      </c>
      <c r="G1671" s="209" t="s">
        <v>202</v>
      </c>
      <c r="H1671" s="210">
        <v>42201</v>
      </c>
      <c r="I1671" s="209" t="s">
        <v>187</v>
      </c>
      <c r="J1671" s="209" t="s">
        <v>103</v>
      </c>
      <c r="K1671" s="209" t="s">
        <v>5618</v>
      </c>
      <c r="L1671" s="210">
        <v>42201</v>
      </c>
      <c r="M1671" s="206" t="s">
        <v>5462</v>
      </c>
      <c r="N1671" s="211" t="s">
        <v>185</v>
      </c>
      <c r="O1671" s="210">
        <v>42201</v>
      </c>
      <c r="P1671" s="212">
        <f t="shared" si="727"/>
        <v>1</v>
      </c>
      <c r="Q1671" s="209" t="s">
        <v>5619</v>
      </c>
      <c r="R1671" s="211" t="s">
        <v>17</v>
      </c>
      <c r="S1671" s="206" t="s">
        <v>5620</v>
      </c>
      <c r="T1671" s="206" t="s">
        <v>6818</v>
      </c>
      <c r="U1671" s="210">
        <v>42201</v>
      </c>
      <c r="V1671" s="211" t="s">
        <v>186</v>
      </c>
      <c r="W1671" s="213">
        <f t="shared" si="728"/>
        <v>0</v>
      </c>
      <c r="X1671" s="213" t="str">
        <f t="shared" si="729"/>
        <v>Correcto</v>
      </c>
    </row>
    <row r="1672" spans="1:25" ht="18" customHeight="1" x14ac:dyDescent="0.25">
      <c r="A1672" s="214">
        <v>1663</v>
      </c>
      <c r="B1672" s="206" t="s">
        <v>5621</v>
      </c>
      <c r="C1672" s="207">
        <v>42200</v>
      </c>
      <c r="D1672" s="208">
        <v>2</v>
      </c>
      <c r="E1672" s="209" t="s">
        <v>93</v>
      </c>
      <c r="F1672" s="206" t="s">
        <v>825</v>
      </c>
      <c r="G1672" s="209" t="s">
        <v>202</v>
      </c>
      <c r="H1672" s="210">
        <v>42201</v>
      </c>
      <c r="I1672" s="209" t="s">
        <v>187</v>
      </c>
      <c r="J1672" s="209" t="s">
        <v>103</v>
      </c>
      <c r="K1672" s="209" t="s">
        <v>5622</v>
      </c>
      <c r="L1672" s="210">
        <v>42201</v>
      </c>
      <c r="M1672" s="206" t="s">
        <v>824</v>
      </c>
      <c r="N1672" s="211" t="s">
        <v>185</v>
      </c>
      <c r="O1672" s="210">
        <v>42201</v>
      </c>
      <c r="P1672" s="212">
        <f t="shared" si="727"/>
        <v>1</v>
      </c>
      <c r="Q1672" s="209" t="s">
        <v>5622</v>
      </c>
      <c r="R1672" s="211" t="s">
        <v>17</v>
      </c>
      <c r="S1672" s="206" t="s">
        <v>5623</v>
      </c>
      <c r="T1672" s="206">
        <v>1103305924</v>
      </c>
      <c r="U1672" s="215">
        <v>42219</v>
      </c>
      <c r="V1672" s="211" t="s">
        <v>186</v>
      </c>
      <c r="W1672" s="213">
        <f t="shared" si="728"/>
        <v>0</v>
      </c>
      <c r="X1672" s="213" t="str">
        <f t="shared" si="729"/>
        <v>Correcto</v>
      </c>
      <c r="Y1672" s="196"/>
    </row>
    <row r="1673" spans="1:25" ht="18" customHeight="1" x14ac:dyDescent="0.25">
      <c r="A1673" s="214">
        <v>1664</v>
      </c>
      <c r="B1673" s="206" t="s">
        <v>5624</v>
      </c>
      <c r="C1673" s="207">
        <v>42201</v>
      </c>
      <c r="D1673" s="208">
        <v>2</v>
      </c>
      <c r="E1673" s="209" t="s">
        <v>93</v>
      </c>
      <c r="F1673" s="206" t="s">
        <v>825</v>
      </c>
      <c r="G1673" s="209" t="s">
        <v>202</v>
      </c>
      <c r="H1673" s="210">
        <v>42205</v>
      </c>
      <c r="I1673" s="209" t="s">
        <v>187</v>
      </c>
      <c r="J1673" s="209" t="s">
        <v>103</v>
      </c>
      <c r="K1673" s="209" t="s">
        <v>5625</v>
      </c>
      <c r="L1673" s="210">
        <v>42205</v>
      </c>
      <c r="M1673" s="206" t="s">
        <v>824</v>
      </c>
      <c r="N1673" s="211" t="s">
        <v>185</v>
      </c>
      <c r="O1673" s="210">
        <v>42205</v>
      </c>
      <c r="P1673" s="212">
        <f t="shared" si="727"/>
        <v>4</v>
      </c>
      <c r="Q1673" s="209" t="s">
        <v>5625</v>
      </c>
      <c r="R1673" s="211" t="s">
        <v>17</v>
      </c>
      <c r="S1673" s="206" t="s">
        <v>5626</v>
      </c>
      <c r="T1673" s="206" t="s">
        <v>5627</v>
      </c>
      <c r="U1673" s="210">
        <v>42024</v>
      </c>
      <c r="V1673" s="211" t="s">
        <v>186</v>
      </c>
      <c r="W1673" s="213">
        <f t="shared" si="728"/>
        <v>0</v>
      </c>
      <c r="X1673" s="213" t="str">
        <f t="shared" si="729"/>
        <v>Correcto</v>
      </c>
    </row>
    <row r="1674" spans="1:25" ht="18" customHeight="1" x14ac:dyDescent="0.25">
      <c r="A1674" s="214">
        <v>1665</v>
      </c>
      <c r="B1674" s="206" t="s">
        <v>5628</v>
      </c>
      <c r="C1674" s="207">
        <v>42201</v>
      </c>
      <c r="D1674" s="208">
        <v>3</v>
      </c>
      <c r="E1674" s="209" t="s">
        <v>93</v>
      </c>
      <c r="F1674" s="206" t="s">
        <v>5462</v>
      </c>
      <c r="G1674" s="209" t="s">
        <v>202</v>
      </c>
      <c r="H1674" s="210">
        <v>42202</v>
      </c>
      <c r="I1674" s="209" t="s">
        <v>187</v>
      </c>
      <c r="J1674" s="209" t="s">
        <v>103</v>
      </c>
      <c r="K1674" s="209" t="s">
        <v>5629</v>
      </c>
      <c r="L1674" s="210">
        <v>42202</v>
      </c>
      <c r="M1674" s="206" t="s">
        <v>5462</v>
      </c>
      <c r="N1674" s="211" t="s">
        <v>185</v>
      </c>
      <c r="O1674" s="210">
        <v>42202</v>
      </c>
      <c r="P1674" s="212">
        <f t="shared" si="727"/>
        <v>1</v>
      </c>
      <c r="Q1674" s="209" t="s">
        <v>5630</v>
      </c>
      <c r="R1674" s="211" t="s">
        <v>17</v>
      </c>
      <c r="S1674" s="206" t="s">
        <v>5631</v>
      </c>
      <c r="T1674" s="206" t="s">
        <v>5632</v>
      </c>
      <c r="U1674" s="210">
        <v>42202</v>
      </c>
      <c r="V1674" s="211" t="s">
        <v>186</v>
      </c>
      <c r="W1674" s="213">
        <f t="shared" si="728"/>
        <v>0</v>
      </c>
      <c r="X1674" s="213" t="str">
        <f t="shared" si="729"/>
        <v>Correcto</v>
      </c>
    </row>
    <row r="1675" spans="1:25" ht="18" customHeight="1" x14ac:dyDescent="0.25">
      <c r="A1675" s="214">
        <v>1666</v>
      </c>
      <c r="B1675" s="206" t="s">
        <v>5633</v>
      </c>
      <c r="C1675" s="207">
        <v>42201</v>
      </c>
      <c r="D1675" s="208">
        <v>3</v>
      </c>
      <c r="E1675" s="209" t="s">
        <v>93</v>
      </c>
      <c r="F1675" s="206" t="s">
        <v>825</v>
      </c>
      <c r="G1675" s="209" t="s">
        <v>202</v>
      </c>
      <c r="H1675" s="210">
        <v>42202</v>
      </c>
      <c r="I1675" s="209" t="s">
        <v>187</v>
      </c>
      <c r="J1675" s="209" t="s">
        <v>103</v>
      </c>
      <c r="K1675" s="209" t="s">
        <v>5634</v>
      </c>
      <c r="L1675" s="210">
        <v>42202</v>
      </c>
      <c r="M1675" s="206" t="s">
        <v>5462</v>
      </c>
      <c r="N1675" s="211" t="s">
        <v>185</v>
      </c>
      <c r="O1675" s="210">
        <v>42202</v>
      </c>
      <c r="P1675" s="212">
        <f t="shared" si="727"/>
        <v>1</v>
      </c>
      <c r="Q1675" s="209" t="s">
        <v>5635</v>
      </c>
      <c r="R1675" s="211" t="s">
        <v>17</v>
      </c>
      <c r="S1675" s="206" t="s">
        <v>5636</v>
      </c>
      <c r="T1675" s="206" t="s">
        <v>5637</v>
      </c>
      <c r="U1675" s="210">
        <v>42205</v>
      </c>
      <c r="V1675" s="211" t="s">
        <v>186</v>
      </c>
      <c r="W1675" s="213">
        <f t="shared" si="728"/>
        <v>0</v>
      </c>
      <c r="X1675" s="213" t="str">
        <f t="shared" si="729"/>
        <v>Correcto</v>
      </c>
    </row>
    <row r="1676" spans="1:25" ht="18" customHeight="1" x14ac:dyDescent="0.25">
      <c r="A1676" s="214">
        <v>1667</v>
      </c>
      <c r="B1676" s="206" t="s">
        <v>5638</v>
      </c>
      <c r="C1676" s="207">
        <v>42201</v>
      </c>
      <c r="D1676" s="208">
        <v>2</v>
      </c>
      <c r="E1676" s="209" t="s">
        <v>93</v>
      </c>
      <c r="F1676" s="206" t="s">
        <v>825</v>
      </c>
      <c r="G1676" s="209" t="s">
        <v>202</v>
      </c>
      <c r="H1676" s="210">
        <v>42202</v>
      </c>
      <c r="I1676" s="209" t="s">
        <v>187</v>
      </c>
      <c r="J1676" s="209" t="s">
        <v>103</v>
      </c>
      <c r="K1676" s="209" t="s">
        <v>5639</v>
      </c>
      <c r="L1676" s="210">
        <v>42202</v>
      </c>
      <c r="M1676" s="206" t="s">
        <v>824</v>
      </c>
      <c r="N1676" s="211" t="s">
        <v>185</v>
      </c>
      <c r="O1676" s="210">
        <v>42202</v>
      </c>
      <c r="P1676" s="212">
        <f t="shared" si="727"/>
        <v>1</v>
      </c>
      <c r="Q1676" s="209" t="s">
        <v>5639</v>
      </c>
      <c r="R1676" s="211" t="s">
        <v>5640</v>
      </c>
      <c r="S1676" s="206" t="s">
        <v>101</v>
      </c>
      <c r="T1676" s="206" t="s">
        <v>5641</v>
      </c>
      <c r="U1676" s="210">
        <v>42205</v>
      </c>
      <c r="V1676" s="211" t="s">
        <v>186</v>
      </c>
      <c r="W1676" s="213">
        <f t="shared" si="728"/>
        <v>0</v>
      </c>
      <c r="X1676" s="213" t="str">
        <f t="shared" si="729"/>
        <v>Correcto</v>
      </c>
    </row>
    <row r="1677" spans="1:25" ht="18" customHeight="1" x14ac:dyDescent="0.25">
      <c r="A1677" s="214">
        <v>1668</v>
      </c>
      <c r="B1677" s="206" t="s">
        <v>5642</v>
      </c>
      <c r="C1677" s="207">
        <v>42201</v>
      </c>
      <c r="D1677" s="208">
        <v>2</v>
      </c>
      <c r="E1677" s="209" t="s">
        <v>93</v>
      </c>
      <c r="F1677" s="206" t="s">
        <v>825</v>
      </c>
      <c r="G1677" s="209" t="s">
        <v>202</v>
      </c>
      <c r="H1677" s="210">
        <v>42202</v>
      </c>
      <c r="I1677" s="209" t="s">
        <v>187</v>
      </c>
      <c r="J1677" s="209" t="s">
        <v>103</v>
      </c>
      <c r="K1677" s="209" t="s">
        <v>5643</v>
      </c>
      <c r="L1677" s="210">
        <v>42202</v>
      </c>
      <c r="M1677" s="206" t="s">
        <v>824</v>
      </c>
      <c r="N1677" s="211" t="s">
        <v>185</v>
      </c>
      <c r="O1677" s="210">
        <v>42202</v>
      </c>
      <c r="P1677" s="212">
        <f t="shared" si="727"/>
        <v>1</v>
      </c>
      <c r="Q1677" s="209" t="s">
        <v>5643</v>
      </c>
      <c r="R1677" s="211" t="s">
        <v>17</v>
      </c>
      <c r="S1677" s="206" t="s">
        <v>5644</v>
      </c>
      <c r="T1677" s="206">
        <v>1105626400</v>
      </c>
      <c r="U1677" s="215">
        <v>42219</v>
      </c>
      <c r="V1677" s="211" t="s">
        <v>186</v>
      </c>
      <c r="W1677" s="213">
        <f t="shared" si="728"/>
        <v>0</v>
      </c>
      <c r="X1677" s="213" t="str">
        <f t="shared" si="729"/>
        <v>Correcto</v>
      </c>
      <c r="Y1677" s="196"/>
    </row>
    <row r="1678" spans="1:25" ht="18" customHeight="1" x14ac:dyDescent="0.25">
      <c r="A1678" s="214">
        <v>1669</v>
      </c>
      <c r="B1678" s="206" t="s">
        <v>5645</v>
      </c>
      <c r="C1678" s="207">
        <v>42201</v>
      </c>
      <c r="D1678" s="208">
        <v>15</v>
      </c>
      <c r="E1678" s="209" t="s">
        <v>93</v>
      </c>
      <c r="F1678" s="206" t="s">
        <v>825</v>
      </c>
      <c r="G1678" s="209" t="s">
        <v>202</v>
      </c>
      <c r="H1678" s="210">
        <v>42206</v>
      </c>
      <c r="I1678" s="209" t="s">
        <v>187</v>
      </c>
      <c r="J1678" s="209" t="s">
        <v>103</v>
      </c>
      <c r="K1678" s="209" t="s">
        <v>5646</v>
      </c>
      <c r="L1678" s="210">
        <v>42206</v>
      </c>
      <c r="M1678" s="206" t="s">
        <v>5462</v>
      </c>
      <c r="N1678" s="211" t="s">
        <v>185</v>
      </c>
      <c r="O1678" s="210">
        <v>42207</v>
      </c>
      <c r="P1678" s="212">
        <f t="shared" si="727"/>
        <v>6</v>
      </c>
      <c r="Q1678" s="209" t="s">
        <v>5647</v>
      </c>
      <c r="R1678" s="211" t="s">
        <v>17</v>
      </c>
      <c r="S1678" s="206" t="s">
        <v>5648</v>
      </c>
      <c r="T1678" s="206" t="s">
        <v>5649</v>
      </c>
      <c r="U1678" s="210">
        <v>42207</v>
      </c>
      <c r="V1678" s="211" t="s">
        <v>186</v>
      </c>
      <c r="W1678" s="213">
        <f t="shared" si="728"/>
        <v>0</v>
      </c>
      <c r="X1678" s="213" t="str">
        <f t="shared" si="729"/>
        <v>Correcto</v>
      </c>
    </row>
    <row r="1679" spans="1:25" ht="18" customHeight="1" x14ac:dyDescent="0.25">
      <c r="A1679" s="214">
        <v>1670</v>
      </c>
      <c r="B1679" s="206" t="s">
        <v>5650</v>
      </c>
      <c r="C1679" s="207">
        <v>42201</v>
      </c>
      <c r="D1679" s="208">
        <v>2</v>
      </c>
      <c r="E1679" s="209" t="s">
        <v>93</v>
      </c>
      <c r="F1679" s="206" t="s">
        <v>825</v>
      </c>
      <c r="G1679" s="209" t="s">
        <v>202</v>
      </c>
      <c r="H1679" s="210">
        <v>42202</v>
      </c>
      <c r="I1679" s="209" t="s">
        <v>187</v>
      </c>
      <c r="J1679" s="209" t="s">
        <v>103</v>
      </c>
      <c r="K1679" s="209" t="s">
        <v>5651</v>
      </c>
      <c r="L1679" s="210">
        <v>42202</v>
      </c>
      <c r="M1679" s="206" t="s">
        <v>824</v>
      </c>
      <c r="N1679" s="211" t="s">
        <v>185</v>
      </c>
      <c r="O1679" s="210">
        <v>42202</v>
      </c>
      <c r="P1679" s="212">
        <f t="shared" si="727"/>
        <v>1</v>
      </c>
      <c r="Q1679" s="209" t="s">
        <v>5651</v>
      </c>
      <c r="R1679" s="211" t="s">
        <v>17</v>
      </c>
      <c r="S1679" s="206" t="s">
        <v>5652</v>
      </c>
      <c r="T1679" s="206" t="s">
        <v>5653</v>
      </c>
      <c r="U1679" s="210">
        <v>42202</v>
      </c>
      <c r="V1679" s="211" t="s">
        <v>186</v>
      </c>
      <c r="W1679" s="213">
        <f t="shared" si="728"/>
        <v>0</v>
      </c>
      <c r="X1679" s="213" t="str">
        <f t="shared" si="729"/>
        <v>Correcto</v>
      </c>
    </row>
    <row r="1680" spans="1:25" ht="18" customHeight="1" x14ac:dyDescent="0.25">
      <c r="A1680" s="214">
        <v>1671</v>
      </c>
      <c r="B1680" s="206" t="s">
        <v>5654</v>
      </c>
      <c r="C1680" s="207">
        <v>42201</v>
      </c>
      <c r="D1680" s="208">
        <v>2</v>
      </c>
      <c r="E1680" s="209" t="s">
        <v>93</v>
      </c>
      <c r="F1680" s="206" t="s">
        <v>825</v>
      </c>
      <c r="G1680" s="209" t="s">
        <v>202</v>
      </c>
      <c r="H1680" s="210">
        <v>42202</v>
      </c>
      <c r="I1680" s="209" t="s">
        <v>187</v>
      </c>
      <c r="J1680" s="209" t="s">
        <v>103</v>
      </c>
      <c r="K1680" s="209" t="s">
        <v>5655</v>
      </c>
      <c r="L1680" s="210">
        <v>42202</v>
      </c>
      <c r="M1680" s="206" t="s">
        <v>5462</v>
      </c>
      <c r="N1680" s="211" t="s">
        <v>185</v>
      </c>
      <c r="O1680" s="210">
        <v>42205</v>
      </c>
      <c r="P1680" s="212">
        <f t="shared" si="727"/>
        <v>4</v>
      </c>
      <c r="Q1680" s="209" t="s">
        <v>5656</v>
      </c>
      <c r="R1680" s="211" t="s">
        <v>17</v>
      </c>
      <c r="S1680" s="206" t="s">
        <v>5657</v>
      </c>
      <c r="T1680" s="206" t="s">
        <v>5658</v>
      </c>
      <c r="U1680" s="210">
        <v>42205</v>
      </c>
      <c r="V1680" s="211" t="s">
        <v>186</v>
      </c>
      <c r="W1680" s="213">
        <f t="shared" si="728"/>
        <v>0</v>
      </c>
      <c r="X1680" s="213" t="str">
        <f t="shared" si="729"/>
        <v>Correcto</v>
      </c>
    </row>
    <row r="1681" spans="1:25" ht="18" customHeight="1" x14ac:dyDescent="0.25">
      <c r="A1681" s="214">
        <v>1672</v>
      </c>
      <c r="B1681" s="206" t="s">
        <v>5659</v>
      </c>
      <c r="C1681" s="207">
        <v>42202</v>
      </c>
      <c r="D1681" s="208">
        <v>2</v>
      </c>
      <c r="E1681" s="209" t="s">
        <v>93</v>
      </c>
      <c r="F1681" s="206" t="s">
        <v>825</v>
      </c>
      <c r="G1681" s="209" t="s">
        <v>202</v>
      </c>
      <c r="H1681" s="210">
        <v>42202</v>
      </c>
      <c r="I1681" s="209" t="s">
        <v>187</v>
      </c>
      <c r="J1681" s="209" t="s">
        <v>103</v>
      </c>
      <c r="K1681" s="209" t="s">
        <v>5660</v>
      </c>
      <c r="L1681" s="210">
        <v>42202</v>
      </c>
      <c r="M1681" s="206" t="s">
        <v>5462</v>
      </c>
      <c r="N1681" s="211" t="s">
        <v>185</v>
      </c>
      <c r="O1681" s="210">
        <v>42202</v>
      </c>
      <c r="P1681" s="212">
        <f t="shared" si="727"/>
        <v>0</v>
      </c>
      <c r="Q1681" s="209" t="s">
        <v>5661</v>
      </c>
      <c r="R1681" s="211" t="s">
        <v>17</v>
      </c>
      <c r="S1681" s="206" t="s">
        <v>5267</v>
      </c>
      <c r="T1681" s="206" t="s">
        <v>5268</v>
      </c>
      <c r="U1681" s="210">
        <v>42202</v>
      </c>
      <c r="V1681" s="211" t="s">
        <v>186</v>
      </c>
      <c r="W1681" s="213">
        <f t="shared" si="728"/>
        <v>0</v>
      </c>
      <c r="X1681" s="213" t="str">
        <f t="shared" si="729"/>
        <v>Correcto</v>
      </c>
    </row>
    <row r="1682" spans="1:25" ht="18" customHeight="1" x14ac:dyDescent="0.25">
      <c r="A1682" s="214">
        <v>1673</v>
      </c>
      <c r="B1682" s="206" t="s">
        <v>5662</v>
      </c>
      <c r="C1682" s="207">
        <v>42202</v>
      </c>
      <c r="D1682" s="208">
        <v>7</v>
      </c>
      <c r="E1682" s="209" t="s">
        <v>93</v>
      </c>
      <c r="F1682" s="206" t="s">
        <v>825</v>
      </c>
      <c r="G1682" s="209" t="s">
        <v>202</v>
      </c>
      <c r="H1682" s="210">
        <v>42207</v>
      </c>
      <c r="I1682" s="209" t="s">
        <v>187</v>
      </c>
      <c r="J1682" s="209" t="s">
        <v>103</v>
      </c>
      <c r="K1682" s="209" t="s">
        <v>5663</v>
      </c>
      <c r="L1682" s="210">
        <v>42207</v>
      </c>
      <c r="M1682" s="206" t="s">
        <v>5462</v>
      </c>
      <c r="N1682" s="211" t="s">
        <v>185</v>
      </c>
      <c r="O1682" s="210">
        <v>42207</v>
      </c>
      <c r="P1682" s="212">
        <f t="shared" si="727"/>
        <v>5</v>
      </c>
      <c r="Q1682" s="209" t="s">
        <v>5664</v>
      </c>
      <c r="R1682" s="211" t="s">
        <v>17</v>
      </c>
      <c r="S1682" s="206" t="s">
        <v>5665</v>
      </c>
      <c r="T1682" s="206" t="s">
        <v>104</v>
      </c>
      <c r="U1682" s="215">
        <v>42219</v>
      </c>
      <c r="V1682" s="211" t="s">
        <v>186</v>
      </c>
      <c r="W1682" s="213">
        <f t="shared" si="728"/>
        <v>0</v>
      </c>
      <c r="X1682" s="213" t="str">
        <f t="shared" si="729"/>
        <v>Correcto</v>
      </c>
      <c r="Y1682" s="196"/>
    </row>
    <row r="1683" spans="1:25" ht="18" customHeight="1" x14ac:dyDescent="0.25">
      <c r="A1683" s="214">
        <v>1674</v>
      </c>
      <c r="B1683" s="206" t="s">
        <v>5666</v>
      </c>
      <c r="C1683" s="207">
        <v>42202</v>
      </c>
      <c r="D1683" s="208">
        <v>3</v>
      </c>
      <c r="E1683" s="209" t="s">
        <v>93</v>
      </c>
      <c r="F1683" s="206" t="s">
        <v>825</v>
      </c>
      <c r="G1683" s="209" t="s">
        <v>202</v>
      </c>
      <c r="H1683" s="210">
        <v>42205</v>
      </c>
      <c r="I1683" s="209" t="s">
        <v>187</v>
      </c>
      <c r="J1683" s="209" t="s">
        <v>103</v>
      </c>
      <c r="K1683" s="209" t="s">
        <v>5667</v>
      </c>
      <c r="L1683" s="210">
        <v>42205</v>
      </c>
      <c r="M1683" s="206" t="s">
        <v>5462</v>
      </c>
      <c r="N1683" s="211" t="s">
        <v>185</v>
      </c>
      <c r="O1683" s="210">
        <v>42206</v>
      </c>
      <c r="P1683" s="212">
        <f t="shared" si="727"/>
        <v>4</v>
      </c>
      <c r="Q1683" s="209" t="s">
        <v>5668</v>
      </c>
      <c r="R1683" s="211" t="s">
        <v>17</v>
      </c>
      <c r="S1683" s="206" t="s">
        <v>101</v>
      </c>
      <c r="T1683" s="206" t="s">
        <v>5669</v>
      </c>
      <c r="U1683" s="210">
        <v>42209</v>
      </c>
      <c r="V1683" s="211" t="s">
        <v>186</v>
      </c>
      <c r="W1683" s="213">
        <f t="shared" si="728"/>
        <v>0</v>
      </c>
      <c r="X1683" s="213" t="str">
        <f t="shared" si="729"/>
        <v>Correcto</v>
      </c>
    </row>
    <row r="1684" spans="1:25" ht="18" customHeight="1" x14ac:dyDescent="0.25">
      <c r="A1684" s="214">
        <v>1675</v>
      </c>
      <c r="B1684" s="206" t="s">
        <v>5670</v>
      </c>
      <c r="C1684" s="207">
        <v>42202</v>
      </c>
      <c r="D1684" s="208">
        <v>2</v>
      </c>
      <c r="E1684" s="209" t="s">
        <v>93</v>
      </c>
      <c r="F1684" s="206" t="s">
        <v>825</v>
      </c>
      <c r="G1684" s="209" t="s">
        <v>202</v>
      </c>
      <c r="H1684" s="210">
        <v>42202</v>
      </c>
      <c r="I1684" s="209" t="s">
        <v>187</v>
      </c>
      <c r="J1684" s="209" t="s">
        <v>103</v>
      </c>
      <c r="K1684" s="209" t="s">
        <v>5671</v>
      </c>
      <c r="L1684" s="210">
        <v>42202</v>
      </c>
      <c r="M1684" s="206" t="s">
        <v>824</v>
      </c>
      <c r="N1684" s="211" t="s">
        <v>185</v>
      </c>
      <c r="O1684" s="210">
        <v>42202</v>
      </c>
      <c r="P1684" s="212">
        <f t="shared" si="727"/>
        <v>0</v>
      </c>
      <c r="Q1684" s="209" t="s">
        <v>5671</v>
      </c>
      <c r="R1684" s="211" t="s">
        <v>17</v>
      </c>
      <c r="S1684" s="206" t="s">
        <v>101</v>
      </c>
      <c r="T1684" s="206" t="s">
        <v>5672</v>
      </c>
      <c r="U1684" s="210">
        <v>42206</v>
      </c>
      <c r="V1684" s="211" t="s">
        <v>186</v>
      </c>
      <c r="W1684" s="213">
        <f t="shared" si="728"/>
        <v>0</v>
      </c>
      <c r="X1684" s="213" t="str">
        <f t="shared" si="729"/>
        <v>Correcto</v>
      </c>
    </row>
    <row r="1685" spans="1:25" ht="18" customHeight="1" x14ac:dyDescent="0.25">
      <c r="A1685" s="214">
        <v>1676</v>
      </c>
      <c r="B1685" s="206" t="s">
        <v>5673</v>
      </c>
      <c r="C1685" s="207">
        <v>42202</v>
      </c>
      <c r="D1685" s="208">
        <v>2</v>
      </c>
      <c r="E1685" s="209" t="s">
        <v>93</v>
      </c>
      <c r="F1685" s="206" t="s">
        <v>825</v>
      </c>
      <c r="G1685" s="209" t="s">
        <v>202</v>
      </c>
      <c r="H1685" s="210">
        <v>42202</v>
      </c>
      <c r="I1685" s="209" t="s">
        <v>187</v>
      </c>
      <c r="J1685" s="209" t="s">
        <v>103</v>
      </c>
      <c r="K1685" s="209" t="s">
        <v>5674</v>
      </c>
      <c r="L1685" s="210">
        <v>42202</v>
      </c>
      <c r="M1685" s="206" t="s">
        <v>824</v>
      </c>
      <c r="N1685" s="211" t="s">
        <v>185</v>
      </c>
      <c r="O1685" s="210">
        <v>42202</v>
      </c>
      <c r="P1685" s="212">
        <f t="shared" si="727"/>
        <v>0</v>
      </c>
      <c r="Q1685" s="209" t="s">
        <v>5674</v>
      </c>
      <c r="R1685" s="211" t="s">
        <v>2438</v>
      </c>
      <c r="S1685" s="206" t="s">
        <v>101</v>
      </c>
      <c r="T1685" s="206" t="s">
        <v>5675</v>
      </c>
      <c r="U1685" s="210">
        <v>42205</v>
      </c>
      <c r="V1685" s="211" t="s">
        <v>186</v>
      </c>
      <c r="W1685" s="213">
        <f t="shared" si="728"/>
        <v>0</v>
      </c>
      <c r="X1685" s="213" t="str">
        <f t="shared" si="729"/>
        <v>Correcto</v>
      </c>
    </row>
    <row r="1686" spans="1:25" ht="18" customHeight="1" x14ac:dyDescent="0.25">
      <c r="A1686" s="214">
        <v>1677</v>
      </c>
      <c r="B1686" s="206" t="s">
        <v>5676</v>
      </c>
      <c r="C1686" s="207">
        <v>42202</v>
      </c>
      <c r="D1686" s="208">
        <v>14</v>
      </c>
      <c r="E1686" s="209" t="s">
        <v>93</v>
      </c>
      <c r="F1686" s="206" t="s">
        <v>825</v>
      </c>
      <c r="G1686" s="209" t="s">
        <v>202</v>
      </c>
      <c r="H1686" s="210">
        <v>42212</v>
      </c>
      <c r="I1686" s="209" t="s">
        <v>187</v>
      </c>
      <c r="J1686" s="209" t="s">
        <v>103</v>
      </c>
      <c r="K1686" s="209" t="s">
        <v>5677</v>
      </c>
      <c r="L1686" s="210">
        <v>42212</v>
      </c>
      <c r="M1686" s="206" t="s">
        <v>824</v>
      </c>
      <c r="N1686" s="211" t="s">
        <v>4327</v>
      </c>
      <c r="O1686" s="210">
        <v>42212</v>
      </c>
      <c r="P1686" s="212">
        <f t="shared" si="727"/>
        <v>10</v>
      </c>
      <c r="Q1686" s="209" t="s">
        <v>5678</v>
      </c>
      <c r="R1686" s="211" t="s">
        <v>2438</v>
      </c>
      <c r="S1686" s="206" t="s">
        <v>101</v>
      </c>
      <c r="T1686" s="206" t="s">
        <v>5679</v>
      </c>
      <c r="U1686" s="210">
        <v>42213</v>
      </c>
      <c r="V1686" s="211" t="s">
        <v>186</v>
      </c>
      <c r="W1686" s="213">
        <f t="shared" si="728"/>
        <v>0</v>
      </c>
      <c r="X1686" s="213" t="str">
        <f t="shared" si="729"/>
        <v>Correcto</v>
      </c>
    </row>
    <row r="1687" spans="1:25" ht="18" customHeight="1" x14ac:dyDescent="0.25">
      <c r="A1687" s="214">
        <v>1678</v>
      </c>
      <c r="B1687" s="206" t="s">
        <v>5680</v>
      </c>
      <c r="C1687" s="207">
        <v>42202</v>
      </c>
      <c r="D1687" s="208">
        <v>2</v>
      </c>
      <c r="E1687" s="209" t="s">
        <v>93</v>
      </c>
      <c r="F1687" s="206" t="s">
        <v>825</v>
      </c>
      <c r="G1687" s="209" t="s">
        <v>202</v>
      </c>
      <c r="H1687" s="210">
        <v>42205</v>
      </c>
      <c r="I1687" s="209" t="s">
        <v>187</v>
      </c>
      <c r="J1687" s="209" t="s">
        <v>103</v>
      </c>
      <c r="K1687" s="209" t="s">
        <v>5681</v>
      </c>
      <c r="L1687" s="210">
        <v>42205</v>
      </c>
      <c r="M1687" s="206" t="s">
        <v>824</v>
      </c>
      <c r="N1687" s="211" t="s">
        <v>185</v>
      </c>
      <c r="O1687" s="210">
        <v>42205</v>
      </c>
      <c r="P1687" s="212">
        <f t="shared" si="727"/>
        <v>3</v>
      </c>
      <c r="Q1687" s="209" t="s">
        <v>5681</v>
      </c>
      <c r="R1687" s="211" t="s">
        <v>2438</v>
      </c>
      <c r="S1687" s="206" t="s">
        <v>101</v>
      </c>
      <c r="T1687" s="206" t="s">
        <v>5682</v>
      </c>
      <c r="U1687" s="210">
        <v>42205</v>
      </c>
      <c r="V1687" s="211" t="s">
        <v>186</v>
      </c>
      <c r="W1687" s="213">
        <f t="shared" si="728"/>
        <v>0</v>
      </c>
      <c r="X1687" s="213" t="str">
        <f t="shared" si="729"/>
        <v>Correcto</v>
      </c>
    </row>
    <row r="1688" spans="1:25" ht="18" customHeight="1" x14ac:dyDescent="0.25">
      <c r="A1688" s="214">
        <v>1679</v>
      </c>
      <c r="B1688" s="206" t="s">
        <v>5683</v>
      </c>
      <c r="C1688" s="207">
        <v>42202</v>
      </c>
      <c r="D1688" s="208">
        <v>2</v>
      </c>
      <c r="E1688" s="209" t="s">
        <v>93</v>
      </c>
      <c r="F1688" s="206" t="s">
        <v>825</v>
      </c>
      <c r="G1688" s="209" t="s">
        <v>202</v>
      </c>
      <c r="H1688" s="210">
        <v>42205</v>
      </c>
      <c r="I1688" s="209" t="s">
        <v>187</v>
      </c>
      <c r="J1688" s="209" t="s">
        <v>103</v>
      </c>
      <c r="K1688" s="209" t="s">
        <v>5684</v>
      </c>
      <c r="L1688" s="210">
        <v>42205</v>
      </c>
      <c r="M1688" s="206" t="s">
        <v>5462</v>
      </c>
      <c r="N1688" s="211" t="s">
        <v>185</v>
      </c>
      <c r="O1688" s="210">
        <v>42206</v>
      </c>
      <c r="P1688" s="212">
        <f t="shared" si="727"/>
        <v>4</v>
      </c>
      <c r="Q1688" s="209" t="s">
        <v>5685</v>
      </c>
      <c r="R1688" s="211" t="s">
        <v>2438</v>
      </c>
      <c r="S1688" s="206" t="s">
        <v>101</v>
      </c>
      <c r="T1688" s="206" t="s">
        <v>5682</v>
      </c>
      <c r="U1688" s="210">
        <v>42205</v>
      </c>
      <c r="V1688" s="211" t="s">
        <v>186</v>
      </c>
      <c r="W1688" s="213">
        <f t="shared" si="728"/>
        <v>0</v>
      </c>
      <c r="X1688" s="213" t="str">
        <f t="shared" si="729"/>
        <v>Correcto</v>
      </c>
    </row>
    <row r="1689" spans="1:25" ht="18" customHeight="1" x14ac:dyDescent="0.25">
      <c r="A1689" s="214">
        <v>1680</v>
      </c>
      <c r="B1689" s="206" t="s">
        <v>5686</v>
      </c>
      <c r="C1689" s="207">
        <v>42202</v>
      </c>
      <c r="D1689" s="208">
        <v>41</v>
      </c>
      <c r="E1689" s="209" t="s">
        <v>93</v>
      </c>
      <c r="F1689" s="206" t="s">
        <v>825</v>
      </c>
      <c r="G1689" s="209" t="s">
        <v>202</v>
      </c>
      <c r="H1689" s="210">
        <v>42205</v>
      </c>
      <c r="I1689" s="209" t="s">
        <v>187</v>
      </c>
      <c r="J1689" s="209" t="s">
        <v>103</v>
      </c>
      <c r="K1689" s="209" t="s">
        <v>5687</v>
      </c>
      <c r="L1689" s="210">
        <v>42205</v>
      </c>
      <c r="M1689" s="206" t="s">
        <v>5462</v>
      </c>
      <c r="N1689" s="211" t="s">
        <v>185</v>
      </c>
      <c r="O1689" s="210">
        <v>42205</v>
      </c>
      <c r="P1689" s="212">
        <f t="shared" si="727"/>
        <v>3</v>
      </c>
      <c r="Q1689" s="209" t="s">
        <v>5688</v>
      </c>
      <c r="R1689" s="211" t="s">
        <v>17</v>
      </c>
      <c r="S1689" s="206" t="s">
        <v>101</v>
      </c>
      <c r="T1689" s="206" t="s">
        <v>1659</v>
      </c>
      <c r="U1689" s="210">
        <v>42206</v>
      </c>
      <c r="V1689" s="211" t="s">
        <v>186</v>
      </c>
      <c r="W1689" s="213">
        <f t="shared" si="728"/>
        <v>0</v>
      </c>
      <c r="X1689" s="213" t="str">
        <f t="shared" si="729"/>
        <v>Correcto</v>
      </c>
    </row>
    <row r="1690" spans="1:25" ht="18" customHeight="1" x14ac:dyDescent="0.25">
      <c r="A1690" s="214">
        <v>1681</v>
      </c>
      <c r="B1690" s="206" t="s">
        <v>5689</v>
      </c>
      <c r="C1690" s="207">
        <v>42202</v>
      </c>
      <c r="D1690" s="208">
        <v>35</v>
      </c>
      <c r="E1690" s="209" t="s">
        <v>93</v>
      </c>
      <c r="F1690" s="206" t="s">
        <v>825</v>
      </c>
      <c r="G1690" s="209" t="s">
        <v>202</v>
      </c>
      <c r="H1690" s="210">
        <v>42202</v>
      </c>
      <c r="I1690" s="209" t="s">
        <v>187</v>
      </c>
      <c r="J1690" s="209" t="s">
        <v>103</v>
      </c>
      <c r="K1690" s="209" t="s">
        <v>5690</v>
      </c>
      <c r="L1690" s="210">
        <v>42202</v>
      </c>
      <c r="M1690" s="206" t="s">
        <v>5462</v>
      </c>
      <c r="N1690" s="211" t="s">
        <v>185</v>
      </c>
      <c r="O1690" s="210">
        <v>42205</v>
      </c>
      <c r="P1690" s="212">
        <f t="shared" si="727"/>
        <v>3</v>
      </c>
      <c r="Q1690" s="209" t="s">
        <v>5691</v>
      </c>
      <c r="R1690" s="211" t="s">
        <v>605</v>
      </c>
      <c r="S1690" s="206" t="s">
        <v>101</v>
      </c>
      <c r="T1690" s="206" t="s">
        <v>5572</v>
      </c>
      <c r="U1690" s="210">
        <v>42205</v>
      </c>
      <c r="V1690" s="211" t="s">
        <v>186</v>
      </c>
      <c r="W1690" s="213">
        <f t="shared" si="728"/>
        <v>0</v>
      </c>
      <c r="X1690" s="213" t="str">
        <f t="shared" si="729"/>
        <v>Correcto</v>
      </c>
    </row>
    <row r="1691" spans="1:25" ht="18" customHeight="1" x14ac:dyDescent="0.25">
      <c r="A1691" s="214">
        <v>1682</v>
      </c>
      <c r="B1691" s="206" t="s">
        <v>5692</v>
      </c>
      <c r="C1691" s="207">
        <v>42202</v>
      </c>
      <c r="D1691" s="208">
        <v>2</v>
      </c>
      <c r="E1691" s="209" t="s">
        <v>93</v>
      </c>
      <c r="F1691" s="206" t="s">
        <v>825</v>
      </c>
      <c r="G1691" s="209" t="s">
        <v>202</v>
      </c>
      <c r="H1691" s="210">
        <v>42202</v>
      </c>
      <c r="I1691" s="209" t="s">
        <v>187</v>
      </c>
      <c r="J1691" s="209" t="s">
        <v>103</v>
      </c>
      <c r="K1691" s="209" t="s">
        <v>5693</v>
      </c>
      <c r="L1691" s="210">
        <v>42202</v>
      </c>
      <c r="M1691" s="206" t="s">
        <v>824</v>
      </c>
      <c r="N1691" s="211" t="s">
        <v>185</v>
      </c>
      <c r="O1691" s="210">
        <v>42202</v>
      </c>
      <c r="P1691" s="212">
        <f t="shared" si="727"/>
        <v>0</v>
      </c>
      <c r="Q1691" s="209" t="s">
        <v>5693</v>
      </c>
      <c r="R1691" s="211" t="s">
        <v>17</v>
      </c>
      <c r="S1691" s="206" t="s">
        <v>101</v>
      </c>
      <c r="T1691" s="206" t="s">
        <v>5299</v>
      </c>
      <c r="U1691" s="210">
        <v>42206</v>
      </c>
      <c r="V1691" s="211" t="s">
        <v>186</v>
      </c>
      <c r="W1691" s="213">
        <f t="shared" si="728"/>
        <v>0</v>
      </c>
      <c r="X1691" s="213" t="str">
        <f t="shared" si="729"/>
        <v>Correcto</v>
      </c>
    </row>
    <row r="1692" spans="1:25" ht="18" customHeight="1" x14ac:dyDescent="0.25">
      <c r="A1692" s="214">
        <v>1683</v>
      </c>
      <c r="B1692" s="206" t="s">
        <v>5694</v>
      </c>
      <c r="C1692" s="207">
        <v>42202</v>
      </c>
      <c r="D1692" s="208">
        <v>2</v>
      </c>
      <c r="E1692" s="209" t="s">
        <v>93</v>
      </c>
      <c r="F1692" s="206" t="s">
        <v>825</v>
      </c>
      <c r="G1692" s="209" t="s">
        <v>202</v>
      </c>
      <c r="H1692" s="210">
        <v>42202</v>
      </c>
      <c r="I1692" s="209" t="s">
        <v>187</v>
      </c>
      <c r="J1692" s="209" t="s">
        <v>103</v>
      </c>
      <c r="K1692" s="209" t="s">
        <v>5695</v>
      </c>
      <c r="L1692" s="210">
        <v>42202</v>
      </c>
      <c r="M1692" s="206" t="s">
        <v>824</v>
      </c>
      <c r="N1692" s="211" t="s">
        <v>185</v>
      </c>
      <c r="O1692" s="210">
        <v>42202</v>
      </c>
      <c r="P1692" s="212">
        <f t="shared" si="727"/>
        <v>0</v>
      </c>
      <c r="Q1692" s="209" t="s">
        <v>5695</v>
      </c>
      <c r="R1692" s="211" t="s">
        <v>1027</v>
      </c>
      <c r="S1692" s="206" t="s">
        <v>101</v>
      </c>
      <c r="T1692" s="206" t="s">
        <v>5682</v>
      </c>
      <c r="U1692" s="210">
        <v>42205</v>
      </c>
      <c r="V1692" s="211" t="s">
        <v>186</v>
      </c>
      <c r="W1692" s="213">
        <f t="shared" si="728"/>
        <v>0</v>
      </c>
      <c r="X1692" s="213" t="str">
        <f t="shared" si="729"/>
        <v>Correcto</v>
      </c>
    </row>
    <row r="1693" spans="1:25" ht="18" customHeight="1" x14ac:dyDescent="0.25">
      <c r="A1693" s="214">
        <v>1684</v>
      </c>
      <c r="B1693" s="206" t="s">
        <v>5696</v>
      </c>
      <c r="C1693" s="207">
        <v>42202</v>
      </c>
      <c r="D1693" s="208">
        <v>2</v>
      </c>
      <c r="E1693" s="209" t="s">
        <v>93</v>
      </c>
      <c r="F1693" s="206" t="s">
        <v>825</v>
      </c>
      <c r="G1693" s="209" t="s">
        <v>202</v>
      </c>
      <c r="H1693" s="210">
        <v>42207</v>
      </c>
      <c r="I1693" s="209" t="s">
        <v>187</v>
      </c>
      <c r="J1693" s="209" t="s">
        <v>103</v>
      </c>
      <c r="K1693" s="209" t="s">
        <v>5697</v>
      </c>
      <c r="L1693" s="210">
        <v>42207</v>
      </c>
      <c r="M1693" s="206" t="s">
        <v>5462</v>
      </c>
      <c r="N1693" s="211" t="s">
        <v>185</v>
      </c>
      <c r="O1693" s="210">
        <v>42207</v>
      </c>
      <c r="P1693" s="212">
        <f t="shared" si="727"/>
        <v>5</v>
      </c>
      <c r="Q1693" s="209" t="s">
        <v>5698</v>
      </c>
      <c r="R1693" s="211" t="s">
        <v>17</v>
      </c>
      <c r="S1693" s="206" t="s">
        <v>5699</v>
      </c>
      <c r="T1693" s="206" t="s">
        <v>5700</v>
      </c>
      <c r="U1693" s="210">
        <v>42208</v>
      </c>
      <c r="V1693" s="211" t="s">
        <v>186</v>
      </c>
      <c r="W1693" s="213">
        <f t="shared" si="728"/>
        <v>0</v>
      </c>
      <c r="X1693" s="213" t="str">
        <f t="shared" si="729"/>
        <v>Correcto</v>
      </c>
    </row>
    <row r="1694" spans="1:25" ht="18" customHeight="1" x14ac:dyDescent="0.25">
      <c r="A1694" s="214">
        <v>1685</v>
      </c>
      <c r="B1694" s="206" t="s">
        <v>5701</v>
      </c>
      <c r="C1694" s="207">
        <v>42202</v>
      </c>
      <c r="D1694" s="208">
        <v>3</v>
      </c>
      <c r="E1694" s="209" t="s">
        <v>93</v>
      </c>
      <c r="F1694" s="206" t="s">
        <v>825</v>
      </c>
      <c r="G1694" s="209" t="s">
        <v>202</v>
      </c>
      <c r="H1694" s="210">
        <v>42206</v>
      </c>
      <c r="I1694" s="209" t="s">
        <v>187</v>
      </c>
      <c r="J1694" s="209" t="s">
        <v>103</v>
      </c>
      <c r="K1694" s="209" t="s">
        <v>5702</v>
      </c>
      <c r="L1694" s="210">
        <v>42206</v>
      </c>
      <c r="M1694" s="206" t="s">
        <v>5462</v>
      </c>
      <c r="N1694" s="211" t="s">
        <v>185</v>
      </c>
      <c r="O1694" s="210">
        <v>42207</v>
      </c>
      <c r="P1694" s="212">
        <f t="shared" si="727"/>
        <v>5</v>
      </c>
      <c r="Q1694" s="209" t="s">
        <v>5703</v>
      </c>
      <c r="R1694" s="211" t="s">
        <v>17</v>
      </c>
      <c r="S1694" s="206" t="s">
        <v>101</v>
      </c>
      <c r="T1694" s="206" t="s">
        <v>1815</v>
      </c>
      <c r="U1694" s="210">
        <v>42209</v>
      </c>
      <c r="V1694" s="211" t="s">
        <v>186</v>
      </c>
      <c r="W1694" s="213">
        <f t="shared" si="728"/>
        <v>0</v>
      </c>
      <c r="X1694" s="213" t="str">
        <f t="shared" si="729"/>
        <v>Correcto</v>
      </c>
    </row>
    <row r="1695" spans="1:25" ht="18" customHeight="1" x14ac:dyDescent="0.25">
      <c r="A1695" s="214">
        <v>1686</v>
      </c>
      <c r="B1695" s="206" t="s">
        <v>5704</v>
      </c>
      <c r="C1695" s="207">
        <v>42202</v>
      </c>
      <c r="D1695" s="208">
        <v>2</v>
      </c>
      <c r="E1695" s="209" t="s">
        <v>93</v>
      </c>
      <c r="F1695" s="206" t="s">
        <v>825</v>
      </c>
      <c r="G1695" s="209" t="s">
        <v>202</v>
      </c>
      <c r="H1695" s="210">
        <v>42205</v>
      </c>
      <c r="I1695" s="209" t="s">
        <v>187</v>
      </c>
      <c r="J1695" s="209" t="s">
        <v>103</v>
      </c>
      <c r="K1695" s="209" t="s">
        <v>5705</v>
      </c>
      <c r="L1695" s="210">
        <v>42205</v>
      </c>
      <c r="M1695" s="206" t="s">
        <v>824</v>
      </c>
      <c r="N1695" s="211" t="s">
        <v>185</v>
      </c>
      <c r="O1695" s="210">
        <v>42205</v>
      </c>
      <c r="P1695" s="212">
        <f t="shared" si="727"/>
        <v>3</v>
      </c>
      <c r="Q1695" s="209" t="s">
        <v>5705</v>
      </c>
      <c r="R1695" s="211" t="s">
        <v>1027</v>
      </c>
      <c r="S1695" s="206" t="s">
        <v>101</v>
      </c>
      <c r="T1695" s="206" t="s">
        <v>5682</v>
      </c>
      <c r="U1695" s="210">
        <v>42205</v>
      </c>
      <c r="V1695" s="211" t="s">
        <v>186</v>
      </c>
      <c r="W1695" s="213">
        <f t="shared" si="728"/>
        <v>0</v>
      </c>
      <c r="X1695" s="213" t="str">
        <f t="shared" si="729"/>
        <v>Correcto</v>
      </c>
    </row>
    <row r="1696" spans="1:25" ht="18" customHeight="1" x14ac:dyDescent="0.25">
      <c r="A1696" s="214">
        <v>1687</v>
      </c>
      <c r="B1696" s="206" t="s">
        <v>5706</v>
      </c>
      <c r="C1696" s="207">
        <v>42202</v>
      </c>
      <c r="D1696" s="208">
        <v>171</v>
      </c>
      <c r="E1696" s="209" t="s">
        <v>93</v>
      </c>
      <c r="F1696" s="206" t="s">
        <v>825</v>
      </c>
      <c r="G1696" s="209" t="s">
        <v>202</v>
      </c>
      <c r="H1696" s="210">
        <v>42206</v>
      </c>
      <c r="I1696" s="209" t="s">
        <v>187</v>
      </c>
      <c r="J1696" s="209" t="s">
        <v>103</v>
      </c>
      <c r="K1696" s="209" t="s">
        <v>5707</v>
      </c>
      <c r="L1696" s="210">
        <v>42206</v>
      </c>
      <c r="M1696" s="206" t="s">
        <v>824</v>
      </c>
      <c r="N1696" s="211" t="s">
        <v>185</v>
      </c>
      <c r="O1696" s="210">
        <v>42207</v>
      </c>
      <c r="P1696" s="212">
        <f t="shared" si="727"/>
        <v>5</v>
      </c>
      <c r="Q1696" s="209" t="s">
        <v>5708</v>
      </c>
      <c r="R1696" s="211" t="s">
        <v>17</v>
      </c>
      <c r="S1696" s="206" t="s">
        <v>5291</v>
      </c>
      <c r="T1696" s="206" t="s">
        <v>104</v>
      </c>
      <c r="U1696" s="210">
        <v>42207</v>
      </c>
      <c r="V1696" s="211" t="s">
        <v>186</v>
      </c>
      <c r="W1696" s="213">
        <f t="shared" si="728"/>
        <v>0</v>
      </c>
      <c r="X1696" s="213" t="str">
        <f t="shared" si="729"/>
        <v>Correcto</v>
      </c>
    </row>
    <row r="1697" spans="1:24" ht="18" customHeight="1" x14ac:dyDescent="0.25">
      <c r="A1697" s="214">
        <v>1688</v>
      </c>
      <c r="B1697" s="206" t="s">
        <v>5709</v>
      </c>
      <c r="C1697" s="207">
        <v>42202</v>
      </c>
      <c r="D1697" s="208">
        <v>2</v>
      </c>
      <c r="E1697" s="209" t="s">
        <v>93</v>
      </c>
      <c r="F1697" s="206" t="s">
        <v>825</v>
      </c>
      <c r="G1697" s="209" t="s">
        <v>202</v>
      </c>
      <c r="H1697" s="210">
        <v>42202</v>
      </c>
      <c r="I1697" s="209" t="s">
        <v>187</v>
      </c>
      <c r="J1697" s="209" t="s">
        <v>103</v>
      </c>
      <c r="K1697" s="209" t="s">
        <v>5710</v>
      </c>
      <c r="L1697" s="210">
        <v>42207</v>
      </c>
      <c r="M1697" s="206" t="s">
        <v>5711</v>
      </c>
      <c r="N1697" s="211" t="s">
        <v>1295</v>
      </c>
      <c r="O1697" s="210">
        <v>42209</v>
      </c>
      <c r="P1697" s="212">
        <f t="shared" si="727"/>
        <v>7</v>
      </c>
      <c r="Q1697" s="209" t="s">
        <v>5712</v>
      </c>
      <c r="R1697" s="211" t="s">
        <v>17</v>
      </c>
      <c r="S1697" s="206" t="s">
        <v>101</v>
      </c>
      <c r="T1697" s="206" t="s">
        <v>101</v>
      </c>
      <c r="U1697" s="210">
        <v>42214</v>
      </c>
      <c r="V1697" s="211" t="s">
        <v>186</v>
      </c>
      <c r="W1697" s="213">
        <f t="shared" si="728"/>
        <v>0</v>
      </c>
      <c r="X1697" s="213" t="str">
        <f t="shared" si="729"/>
        <v>Correcto</v>
      </c>
    </row>
    <row r="1698" spans="1:24" ht="18" customHeight="1" x14ac:dyDescent="0.25">
      <c r="A1698" s="214">
        <v>1689</v>
      </c>
      <c r="B1698" s="206" t="s">
        <v>5713</v>
      </c>
      <c r="C1698" s="207">
        <v>42202</v>
      </c>
      <c r="D1698" s="208">
        <v>2</v>
      </c>
      <c r="E1698" s="209" t="s">
        <v>93</v>
      </c>
      <c r="F1698" s="206" t="s">
        <v>825</v>
      </c>
      <c r="G1698" s="209" t="s">
        <v>202</v>
      </c>
      <c r="H1698" s="210">
        <v>42205</v>
      </c>
      <c r="I1698" s="209" t="s">
        <v>187</v>
      </c>
      <c r="J1698" s="209" t="s">
        <v>103</v>
      </c>
      <c r="K1698" s="209" t="s">
        <v>5714</v>
      </c>
      <c r="L1698" s="210">
        <v>42205</v>
      </c>
      <c r="M1698" s="206" t="s">
        <v>824</v>
      </c>
      <c r="N1698" s="211" t="s">
        <v>185</v>
      </c>
      <c r="O1698" s="210">
        <v>42205</v>
      </c>
      <c r="P1698" s="212">
        <f t="shared" si="727"/>
        <v>3</v>
      </c>
      <c r="Q1698" s="209" t="s">
        <v>5714</v>
      </c>
      <c r="R1698" s="211" t="s">
        <v>17</v>
      </c>
      <c r="S1698" s="206" t="s">
        <v>101</v>
      </c>
      <c r="T1698" s="206" t="s">
        <v>5291</v>
      </c>
      <c r="U1698" s="210">
        <v>42206</v>
      </c>
      <c r="V1698" s="211" t="s">
        <v>186</v>
      </c>
      <c r="W1698" s="213">
        <f t="shared" si="728"/>
        <v>0</v>
      </c>
      <c r="X1698" s="213" t="str">
        <f t="shared" si="729"/>
        <v>Correcto</v>
      </c>
    </row>
    <row r="1699" spans="1:24" ht="18" customHeight="1" x14ac:dyDescent="0.25">
      <c r="A1699" s="214">
        <v>1690</v>
      </c>
      <c r="B1699" s="206" t="s">
        <v>5715</v>
      </c>
      <c r="C1699" s="207">
        <v>42202</v>
      </c>
      <c r="D1699" s="208">
        <v>2</v>
      </c>
      <c r="E1699" s="209" t="s">
        <v>93</v>
      </c>
      <c r="F1699" s="206" t="s">
        <v>825</v>
      </c>
      <c r="G1699" s="209" t="s">
        <v>202</v>
      </c>
      <c r="H1699" s="210">
        <v>42205</v>
      </c>
      <c r="I1699" s="209" t="s">
        <v>187</v>
      </c>
      <c r="J1699" s="209" t="s">
        <v>103</v>
      </c>
      <c r="K1699" s="209" t="s">
        <v>5716</v>
      </c>
      <c r="L1699" s="210">
        <v>42205</v>
      </c>
      <c r="M1699" s="206" t="s">
        <v>824</v>
      </c>
      <c r="N1699" s="211" t="s">
        <v>185</v>
      </c>
      <c r="O1699" s="210">
        <v>42205</v>
      </c>
      <c r="P1699" s="212">
        <f t="shared" si="727"/>
        <v>3</v>
      </c>
      <c r="Q1699" s="209" t="s">
        <v>5716</v>
      </c>
      <c r="R1699" s="211" t="s">
        <v>17</v>
      </c>
      <c r="S1699" s="206" t="s">
        <v>101</v>
      </c>
      <c r="T1699" s="206" t="s">
        <v>1977</v>
      </c>
      <c r="U1699" s="210">
        <v>42206</v>
      </c>
      <c r="V1699" s="211" t="s">
        <v>186</v>
      </c>
      <c r="W1699" s="213">
        <f t="shared" si="728"/>
        <v>0</v>
      </c>
      <c r="X1699" s="213" t="str">
        <f t="shared" si="729"/>
        <v>Correcto</v>
      </c>
    </row>
    <row r="1700" spans="1:24" ht="18" customHeight="1" x14ac:dyDescent="0.25">
      <c r="A1700" s="214">
        <v>1691</v>
      </c>
      <c r="B1700" s="206" t="s">
        <v>5717</v>
      </c>
      <c r="C1700" s="207">
        <v>42202</v>
      </c>
      <c r="D1700" s="208">
        <v>2</v>
      </c>
      <c r="E1700" s="209" t="s">
        <v>93</v>
      </c>
      <c r="F1700" s="206" t="s">
        <v>825</v>
      </c>
      <c r="G1700" s="209" t="s">
        <v>202</v>
      </c>
      <c r="H1700" s="210">
        <v>42205</v>
      </c>
      <c r="I1700" s="209" t="s">
        <v>187</v>
      </c>
      <c r="J1700" s="209" t="s">
        <v>103</v>
      </c>
      <c r="K1700" s="209" t="s">
        <v>5718</v>
      </c>
      <c r="L1700" s="210">
        <v>42205</v>
      </c>
      <c r="M1700" s="206" t="s">
        <v>824</v>
      </c>
      <c r="N1700" s="211" t="s">
        <v>185</v>
      </c>
      <c r="O1700" s="210">
        <v>42205</v>
      </c>
      <c r="P1700" s="212">
        <f t="shared" si="727"/>
        <v>3</v>
      </c>
      <c r="Q1700" s="209" t="s">
        <v>5718</v>
      </c>
      <c r="R1700" s="211" t="s">
        <v>17</v>
      </c>
      <c r="S1700" s="206" t="s">
        <v>101</v>
      </c>
      <c r="T1700" s="206" t="s">
        <v>1586</v>
      </c>
      <c r="U1700" s="210">
        <v>42206</v>
      </c>
      <c r="V1700" s="211" t="s">
        <v>186</v>
      </c>
      <c r="W1700" s="213">
        <f t="shared" si="728"/>
        <v>0</v>
      </c>
      <c r="X1700" s="213" t="str">
        <f t="shared" si="729"/>
        <v>Correcto</v>
      </c>
    </row>
    <row r="1701" spans="1:24" ht="18" customHeight="1" x14ac:dyDescent="0.25">
      <c r="A1701" s="214">
        <v>1692</v>
      </c>
      <c r="B1701" s="206" t="s">
        <v>5719</v>
      </c>
      <c r="C1701" s="207">
        <v>42202</v>
      </c>
      <c r="D1701" s="208">
        <v>2</v>
      </c>
      <c r="E1701" s="209" t="s">
        <v>93</v>
      </c>
      <c r="F1701" s="206" t="s">
        <v>825</v>
      </c>
      <c r="G1701" s="209" t="s">
        <v>202</v>
      </c>
      <c r="H1701" s="210">
        <v>42205</v>
      </c>
      <c r="I1701" s="209" t="s">
        <v>187</v>
      </c>
      <c r="J1701" s="209" t="s">
        <v>103</v>
      </c>
      <c r="K1701" s="209" t="s">
        <v>5720</v>
      </c>
      <c r="L1701" s="210">
        <v>42205</v>
      </c>
      <c r="M1701" s="206" t="s">
        <v>824</v>
      </c>
      <c r="N1701" s="211" t="s">
        <v>185</v>
      </c>
      <c r="O1701" s="210">
        <v>42205</v>
      </c>
      <c r="P1701" s="212">
        <f t="shared" si="727"/>
        <v>3</v>
      </c>
      <c r="Q1701" s="209" t="s">
        <v>5720</v>
      </c>
      <c r="R1701" s="211" t="s">
        <v>17</v>
      </c>
      <c r="S1701" s="206" t="s">
        <v>101</v>
      </c>
      <c r="T1701" s="206" t="s">
        <v>1732</v>
      </c>
      <c r="U1701" s="210">
        <v>42206</v>
      </c>
      <c r="V1701" s="211" t="s">
        <v>186</v>
      </c>
      <c r="W1701" s="213">
        <f t="shared" si="728"/>
        <v>0</v>
      </c>
      <c r="X1701" s="213" t="str">
        <f t="shared" si="729"/>
        <v>Correcto</v>
      </c>
    </row>
    <row r="1702" spans="1:24" ht="18" customHeight="1" x14ac:dyDescent="0.25">
      <c r="A1702" s="214">
        <v>1693</v>
      </c>
      <c r="B1702" s="206" t="s">
        <v>5721</v>
      </c>
      <c r="C1702" s="207">
        <v>42202</v>
      </c>
      <c r="D1702" s="208">
        <v>2</v>
      </c>
      <c r="E1702" s="209" t="s">
        <v>93</v>
      </c>
      <c r="F1702" s="206" t="s">
        <v>825</v>
      </c>
      <c r="G1702" s="209" t="s">
        <v>202</v>
      </c>
      <c r="H1702" s="210">
        <v>42205</v>
      </c>
      <c r="I1702" s="209" t="s">
        <v>187</v>
      </c>
      <c r="J1702" s="209" t="s">
        <v>103</v>
      </c>
      <c r="K1702" s="209" t="s">
        <v>5722</v>
      </c>
      <c r="L1702" s="210">
        <v>42205</v>
      </c>
      <c r="M1702" s="206" t="s">
        <v>824</v>
      </c>
      <c r="N1702" s="211" t="s">
        <v>185</v>
      </c>
      <c r="O1702" s="210">
        <v>42205</v>
      </c>
      <c r="P1702" s="212">
        <f t="shared" si="727"/>
        <v>3</v>
      </c>
      <c r="Q1702" s="209" t="s">
        <v>5722</v>
      </c>
      <c r="R1702" s="211" t="s">
        <v>17</v>
      </c>
      <c r="S1702" s="206" t="s">
        <v>101</v>
      </c>
      <c r="T1702" s="206" t="s">
        <v>5669</v>
      </c>
      <c r="U1702" s="210">
        <v>42206</v>
      </c>
      <c r="V1702" s="211" t="s">
        <v>186</v>
      </c>
      <c r="W1702" s="213">
        <f t="shared" si="728"/>
        <v>0</v>
      </c>
      <c r="X1702" s="213" t="str">
        <f t="shared" si="729"/>
        <v>Correcto</v>
      </c>
    </row>
    <row r="1703" spans="1:24" ht="18" customHeight="1" x14ac:dyDescent="0.25">
      <c r="A1703" s="214">
        <v>1694</v>
      </c>
      <c r="B1703" s="206" t="s">
        <v>5723</v>
      </c>
      <c r="C1703" s="207">
        <v>42202</v>
      </c>
      <c r="D1703" s="208">
        <v>2</v>
      </c>
      <c r="E1703" s="209" t="s">
        <v>93</v>
      </c>
      <c r="F1703" s="206" t="s">
        <v>825</v>
      </c>
      <c r="G1703" s="209" t="s">
        <v>202</v>
      </c>
      <c r="H1703" s="210">
        <v>42205</v>
      </c>
      <c r="I1703" s="209" t="s">
        <v>187</v>
      </c>
      <c r="J1703" s="209" t="s">
        <v>103</v>
      </c>
      <c r="K1703" s="209" t="s">
        <v>5724</v>
      </c>
      <c r="L1703" s="210">
        <v>42205</v>
      </c>
      <c r="M1703" s="206" t="s">
        <v>824</v>
      </c>
      <c r="N1703" s="211" t="s">
        <v>185</v>
      </c>
      <c r="O1703" s="210">
        <v>42205</v>
      </c>
      <c r="P1703" s="212">
        <f t="shared" si="727"/>
        <v>3</v>
      </c>
      <c r="Q1703" s="209" t="s">
        <v>5724</v>
      </c>
      <c r="R1703" s="211" t="s">
        <v>17</v>
      </c>
      <c r="S1703" s="206" t="s">
        <v>101</v>
      </c>
      <c r="T1703" s="206" t="s">
        <v>1651</v>
      </c>
      <c r="U1703" s="210">
        <v>42206</v>
      </c>
      <c r="V1703" s="211" t="s">
        <v>186</v>
      </c>
      <c r="W1703" s="213">
        <f t="shared" si="728"/>
        <v>0</v>
      </c>
      <c r="X1703" s="213" t="str">
        <f t="shared" si="729"/>
        <v>Correcto</v>
      </c>
    </row>
    <row r="1704" spans="1:24" ht="18" customHeight="1" x14ac:dyDescent="0.25">
      <c r="A1704" s="214">
        <v>1695</v>
      </c>
      <c r="B1704" s="206" t="s">
        <v>5725</v>
      </c>
      <c r="C1704" s="207">
        <v>42202</v>
      </c>
      <c r="D1704" s="208">
        <v>2</v>
      </c>
      <c r="E1704" s="209" t="s">
        <v>93</v>
      </c>
      <c r="F1704" s="206" t="s">
        <v>825</v>
      </c>
      <c r="G1704" s="209" t="s">
        <v>202</v>
      </c>
      <c r="H1704" s="210">
        <v>42207</v>
      </c>
      <c r="I1704" s="209" t="s">
        <v>187</v>
      </c>
      <c r="J1704" s="209" t="s">
        <v>103</v>
      </c>
      <c r="K1704" s="209" t="s">
        <v>5726</v>
      </c>
      <c r="L1704" s="210">
        <v>42207</v>
      </c>
      <c r="M1704" s="206" t="s">
        <v>824</v>
      </c>
      <c r="N1704" s="211" t="s">
        <v>185</v>
      </c>
      <c r="O1704" s="210">
        <v>42207</v>
      </c>
      <c r="P1704" s="212">
        <f t="shared" si="727"/>
        <v>5</v>
      </c>
      <c r="Q1704" s="209" t="s">
        <v>5726</v>
      </c>
      <c r="R1704" s="211" t="s">
        <v>17</v>
      </c>
      <c r="S1704" s="206" t="s">
        <v>101</v>
      </c>
      <c r="T1704" s="206" t="s">
        <v>1604</v>
      </c>
      <c r="U1704" s="210">
        <v>42209</v>
      </c>
      <c r="V1704" s="211" t="s">
        <v>186</v>
      </c>
      <c r="W1704" s="213">
        <f t="shared" si="728"/>
        <v>0</v>
      </c>
      <c r="X1704" s="213" t="str">
        <f t="shared" si="729"/>
        <v>Correcto</v>
      </c>
    </row>
    <row r="1705" spans="1:24" ht="18" customHeight="1" x14ac:dyDescent="0.25">
      <c r="A1705" s="214">
        <v>1696</v>
      </c>
      <c r="B1705" s="206" t="s">
        <v>5727</v>
      </c>
      <c r="C1705" s="207">
        <v>42202</v>
      </c>
      <c r="D1705" s="208">
        <v>2</v>
      </c>
      <c r="E1705" s="209" t="s">
        <v>93</v>
      </c>
      <c r="F1705" s="206" t="s">
        <v>825</v>
      </c>
      <c r="G1705" s="209" t="s">
        <v>202</v>
      </c>
      <c r="H1705" s="210">
        <v>42207</v>
      </c>
      <c r="I1705" s="209" t="s">
        <v>187</v>
      </c>
      <c r="J1705" s="209" t="s">
        <v>103</v>
      </c>
      <c r="K1705" s="209" t="s">
        <v>5728</v>
      </c>
      <c r="L1705" s="210">
        <v>42207</v>
      </c>
      <c r="M1705" s="206" t="s">
        <v>5462</v>
      </c>
      <c r="N1705" s="211" t="s">
        <v>185</v>
      </c>
      <c r="O1705" s="210">
        <v>42207</v>
      </c>
      <c r="P1705" s="212">
        <f t="shared" si="727"/>
        <v>5</v>
      </c>
      <c r="Q1705" s="209" t="s">
        <v>5729</v>
      </c>
      <c r="R1705" s="211" t="s">
        <v>17</v>
      </c>
      <c r="S1705" s="206" t="s">
        <v>101</v>
      </c>
      <c r="T1705" s="206" t="s">
        <v>5730</v>
      </c>
      <c r="U1705" s="210">
        <v>42209</v>
      </c>
      <c r="V1705" s="211" t="s">
        <v>186</v>
      </c>
      <c r="W1705" s="213">
        <f t="shared" si="728"/>
        <v>0</v>
      </c>
      <c r="X1705" s="213" t="str">
        <f t="shared" si="729"/>
        <v>Correcto</v>
      </c>
    </row>
    <row r="1706" spans="1:24" ht="18" customHeight="1" x14ac:dyDescent="0.25">
      <c r="A1706" s="214">
        <v>1697</v>
      </c>
      <c r="B1706" s="206" t="s">
        <v>5731</v>
      </c>
      <c r="C1706" s="207">
        <v>42202</v>
      </c>
      <c r="D1706" s="208">
        <v>6</v>
      </c>
      <c r="E1706" s="209" t="s">
        <v>93</v>
      </c>
      <c r="F1706" s="206" t="s">
        <v>825</v>
      </c>
      <c r="G1706" s="209" t="s">
        <v>202</v>
      </c>
      <c r="H1706" s="210">
        <v>42207</v>
      </c>
      <c r="I1706" s="209" t="s">
        <v>187</v>
      </c>
      <c r="J1706" s="209" t="s">
        <v>103</v>
      </c>
      <c r="K1706" s="209" t="s">
        <v>5732</v>
      </c>
      <c r="L1706" s="210">
        <v>42207</v>
      </c>
      <c r="M1706" s="206" t="s">
        <v>5462</v>
      </c>
      <c r="N1706" s="211" t="s">
        <v>185</v>
      </c>
      <c r="O1706" s="210">
        <v>42207</v>
      </c>
      <c r="P1706" s="212">
        <f t="shared" si="727"/>
        <v>5</v>
      </c>
      <c r="Q1706" s="209" t="s">
        <v>5733</v>
      </c>
      <c r="R1706" s="211" t="s">
        <v>2438</v>
      </c>
      <c r="S1706" s="206" t="s">
        <v>101</v>
      </c>
      <c r="T1706" s="206" t="s">
        <v>5734</v>
      </c>
      <c r="U1706" s="210">
        <v>42207</v>
      </c>
      <c r="V1706" s="211" t="s">
        <v>186</v>
      </c>
      <c r="W1706" s="213">
        <f t="shared" si="728"/>
        <v>0</v>
      </c>
      <c r="X1706" s="213" t="str">
        <f t="shared" si="729"/>
        <v>Correcto</v>
      </c>
    </row>
    <row r="1707" spans="1:24" ht="18" customHeight="1" x14ac:dyDescent="0.25">
      <c r="A1707" s="214">
        <v>1698</v>
      </c>
      <c r="B1707" s="206" t="s">
        <v>5735</v>
      </c>
      <c r="C1707" s="207">
        <v>42205</v>
      </c>
      <c r="D1707" s="208">
        <v>2</v>
      </c>
      <c r="E1707" s="209" t="s">
        <v>93</v>
      </c>
      <c r="F1707" s="206" t="s">
        <v>825</v>
      </c>
      <c r="G1707" s="209" t="s">
        <v>202</v>
      </c>
      <c r="H1707" s="210">
        <v>42207</v>
      </c>
      <c r="I1707" s="209" t="s">
        <v>187</v>
      </c>
      <c r="J1707" s="209" t="s">
        <v>103</v>
      </c>
      <c r="K1707" s="209" t="s">
        <v>5736</v>
      </c>
      <c r="L1707" s="210">
        <v>42207</v>
      </c>
      <c r="M1707" s="206" t="s">
        <v>824</v>
      </c>
      <c r="N1707" s="211" t="s">
        <v>185</v>
      </c>
      <c r="O1707" s="210">
        <v>42207</v>
      </c>
      <c r="P1707" s="212">
        <f t="shared" si="727"/>
        <v>2</v>
      </c>
      <c r="Q1707" s="209" t="s">
        <v>5736</v>
      </c>
      <c r="R1707" s="211" t="s">
        <v>17</v>
      </c>
      <c r="S1707" s="206" t="s">
        <v>5737</v>
      </c>
      <c r="T1707" s="206" t="s">
        <v>5738</v>
      </c>
      <c r="U1707" s="210">
        <v>42208</v>
      </c>
      <c r="V1707" s="211" t="s">
        <v>186</v>
      </c>
      <c r="W1707" s="213">
        <f t="shared" si="728"/>
        <v>0</v>
      </c>
      <c r="X1707" s="213" t="str">
        <f t="shared" si="729"/>
        <v>Correcto</v>
      </c>
    </row>
    <row r="1708" spans="1:24" ht="18" customHeight="1" x14ac:dyDescent="0.25">
      <c r="A1708" s="214">
        <v>1699</v>
      </c>
      <c r="B1708" s="206" t="s">
        <v>5739</v>
      </c>
      <c r="C1708" s="207">
        <v>42205</v>
      </c>
      <c r="D1708" s="208">
        <v>2</v>
      </c>
      <c r="E1708" s="209" t="s">
        <v>93</v>
      </c>
      <c r="F1708" s="206" t="s">
        <v>825</v>
      </c>
      <c r="G1708" s="209" t="s">
        <v>202</v>
      </c>
      <c r="H1708" s="210">
        <v>42207</v>
      </c>
      <c r="I1708" s="209" t="s">
        <v>187</v>
      </c>
      <c r="J1708" s="209" t="s">
        <v>103</v>
      </c>
      <c r="K1708" s="209" t="s">
        <v>5740</v>
      </c>
      <c r="L1708" s="210">
        <v>42207</v>
      </c>
      <c r="M1708" s="206" t="s">
        <v>824</v>
      </c>
      <c r="N1708" s="211" t="s">
        <v>185</v>
      </c>
      <c r="O1708" s="210">
        <v>42207</v>
      </c>
      <c r="P1708" s="212">
        <f t="shared" si="727"/>
        <v>2</v>
      </c>
      <c r="Q1708" s="209" t="s">
        <v>5740</v>
      </c>
      <c r="R1708" s="211" t="s">
        <v>17</v>
      </c>
      <c r="S1708" s="206" t="s">
        <v>5741</v>
      </c>
      <c r="T1708" s="206" t="s">
        <v>5742</v>
      </c>
      <c r="U1708" s="210">
        <v>42207</v>
      </c>
      <c r="V1708" s="211" t="s">
        <v>186</v>
      </c>
      <c r="W1708" s="213">
        <f t="shared" si="728"/>
        <v>0</v>
      </c>
      <c r="X1708" s="213" t="str">
        <f t="shared" si="729"/>
        <v>Correcto</v>
      </c>
    </row>
    <row r="1709" spans="1:24" ht="18" customHeight="1" x14ac:dyDescent="0.25">
      <c r="A1709" s="214">
        <v>1700</v>
      </c>
      <c r="B1709" s="206" t="s">
        <v>5743</v>
      </c>
      <c r="C1709" s="207">
        <v>42205</v>
      </c>
      <c r="D1709" s="208">
        <v>2</v>
      </c>
      <c r="E1709" s="209" t="s">
        <v>93</v>
      </c>
      <c r="F1709" s="206" t="s">
        <v>825</v>
      </c>
      <c r="G1709" s="209" t="s">
        <v>202</v>
      </c>
      <c r="H1709" s="210">
        <v>42206</v>
      </c>
      <c r="I1709" s="209" t="s">
        <v>187</v>
      </c>
      <c r="J1709" s="209" t="s">
        <v>103</v>
      </c>
      <c r="K1709" s="209" t="s">
        <v>5744</v>
      </c>
      <c r="L1709" s="210">
        <v>42206</v>
      </c>
      <c r="M1709" s="206" t="s">
        <v>824</v>
      </c>
      <c r="N1709" s="211" t="s">
        <v>185</v>
      </c>
      <c r="O1709" s="210">
        <v>42206</v>
      </c>
      <c r="P1709" s="212">
        <f t="shared" si="727"/>
        <v>1</v>
      </c>
      <c r="Q1709" s="209" t="s">
        <v>5745</v>
      </c>
      <c r="R1709" s="211" t="s">
        <v>605</v>
      </c>
      <c r="S1709" s="206" t="s">
        <v>101</v>
      </c>
      <c r="T1709" s="206" t="s">
        <v>5746</v>
      </c>
      <c r="U1709" s="210">
        <v>42206</v>
      </c>
      <c r="V1709" s="211" t="s">
        <v>186</v>
      </c>
      <c r="W1709" s="213">
        <f t="shared" si="728"/>
        <v>0</v>
      </c>
      <c r="X1709" s="213" t="str">
        <f t="shared" si="729"/>
        <v>Correcto</v>
      </c>
    </row>
    <row r="1710" spans="1:24" ht="18" customHeight="1" x14ac:dyDescent="0.25">
      <c r="A1710" s="214">
        <v>1701</v>
      </c>
      <c r="B1710" s="206" t="s">
        <v>5747</v>
      </c>
      <c r="C1710" s="207">
        <v>42205</v>
      </c>
      <c r="D1710" s="208">
        <v>2</v>
      </c>
      <c r="E1710" s="209" t="s">
        <v>93</v>
      </c>
      <c r="F1710" s="206" t="s">
        <v>825</v>
      </c>
      <c r="G1710" s="209" t="s">
        <v>202</v>
      </c>
      <c r="H1710" s="210">
        <v>42206</v>
      </c>
      <c r="I1710" s="209" t="s">
        <v>187</v>
      </c>
      <c r="J1710" s="209" t="s">
        <v>103</v>
      </c>
      <c r="K1710" s="209" t="s">
        <v>5748</v>
      </c>
      <c r="L1710" s="210">
        <v>42206</v>
      </c>
      <c r="M1710" s="206" t="s">
        <v>824</v>
      </c>
      <c r="N1710" s="211" t="s">
        <v>185</v>
      </c>
      <c r="O1710" s="210">
        <v>42206</v>
      </c>
      <c r="P1710" s="212">
        <f t="shared" si="727"/>
        <v>1</v>
      </c>
      <c r="Q1710" s="209" t="s">
        <v>5748</v>
      </c>
      <c r="R1710" s="211" t="s">
        <v>17</v>
      </c>
      <c r="S1710" s="206" t="s">
        <v>5749</v>
      </c>
      <c r="T1710" s="206" t="s">
        <v>5750</v>
      </c>
      <c r="U1710" s="210">
        <v>42206</v>
      </c>
      <c r="V1710" s="211" t="s">
        <v>186</v>
      </c>
      <c r="W1710" s="213">
        <f t="shared" si="728"/>
        <v>0</v>
      </c>
      <c r="X1710" s="213" t="str">
        <f t="shared" si="729"/>
        <v>Correcto</v>
      </c>
    </row>
    <row r="1711" spans="1:24" ht="18" customHeight="1" x14ac:dyDescent="0.25">
      <c r="A1711" s="214">
        <v>1702</v>
      </c>
      <c r="B1711" s="206" t="s">
        <v>5751</v>
      </c>
      <c r="C1711" s="207">
        <v>42205</v>
      </c>
      <c r="D1711" s="208">
        <v>2</v>
      </c>
      <c r="E1711" s="209" t="s">
        <v>93</v>
      </c>
      <c r="F1711" s="206" t="s">
        <v>825</v>
      </c>
      <c r="G1711" s="209" t="s">
        <v>202</v>
      </c>
      <c r="H1711" s="210">
        <v>42205</v>
      </c>
      <c r="I1711" s="209" t="s">
        <v>187</v>
      </c>
      <c r="J1711" s="209" t="s">
        <v>103</v>
      </c>
      <c r="K1711" s="209" t="s">
        <v>5752</v>
      </c>
      <c r="L1711" s="210">
        <v>42205</v>
      </c>
      <c r="M1711" s="206" t="s">
        <v>824</v>
      </c>
      <c r="N1711" s="211" t="s">
        <v>185</v>
      </c>
      <c r="O1711" s="210">
        <v>42205</v>
      </c>
      <c r="P1711" s="212">
        <f t="shared" si="727"/>
        <v>0</v>
      </c>
      <c r="Q1711" s="209" t="s">
        <v>5752</v>
      </c>
      <c r="R1711" s="211" t="s">
        <v>17</v>
      </c>
      <c r="S1711" s="206" t="s">
        <v>101</v>
      </c>
      <c r="T1711" s="206" t="s">
        <v>1736</v>
      </c>
      <c r="U1711" s="210">
        <v>42205</v>
      </c>
      <c r="V1711" s="211" t="s">
        <v>186</v>
      </c>
      <c r="W1711" s="213">
        <f t="shared" si="728"/>
        <v>0</v>
      </c>
      <c r="X1711" s="213" t="str">
        <f t="shared" si="729"/>
        <v>Correcto</v>
      </c>
    </row>
    <row r="1712" spans="1:24" ht="18" customHeight="1" x14ac:dyDescent="0.25">
      <c r="A1712" s="214">
        <v>1703</v>
      </c>
      <c r="B1712" s="206" t="s">
        <v>5753</v>
      </c>
      <c r="C1712" s="207">
        <v>42205</v>
      </c>
      <c r="D1712" s="208">
        <v>2</v>
      </c>
      <c r="E1712" s="209" t="s">
        <v>93</v>
      </c>
      <c r="F1712" s="206" t="s">
        <v>825</v>
      </c>
      <c r="G1712" s="209" t="s">
        <v>202</v>
      </c>
      <c r="H1712" s="210">
        <v>42207</v>
      </c>
      <c r="I1712" s="209" t="s">
        <v>187</v>
      </c>
      <c r="J1712" s="209" t="s">
        <v>103</v>
      </c>
      <c r="K1712" s="209" t="s">
        <v>5754</v>
      </c>
      <c r="L1712" s="210">
        <v>42207</v>
      </c>
      <c r="M1712" s="206" t="s">
        <v>824</v>
      </c>
      <c r="N1712" s="211" t="s">
        <v>185</v>
      </c>
      <c r="O1712" s="210">
        <v>42207</v>
      </c>
      <c r="P1712" s="212">
        <f t="shared" si="727"/>
        <v>2</v>
      </c>
      <c r="Q1712" s="209" t="s">
        <v>5754</v>
      </c>
      <c r="R1712" s="211" t="s">
        <v>17</v>
      </c>
      <c r="S1712" s="206" t="s">
        <v>5755</v>
      </c>
      <c r="T1712" s="206">
        <v>1104496417</v>
      </c>
      <c r="U1712" s="210"/>
      <c r="V1712" s="211" t="s">
        <v>6131</v>
      </c>
      <c r="W1712" s="213">
        <f t="shared" si="728"/>
        <v>1</v>
      </c>
      <c r="X1712" s="213" t="str">
        <f t="shared" si="729"/>
        <v>Incorrecto</v>
      </c>
    </row>
    <row r="1713" spans="1:24" ht="18" customHeight="1" x14ac:dyDescent="0.25">
      <c r="A1713" s="214">
        <v>1704</v>
      </c>
      <c r="B1713" s="206" t="s">
        <v>5756</v>
      </c>
      <c r="C1713" s="207">
        <v>42205</v>
      </c>
      <c r="D1713" s="208">
        <v>2</v>
      </c>
      <c r="E1713" s="209" t="s">
        <v>93</v>
      </c>
      <c r="F1713" s="206" t="s">
        <v>825</v>
      </c>
      <c r="G1713" s="209" t="s">
        <v>202</v>
      </c>
      <c r="H1713" s="210">
        <v>42207</v>
      </c>
      <c r="I1713" s="209" t="s">
        <v>187</v>
      </c>
      <c r="J1713" s="209" t="s">
        <v>103</v>
      </c>
      <c r="K1713" s="209" t="s">
        <v>5757</v>
      </c>
      <c r="L1713" s="210">
        <v>42207</v>
      </c>
      <c r="M1713" s="206" t="s">
        <v>5462</v>
      </c>
      <c r="N1713" s="211" t="s">
        <v>185</v>
      </c>
      <c r="O1713" s="210">
        <v>42206</v>
      </c>
      <c r="P1713" s="212">
        <f t="shared" si="727"/>
        <v>1</v>
      </c>
      <c r="Q1713" s="209" t="s">
        <v>5758</v>
      </c>
      <c r="R1713" s="211" t="s">
        <v>17</v>
      </c>
      <c r="S1713" s="206" t="s">
        <v>104</v>
      </c>
      <c r="T1713" s="206" t="s">
        <v>5759</v>
      </c>
      <c r="U1713" s="210">
        <v>42206</v>
      </c>
      <c r="V1713" s="211" t="s">
        <v>186</v>
      </c>
      <c r="W1713" s="213">
        <f t="shared" si="728"/>
        <v>0</v>
      </c>
      <c r="X1713" s="213" t="str">
        <f t="shared" si="729"/>
        <v>Correcto</v>
      </c>
    </row>
    <row r="1714" spans="1:24" ht="18" customHeight="1" x14ac:dyDescent="0.25">
      <c r="A1714" s="214">
        <v>1705</v>
      </c>
      <c r="B1714" s="206" t="s">
        <v>5760</v>
      </c>
      <c r="C1714" s="207">
        <v>42205</v>
      </c>
      <c r="D1714" s="208">
        <v>2</v>
      </c>
      <c r="E1714" s="209" t="s">
        <v>93</v>
      </c>
      <c r="F1714" s="206" t="s">
        <v>825</v>
      </c>
      <c r="G1714" s="209" t="s">
        <v>202</v>
      </c>
      <c r="H1714" s="210">
        <v>42207</v>
      </c>
      <c r="I1714" s="209" t="s">
        <v>187</v>
      </c>
      <c r="J1714" s="209" t="s">
        <v>103</v>
      </c>
      <c r="K1714" s="209" t="s">
        <v>5761</v>
      </c>
      <c r="L1714" s="210">
        <v>42207</v>
      </c>
      <c r="M1714" s="206" t="s">
        <v>5462</v>
      </c>
      <c r="N1714" s="211" t="s">
        <v>185</v>
      </c>
      <c r="O1714" s="210">
        <v>42207</v>
      </c>
      <c r="P1714" s="212">
        <f t="shared" ref="P1714:P1782" si="730">O1714-C1714</f>
        <v>2</v>
      </c>
      <c r="Q1714" s="209" t="s">
        <v>5762</v>
      </c>
      <c r="R1714" s="211" t="s">
        <v>17</v>
      </c>
      <c r="S1714" s="206" t="s">
        <v>5763</v>
      </c>
      <c r="T1714" s="206" t="s">
        <v>5764</v>
      </c>
      <c r="U1714" s="210">
        <v>42207</v>
      </c>
      <c r="V1714" s="211" t="s">
        <v>186</v>
      </c>
      <c r="W1714" s="213">
        <f t="shared" ref="W1714:W1780" si="731">COUNTBLANK(C1714:V1714)</f>
        <v>0</v>
      </c>
      <c r="X1714" s="213" t="str">
        <f t="shared" ref="X1714:X1780" si="732">IF(W1714=0,"Correcto","Incorrecto")</f>
        <v>Correcto</v>
      </c>
    </row>
    <row r="1715" spans="1:24" ht="18" customHeight="1" x14ac:dyDescent="0.25">
      <c r="A1715" s="214">
        <v>1706</v>
      </c>
      <c r="B1715" s="206" t="s">
        <v>5765</v>
      </c>
      <c r="C1715" s="207">
        <v>42205</v>
      </c>
      <c r="D1715" s="208">
        <v>2</v>
      </c>
      <c r="E1715" s="209" t="s">
        <v>93</v>
      </c>
      <c r="F1715" s="206" t="s">
        <v>825</v>
      </c>
      <c r="G1715" s="209" t="s">
        <v>202</v>
      </c>
      <c r="H1715" s="210">
        <v>42207</v>
      </c>
      <c r="I1715" s="209" t="s">
        <v>187</v>
      </c>
      <c r="J1715" s="209" t="s">
        <v>103</v>
      </c>
      <c r="K1715" s="209" t="s">
        <v>5766</v>
      </c>
      <c r="L1715" s="210">
        <v>42207</v>
      </c>
      <c r="M1715" s="206" t="s">
        <v>824</v>
      </c>
      <c r="N1715" s="211" t="s">
        <v>185</v>
      </c>
      <c r="O1715" s="210">
        <v>42207</v>
      </c>
      <c r="P1715" s="212">
        <f t="shared" si="730"/>
        <v>2</v>
      </c>
      <c r="Q1715" s="209" t="s">
        <v>5766</v>
      </c>
      <c r="R1715" s="211" t="s">
        <v>17</v>
      </c>
      <c r="S1715" s="206" t="s">
        <v>5767</v>
      </c>
      <c r="T1715" s="206" t="s">
        <v>5768</v>
      </c>
      <c r="U1715" s="210">
        <v>42207</v>
      </c>
      <c r="V1715" s="211" t="s">
        <v>186</v>
      </c>
      <c r="W1715" s="213">
        <f t="shared" si="731"/>
        <v>0</v>
      </c>
      <c r="X1715" s="213" t="str">
        <f t="shared" si="732"/>
        <v>Correcto</v>
      </c>
    </row>
    <row r="1716" spans="1:24" ht="18" customHeight="1" x14ac:dyDescent="0.25">
      <c r="A1716" s="214">
        <v>1707</v>
      </c>
      <c r="B1716" s="206" t="s">
        <v>5769</v>
      </c>
      <c r="C1716" s="207">
        <v>42206</v>
      </c>
      <c r="D1716" s="208">
        <v>3</v>
      </c>
      <c r="E1716" s="209" t="s">
        <v>93</v>
      </c>
      <c r="F1716" s="206" t="s">
        <v>825</v>
      </c>
      <c r="G1716" s="209" t="s">
        <v>202</v>
      </c>
      <c r="H1716" s="210">
        <v>42209</v>
      </c>
      <c r="I1716" s="209" t="s">
        <v>187</v>
      </c>
      <c r="J1716" s="209" t="s">
        <v>103</v>
      </c>
      <c r="K1716" s="209" t="s">
        <v>5770</v>
      </c>
      <c r="L1716" s="210">
        <v>42209</v>
      </c>
      <c r="M1716" s="206" t="s">
        <v>5462</v>
      </c>
      <c r="N1716" s="211" t="s">
        <v>185</v>
      </c>
      <c r="O1716" s="210">
        <v>42209</v>
      </c>
      <c r="P1716" s="212">
        <f t="shared" si="730"/>
        <v>3</v>
      </c>
      <c r="Q1716" s="209" t="s">
        <v>5771</v>
      </c>
      <c r="R1716" s="211" t="s">
        <v>17</v>
      </c>
      <c r="S1716" s="206" t="s">
        <v>101</v>
      </c>
      <c r="T1716" s="206" t="s">
        <v>101</v>
      </c>
      <c r="U1716" s="210">
        <v>42214</v>
      </c>
      <c r="V1716" s="211" t="s">
        <v>186</v>
      </c>
      <c r="W1716" s="213">
        <f t="shared" si="731"/>
        <v>0</v>
      </c>
      <c r="X1716" s="213" t="str">
        <f t="shared" si="732"/>
        <v>Correcto</v>
      </c>
    </row>
    <row r="1717" spans="1:24" ht="18" customHeight="1" x14ac:dyDescent="0.25">
      <c r="A1717" s="214">
        <v>1708</v>
      </c>
      <c r="B1717" s="206" t="s">
        <v>5772</v>
      </c>
      <c r="C1717" s="207">
        <v>42206</v>
      </c>
      <c r="D1717" s="208">
        <v>2</v>
      </c>
      <c r="E1717" s="209" t="s">
        <v>93</v>
      </c>
      <c r="F1717" s="206" t="s">
        <v>825</v>
      </c>
      <c r="G1717" s="209" t="s">
        <v>202</v>
      </c>
      <c r="H1717" s="210">
        <v>42208</v>
      </c>
      <c r="I1717" s="209" t="s">
        <v>187</v>
      </c>
      <c r="J1717" s="209" t="s">
        <v>103</v>
      </c>
      <c r="K1717" s="209" t="s">
        <v>5773</v>
      </c>
      <c r="L1717" s="210">
        <v>42208</v>
      </c>
      <c r="M1717" s="206" t="s">
        <v>5462</v>
      </c>
      <c r="N1717" s="211" t="s">
        <v>185</v>
      </c>
      <c r="O1717" s="210">
        <v>42208</v>
      </c>
      <c r="P1717" s="212">
        <f t="shared" si="730"/>
        <v>2</v>
      </c>
      <c r="Q1717" s="209" t="s">
        <v>5774</v>
      </c>
      <c r="R1717" s="211" t="s">
        <v>17</v>
      </c>
      <c r="S1717" s="206" t="s">
        <v>101</v>
      </c>
      <c r="T1717" s="206" t="s">
        <v>2201</v>
      </c>
      <c r="U1717" s="210">
        <v>42209</v>
      </c>
      <c r="V1717" s="211" t="s">
        <v>186</v>
      </c>
      <c r="W1717" s="213">
        <f t="shared" si="731"/>
        <v>0</v>
      </c>
      <c r="X1717" s="213" t="str">
        <f t="shared" si="732"/>
        <v>Correcto</v>
      </c>
    </row>
    <row r="1718" spans="1:24" ht="18" customHeight="1" x14ac:dyDescent="0.25">
      <c r="A1718" s="214">
        <v>1709</v>
      </c>
      <c r="B1718" s="206" t="s">
        <v>5775</v>
      </c>
      <c r="C1718" s="207">
        <v>42206</v>
      </c>
      <c r="D1718" s="208"/>
      <c r="E1718" s="209" t="s">
        <v>93</v>
      </c>
      <c r="F1718" s="206" t="s">
        <v>825</v>
      </c>
      <c r="G1718" s="209" t="s">
        <v>202</v>
      </c>
      <c r="H1718" s="210">
        <v>42212</v>
      </c>
      <c r="I1718" s="209" t="s">
        <v>5776</v>
      </c>
      <c r="J1718" s="209" t="s">
        <v>5777</v>
      </c>
      <c r="K1718" s="209" t="s">
        <v>5778</v>
      </c>
      <c r="L1718" s="210"/>
      <c r="M1718" s="206" t="s">
        <v>5462</v>
      </c>
      <c r="N1718" s="211" t="s">
        <v>188</v>
      </c>
      <c r="O1718" s="210"/>
      <c r="P1718" s="212">
        <f t="shared" si="730"/>
        <v>-42206</v>
      </c>
      <c r="Q1718" s="209"/>
      <c r="R1718" s="211" t="s">
        <v>17</v>
      </c>
      <c r="S1718" s="206" t="s">
        <v>2201</v>
      </c>
      <c r="T1718" s="206"/>
      <c r="U1718" s="210"/>
      <c r="V1718" s="211"/>
      <c r="W1718" s="213">
        <f t="shared" si="731"/>
        <v>7</v>
      </c>
      <c r="X1718" s="213" t="str">
        <f t="shared" si="732"/>
        <v>Incorrecto</v>
      </c>
    </row>
    <row r="1719" spans="1:24" ht="18" customHeight="1" x14ac:dyDescent="0.25">
      <c r="A1719" s="214">
        <v>1710</v>
      </c>
      <c r="B1719" s="206" t="s">
        <v>5779</v>
      </c>
      <c r="C1719" s="207">
        <v>42206</v>
      </c>
      <c r="D1719" s="208">
        <v>2</v>
      </c>
      <c r="E1719" s="209" t="s">
        <v>93</v>
      </c>
      <c r="F1719" s="206" t="s">
        <v>825</v>
      </c>
      <c r="G1719" s="209" t="s">
        <v>202</v>
      </c>
      <c r="H1719" s="210">
        <v>42212</v>
      </c>
      <c r="I1719" s="209" t="s">
        <v>187</v>
      </c>
      <c r="J1719" s="209" t="s">
        <v>103</v>
      </c>
      <c r="K1719" s="209" t="s">
        <v>6843</v>
      </c>
      <c r="L1719" s="210">
        <v>42219</v>
      </c>
      <c r="M1719" s="206" t="s">
        <v>5711</v>
      </c>
      <c r="N1719" s="211" t="s">
        <v>1295</v>
      </c>
      <c r="O1719" s="210">
        <v>42220</v>
      </c>
      <c r="P1719" s="212">
        <f t="shared" si="730"/>
        <v>14</v>
      </c>
      <c r="Q1719" s="209" t="s">
        <v>6844</v>
      </c>
      <c r="R1719" s="211" t="s">
        <v>977</v>
      </c>
      <c r="S1719" s="206" t="s">
        <v>6845</v>
      </c>
      <c r="T1719" s="206" t="s">
        <v>101</v>
      </c>
      <c r="U1719" s="210">
        <v>42220</v>
      </c>
      <c r="V1719" s="211" t="s">
        <v>186</v>
      </c>
      <c r="W1719" s="213">
        <f t="shared" si="731"/>
        <v>0</v>
      </c>
      <c r="X1719" s="213" t="str">
        <f t="shared" si="732"/>
        <v>Correcto</v>
      </c>
    </row>
    <row r="1720" spans="1:24" ht="18" customHeight="1" x14ac:dyDescent="0.25">
      <c r="A1720" s="214">
        <v>1711</v>
      </c>
      <c r="B1720" s="206" t="s">
        <v>5780</v>
      </c>
      <c r="C1720" s="207">
        <v>42206</v>
      </c>
      <c r="D1720" s="208">
        <v>2</v>
      </c>
      <c r="E1720" s="209" t="s">
        <v>93</v>
      </c>
      <c r="F1720" s="206" t="s">
        <v>825</v>
      </c>
      <c r="G1720" s="209" t="s">
        <v>202</v>
      </c>
      <c r="H1720" s="210">
        <v>42208</v>
      </c>
      <c r="I1720" s="209" t="s">
        <v>187</v>
      </c>
      <c r="J1720" s="209" t="s">
        <v>103</v>
      </c>
      <c r="K1720" s="209" t="s">
        <v>5781</v>
      </c>
      <c r="L1720" s="210">
        <v>42208</v>
      </c>
      <c r="M1720" s="206" t="s">
        <v>824</v>
      </c>
      <c r="N1720" s="211" t="s">
        <v>185</v>
      </c>
      <c r="O1720" s="210">
        <v>42208</v>
      </c>
      <c r="P1720" s="212">
        <f t="shared" si="730"/>
        <v>2</v>
      </c>
      <c r="Q1720" s="209" t="s">
        <v>5781</v>
      </c>
      <c r="R1720" s="211" t="s">
        <v>17</v>
      </c>
      <c r="S1720" s="206" t="s">
        <v>5782</v>
      </c>
      <c r="T1720" s="206">
        <v>1900392760</v>
      </c>
      <c r="U1720" s="210"/>
      <c r="V1720" s="211" t="s">
        <v>186</v>
      </c>
      <c r="W1720" s="213">
        <f t="shared" si="731"/>
        <v>1</v>
      </c>
      <c r="X1720" s="213" t="str">
        <f t="shared" si="732"/>
        <v>Incorrecto</v>
      </c>
    </row>
    <row r="1721" spans="1:24" ht="18" customHeight="1" x14ac:dyDescent="0.25">
      <c r="A1721" s="214">
        <v>1712</v>
      </c>
      <c r="B1721" s="206" t="s">
        <v>5783</v>
      </c>
      <c r="C1721" s="207">
        <v>42206</v>
      </c>
      <c r="D1721" s="208">
        <v>81</v>
      </c>
      <c r="E1721" s="209" t="s">
        <v>93</v>
      </c>
      <c r="F1721" s="206" t="s">
        <v>825</v>
      </c>
      <c r="G1721" s="209" t="s">
        <v>202</v>
      </c>
      <c r="H1721" s="210">
        <v>42209</v>
      </c>
      <c r="I1721" s="209" t="s">
        <v>187</v>
      </c>
      <c r="J1721" s="209" t="s">
        <v>103</v>
      </c>
      <c r="K1721" s="209" t="s">
        <v>5784</v>
      </c>
      <c r="L1721" s="210">
        <v>42209</v>
      </c>
      <c r="M1721" s="206" t="s">
        <v>5462</v>
      </c>
      <c r="N1721" s="211" t="s">
        <v>185</v>
      </c>
      <c r="O1721" s="210">
        <v>42209</v>
      </c>
      <c r="P1721" s="212">
        <f t="shared" si="730"/>
        <v>3</v>
      </c>
      <c r="Q1721" s="209" t="s">
        <v>5785</v>
      </c>
      <c r="R1721" s="211" t="s">
        <v>17</v>
      </c>
      <c r="S1721" s="206" t="s">
        <v>5786</v>
      </c>
      <c r="T1721" s="206">
        <v>1104375678</v>
      </c>
      <c r="U1721" s="210"/>
      <c r="V1721" s="211" t="s">
        <v>186</v>
      </c>
      <c r="W1721" s="213">
        <f t="shared" si="731"/>
        <v>1</v>
      </c>
      <c r="X1721" s="213" t="str">
        <f t="shared" si="732"/>
        <v>Incorrecto</v>
      </c>
    </row>
    <row r="1722" spans="1:24" ht="18" customHeight="1" x14ac:dyDescent="0.25">
      <c r="A1722" s="214">
        <v>1713</v>
      </c>
      <c r="B1722" s="206" t="s">
        <v>5787</v>
      </c>
      <c r="C1722" s="207">
        <v>42206</v>
      </c>
      <c r="D1722" s="208">
        <v>39</v>
      </c>
      <c r="E1722" s="209" t="s">
        <v>93</v>
      </c>
      <c r="F1722" s="206" t="s">
        <v>2206</v>
      </c>
      <c r="G1722" s="209" t="s">
        <v>202</v>
      </c>
      <c r="H1722" s="210">
        <v>42207</v>
      </c>
      <c r="I1722" s="209" t="s">
        <v>187</v>
      </c>
      <c r="J1722" s="209" t="s">
        <v>103</v>
      </c>
      <c r="K1722" s="209" t="s">
        <v>5788</v>
      </c>
      <c r="L1722" s="210">
        <v>42207</v>
      </c>
      <c r="M1722" s="206" t="s">
        <v>2206</v>
      </c>
      <c r="N1722" s="211" t="s">
        <v>4327</v>
      </c>
      <c r="O1722" s="210">
        <v>42207</v>
      </c>
      <c r="P1722" s="212">
        <f t="shared" si="730"/>
        <v>1</v>
      </c>
      <c r="Q1722" s="209" t="s">
        <v>5788</v>
      </c>
      <c r="R1722" s="211" t="s">
        <v>17</v>
      </c>
      <c r="S1722" s="206" t="s">
        <v>5789</v>
      </c>
      <c r="T1722" s="210" t="s">
        <v>104</v>
      </c>
      <c r="U1722" s="210">
        <v>42207</v>
      </c>
      <c r="V1722" s="211" t="s">
        <v>186</v>
      </c>
      <c r="W1722" s="213">
        <f t="shared" si="731"/>
        <v>0</v>
      </c>
      <c r="X1722" s="213" t="str">
        <f t="shared" si="732"/>
        <v>Correcto</v>
      </c>
    </row>
    <row r="1723" spans="1:24" ht="18" customHeight="1" x14ac:dyDescent="0.25">
      <c r="A1723" s="214">
        <v>1714</v>
      </c>
      <c r="B1723" s="206" t="s">
        <v>5790</v>
      </c>
      <c r="C1723" s="207">
        <v>42206</v>
      </c>
      <c r="D1723" s="208">
        <v>2</v>
      </c>
      <c r="E1723" s="209" t="s">
        <v>93</v>
      </c>
      <c r="F1723" s="206" t="s">
        <v>825</v>
      </c>
      <c r="G1723" s="209" t="s">
        <v>202</v>
      </c>
      <c r="H1723" s="210">
        <v>42208</v>
      </c>
      <c r="I1723" s="209" t="s">
        <v>187</v>
      </c>
      <c r="J1723" s="209" t="s">
        <v>103</v>
      </c>
      <c r="K1723" s="209" t="s">
        <v>5791</v>
      </c>
      <c r="L1723" s="210">
        <v>42208</v>
      </c>
      <c r="M1723" s="206" t="s">
        <v>824</v>
      </c>
      <c r="N1723" s="211" t="s">
        <v>185</v>
      </c>
      <c r="O1723" s="210">
        <v>42208</v>
      </c>
      <c r="P1723" s="212">
        <f t="shared" si="730"/>
        <v>2</v>
      </c>
      <c r="Q1723" s="209" t="s">
        <v>5791</v>
      </c>
      <c r="R1723" s="211" t="s">
        <v>17</v>
      </c>
      <c r="S1723" s="206" t="s">
        <v>101</v>
      </c>
      <c r="T1723" s="206" t="s">
        <v>1604</v>
      </c>
      <c r="U1723" s="210">
        <v>42209</v>
      </c>
      <c r="V1723" s="211" t="s">
        <v>186</v>
      </c>
      <c r="W1723" s="213">
        <f t="shared" si="731"/>
        <v>0</v>
      </c>
      <c r="X1723" s="213" t="str">
        <f t="shared" si="732"/>
        <v>Correcto</v>
      </c>
    </row>
    <row r="1724" spans="1:24" ht="18" customHeight="1" x14ac:dyDescent="0.25">
      <c r="A1724" s="214">
        <v>1715</v>
      </c>
      <c r="B1724" s="206" t="s">
        <v>5792</v>
      </c>
      <c r="C1724" s="207">
        <v>42206</v>
      </c>
      <c r="D1724" s="208">
        <v>2</v>
      </c>
      <c r="E1724" s="209" t="s">
        <v>93</v>
      </c>
      <c r="F1724" s="206" t="s">
        <v>825</v>
      </c>
      <c r="G1724" s="209" t="s">
        <v>202</v>
      </c>
      <c r="H1724" s="210">
        <v>42209</v>
      </c>
      <c r="I1724" s="209" t="s">
        <v>187</v>
      </c>
      <c r="J1724" s="209" t="s">
        <v>103</v>
      </c>
      <c r="K1724" s="209" t="s">
        <v>5793</v>
      </c>
      <c r="L1724" s="210">
        <v>42209</v>
      </c>
      <c r="M1724" s="206" t="s">
        <v>5462</v>
      </c>
      <c r="N1724" s="211" t="s">
        <v>185</v>
      </c>
      <c r="O1724" s="210">
        <v>42209</v>
      </c>
      <c r="P1724" s="212">
        <f t="shared" si="730"/>
        <v>3</v>
      </c>
      <c r="Q1724" s="209" t="s">
        <v>5794</v>
      </c>
      <c r="R1724" s="211" t="s">
        <v>17</v>
      </c>
      <c r="S1724" s="206" t="s">
        <v>101</v>
      </c>
      <c r="T1724" s="206" t="s">
        <v>101</v>
      </c>
      <c r="U1724" s="210">
        <v>42214</v>
      </c>
      <c r="V1724" s="211" t="s">
        <v>186</v>
      </c>
      <c r="W1724" s="213">
        <f t="shared" si="731"/>
        <v>0</v>
      </c>
      <c r="X1724" s="213" t="str">
        <f t="shared" si="732"/>
        <v>Correcto</v>
      </c>
    </row>
    <row r="1725" spans="1:24" ht="18" customHeight="1" x14ac:dyDescent="0.25">
      <c r="A1725" s="214">
        <v>1716</v>
      </c>
      <c r="B1725" s="206" t="s">
        <v>5795</v>
      </c>
      <c r="C1725" s="207">
        <v>42206</v>
      </c>
      <c r="D1725" s="208">
        <v>2</v>
      </c>
      <c r="E1725" s="209" t="s">
        <v>93</v>
      </c>
      <c r="F1725" s="206" t="s">
        <v>825</v>
      </c>
      <c r="G1725" s="209" t="s">
        <v>202</v>
      </c>
      <c r="H1725" s="210">
        <v>42208</v>
      </c>
      <c r="I1725" s="209" t="s">
        <v>187</v>
      </c>
      <c r="J1725" s="209" t="s">
        <v>103</v>
      </c>
      <c r="K1725" s="209" t="s">
        <v>5796</v>
      </c>
      <c r="L1725" s="210">
        <v>42208</v>
      </c>
      <c r="M1725" s="206" t="s">
        <v>824</v>
      </c>
      <c r="N1725" s="211" t="s">
        <v>185</v>
      </c>
      <c r="O1725" s="210">
        <v>42208</v>
      </c>
      <c r="P1725" s="212">
        <f t="shared" si="730"/>
        <v>2</v>
      </c>
      <c r="Q1725" s="209" t="s">
        <v>5796</v>
      </c>
      <c r="R1725" s="211" t="s">
        <v>17</v>
      </c>
      <c r="S1725" s="206" t="s">
        <v>5797</v>
      </c>
      <c r="T1725" s="206" t="s">
        <v>5798</v>
      </c>
      <c r="U1725" s="210">
        <v>42209</v>
      </c>
      <c r="V1725" s="211" t="s">
        <v>186</v>
      </c>
      <c r="W1725" s="213">
        <f t="shared" si="731"/>
        <v>0</v>
      </c>
      <c r="X1725" s="213" t="str">
        <f t="shared" si="732"/>
        <v>Correcto</v>
      </c>
    </row>
    <row r="1726" spans="1:24" ht="18" customHeight="1" x14ac:dyDescent="0.25">
      <c r="A1726" s="214">
        <v>1717</v>
      </c>
      <c r="B1726" s="206" t="s">
        <v>5799</v>
      </c>
      <c r="C1726" s="207">
        <v>42206</v>
      </c>
      <c r="D1726" s="208">
        <v>2</v>
      </c>
      <c r="E1726" s="209" t="s">
        <v>93</v>
      </c>
      <c r="F1726" s="206" t="s">
        <v>825</v>
      </c>
      <c r="G1726" s="209" t="s">
        <v>202</v>
      </c>
      <c r="H1726" s="210">
        <v>42208</v>
      </c>
      <c r="I1726" s="209" t="s">
        <v>187</v>
      </c>
      <c r="J1726" s="209" t="s">
        <v>103</v>
      </c>
      <c r="K1726" s="209" t="s">
        <v>5800</v>
      </c>
      <c r="L1726" s="210">
        <v>42208</v>
      </c>
      <c r="M1726" s="206" t="s">
        <v>824</v>
      </c>
      <c r="N1726" s="211" t="s">
        <v>185</v>
      </c>
      <c r="O1726" s="210">
        <v>42208</v>
      </c>
      <c r="P1726" s="212">
        <f t="shared" si="730"/>
        <v>2</v>
      </c>
      <c r="Q1726" s="209" t="s">
        <v>5800</v>
      </c>
      <c r="R1726" s="211" t="s">
        <v>17</v>
      </c>
      <c r="S1726" s="206" t="s">
        <v>5801</v>
      </c>
      <c r="T1726" s="206" t="s">
        <v>5802</v>
      </c>
      <c r="U1726" s="210">
        <v>42209</v>
      </c>
      <c r="V1726" s="211" t="s">
        <v>186</v>
      </c>
      <c r="W1726" s="213">
        <f t="shared" si="731"/>
        <v>0</v>
      </c>
      <c r="X1726" s="213" t="str">
        <f t="shared" si="732"/>
        <v>Correcto</v>
      </c>
    </row>
    <row r="1727" spans="1:24" ht="18" customHeight="1" x14ac:dyDescent="0.25">
      <c r="A1727" s="214">
        <v>1718</v>
      </c>
      <c r="B1727" s="206" t="s">
        <v>5803</v>
      </c>
      <c r="C1727" s="207">
        <v>42206</v>
      </c>
      <c r="D1727" s="208">
        <v>2</v>
      </c>
      <c r="E1727" s="209" t="s">
        <v>93</v>
      </c>
      <c r="F1727" s="206" t="s">
        <v>825</v>
      </c>
      <c r="G1727" s="209" t="s">
        <v>202</v>
      </c>
      <c r="H1727" s="210">
        <v>42208</v>
      </c>
      <c r="I1727" s="209" t="s">
        <v>187</v>
      </c>
      <c r="J1727" s="209" t="s">
        <v>103</v>
      </c>
      <c r="K1727" s="209" t="s">
        <v>5804</v>
      </c>
      <c r="L1727" s="210">
        <v>42208</v>
      </c>
      <c r="M1727" s="206" t="s">
        <v>5462</v>
      </c>
      <c r="N1727" s="211" t="s">
        <v>185</v>
      </c>
      <c r="O1727" s="210">
        <v>42208</v>
      </c>
      <c r="P1727" s="212">
        <f t="shared" si="730"/>
        <v>2</v>
      </c>
      <c r="Q1727" s="209" t="s">
        <v>5805</v>
      </c>
      <c r="R1727" s="211" t="s">
        <v>17</v>
      </c>
      <c r="S1727" s="206" t="s">
        <v>5806</v>
      </c>
      <c r="T1727" s="206" t="s">
        <v>5807</v>
      </c>
      <c r="U1727" s="210">
        <v>42208</v>
      </c>
      <c r="V1727" s="211" t="s">
        <v>186</v>
      </c>
      <c r="W1727" s="213">
        <f t="shared" si="731"/>
        <v>0</v>
      </c>
      <c r="X1727" s="213" t="str">
        <f t="shared" si="732"/>
        <v>Correcto</v>
      </c>
    </row>
    <row r="1728" spans="1:24" ht="18" customHeight="1" x14ac:dyDescent="0.25">
      <c r="A1728" s="214">
        <v>1719</v>
      </c>
      <c r="B1728" s="206" t="s">
        <v>5808</v>
      </c>
      <c r="C1728" s="207">
        <v>42206</v>
      </c>
      <c r="D1728" s="208">
        <v>2</v>
      </c>
      <c r="E1728" s="209" t="s">
        <v>93</v>
      </c>
      <c r="F1728" s="206" t="s">
        <v>825</v>
      </c>
      <c r="G1728" s="209" t="s">
        <v>202</v>
      </c>
      <c r="H1728" s="210">
        <v>42208</v>
      </c>
      <c r="I1728" s="209" t="s">
        <v>187</v>
      </c>
      <c r="J1728" s="209" t="s">
        <v>103</v>
      </c>
      <c r="K1728" s="209" t="s">
        <v>5809</v>
      </c>
      <c r="L1728" s="210">
        <v>42208</v>
      </c>
      <c r="M1728" s="206" t="s">
        <v>824</v>
      </c>
      <c r="N1728" s="211" t="s">
        <v>185</v>
      </c>
      <c r="O1728" s="210">
        <v>42208</v>
      </c>
      <c r="P1728" s="212">
        <f t="shared" si="730"/>
        <v>2</v>
      </c>
      <c r="Q1728" s="209" t="s">
        <v>5809</v>
      </c>
      <c r="R1728" s="211" t="s">
        <v>17</v>
      </c>
      <c r="S1728" s="206" t="s">
        <v>5810</v>
      </c>
      <c r="T1728" s="206" t="s">
        <v>5811</v>
      </c>
      <c r="U1728" s="210">
        <v>42208</v>
      </c>
      <c r="V1728" s="211" t="s">
        <v>186</v>
      </c>
      <c r="W1728" s="213">
        <f t="shared" si="731"/>
        <v>0</v>
      </c>
      <c r="X1728" s="213" t="str">
        <f t="shared" si="732"/>
        <v>Correcto</v>
      </c>
    </row>
    <row r="1729" spans="1:25" ht="18" customHeight="1" x14ac:dyDescent="0.25">
      <c r="A1729" s="214">
        <v>1720</v>
      </c>
      <c r="B1729" s="206" t="s">
        <v>5812</v>
      </c>
      <c r="C1729" s="207">
        <v>42206</v>
      </c>
      <c r="D1729" s="208">
        <v>2</v>
      </c>
      <c r="E1729" s="209" t="s">
        <v>93</v>
      </c>
      <c r="F1729" s="206" t="s">
        <v>825</v>
      </c>
      <c r="G1729" s="209" t="s">
        <v>202</v>
      </c>
      <c r="H1729" s="210">
        <v>42208</v>
      </c>
      <c r="I1729" s="209" t="s">
        <v>187</v>
      </c>
      <c r="J1729" s="209" t="s">
        <v>103</v>
      </c>
      <c r="K1729" s="209" t="s">
        <v>5813</v>
      </c>
      <c r="L1729" s="210">
        <v>42208</v>
      </c>
      <c r="M1729" s="206" t="s">
        <v>824</v>
      </c>
      <c r="N1729" s="211" t="s">
        <v>185</v>
      </c>
      <c r="O1729" s="210">
        <v>42208</v>
      </c>
      <c r="P1729" s="212">
        <f t="shared" si="730"/>
        <v>2</v>
      </c>
      <c r="Q1729" s="209" t="s">
        <v>5813</v>
      </c>
      <c r="R1729" s="211" t="s">
        <v>17</v>
      </c>
      <c r="S1729" s="206" t="s">
        <v>101</v>
      </c>
      <c r="T1729" s="206" t="s">
        <v>5273</v>
      </c>
      <c r="U1729" s="210">
        <v>42209</v>
      </c>
      <c r="V1729" s="211" t="s">
        <v>186</v>
      </c>
      <c r="W1729" s="213">
        <f t="shared" si="731"/>
        <v>0</v>
      </c>
      <c r="X1729" s="213" t="str">
        <f t="shared" si="732"/>
        <v>Correcto</v>
      </c>
    </row>
    <row r="1730" spans="1:25" ht="18" customHeight="1" x14ac:dyDescent="0.25">
      <c r="A1730" s="214">
        <v>1721</v>
      </c>
      <c r="B1730" s="206" t="s">
        <v>5814</v>
      </c>
      <c r="C1730" s="207">
        <v>42206</v>
      </c>
      <c r="D1730" s="208">
        <v>1852</v>
      </c>
      <c r="E1730" s="209" t="s">
        <v>93</v>
      </c>
      <c r="F1730" s="206" t="s">
        <v>4999</v>
      </c>
      <c r="G1730" s="209" t="s">
        <v>202</v>
      </c>
      <c r="H1730" s="210">
        <v>42206</v>
      </c>
      <c r="I1730" s="209" t="s">
        <v>187</v>
      </c>
      <c r="J1730" s="209" t="s">
        <v>103</v>
      </c>
      <c r="K1730" s="209" t="s">
        <v>5815</v>
      </c>
      <c r="L1730" s="210">
        <v>42206</v>
      </c>
      <c r="M1730" s="206" t="s">
        <v>824</v>
      </c>
      <c r="N1730" s="211" t="s">
        <v>185</v>
      </c>
      <c r="O1730" s="210">
        <v>42206</v>
      </c>
      <c r="P1730" s="212">
        <f t="shared" si="730"/>
        <v>0</v>
      </c>
      <c r="Q1730" s="209" t="s">
        <v>5815</v>
      </c>
      <c r="R1730" s="211" t="s">
        <v>17</v>
      </c>
      <c r="S1730" s="206" t="s">
        <v>5816</v>
      </c>
      <c r="T1730" s="206" t="s">
        <v>5817</v>
      </c>
      <c r="U1730" s="210">
        <v>42206</v>
      </c>
      <c r="V1730" s="211" t="s">
        <v>186</v>
      </c>
      <c r="W1730" s="213">
        <f t="shared" si="731"/>
        <v>0</v>
      </c>
      <c r="X1730" s="213" t="str">
        <f t="shared" si="732"/>
        <v>Correcto</v>
      </c>
    </row>
    <row r="1731" spans="1:25" ht="18" customHeight="1" x14ac:dyDescent="0.25">
      <c r="A1731" s="214">
        <v>1722</v>
      </c>
      <c r="B1731" s="206" t="s">
        <v>5818</v>
      </c>
      <c r="C1731" s="207">
        <v>42207</v>
      </c>
      <c r="D1731" s="208">
        <v>2</v>
      </c>
      <c r="E1731" s="209" t="s">
        <v>93</v>
      </c>
      <c r="F1731" s="206" t="s">
        <v>825</v>
      </c>
      <c r="G1731" s="209" t="s">
        <v>202</v>
      </c>
      <c r="H1731" s="210">
        <v>42208</v>
      </c>
      <c r="I1731" s="209" t="s">
        <v>187</v>
      </c>
      <c r="J1731" s="209" t="s">
        <v>103</v>
      </c>
      <c r="K1731" s="209" t="s">
        <v>5819</v>
      </c>
      <c r="L1731" s="210">
        <v>42208</v>
      </c>
      <c r="M1731" s="206" t="s">
        <v>824</v>
      </c>
      <c r="N1731" s="211" t="s">
        <v>185</v>
      </c>
      <c r="O1731" s="210">
        <v>42208</v>
      </c>
      <c r="P1731" s="212">
        <f t="shared" si="730"/>
        <v>1</v>
      </c>
      <c r="Q1731" s="209" t="s">
        <v>5819</v>
      </c>
      <c r="R1731" s="211" t="s">
        <v>17</v>
      </c>
      <c r="S1731" s="206" t="s">
        <v>101</v>
      </c>
      <c r="T1731" s="206" t="s">
        <v>5273</v>
      </c>
      <c r="U1731" s="210">
        <v>42209</v>
      </c>
      <c r="V1731" s="211" t="s">
        <v>186</v>
      </c>
      <c r="W1731" s="213">
        <f t="shared" si="731"/>
        <v>0</v>
      </c>
      <c r="X1731" s="213" t="str">
        <f t="shared" si="732"/>
        <v>Correcto</v>
      </c>
    </row>
    <row r="1732" spans="1:25" ht="18" customHeight="1" x14ac:dyDescent="0.25">
      <c r="A1732" s="214">
        <v>1723</v>
      </c>
      <c r="B1732" s="206" t="s">
        <v>5820</v>
      </c>
      <c r="C1732" s="207">
        <v>42207</v>
      </c>
      <c r="D1732" s="208">
        <v>2</v>
      </c>
      <c r="E1732" s="209" t="s">
        <v>93</v>
      </c>
      <c r="F1732" s="206" t="s">
        <v>825</v>
      </c>
      <c r="G1732" s="209" t="s">
        <v>202</v>
      </c>
      <c r="H1732" s="210">
        <v>42208</v>
      </c>
      <c r="I1732" s="209" t="s">
        <v>187</v>
      </c>
      <c r="J1732" s="209" t="s">
        <v>103</v>
      </c>
      <c r="K1732" s="209" t="s">
        <v>5821</v>
      </c>
      <c r="L1732" s="210">
        <v>42208</v>
      </c>
      <c r="M1732" s="206" t="s">
        <v>824</v>
      </c>
      <c r="N1732" s="211" t="s">
        <v>185</v>
      </c>
      <c r="O1732" s="210">
        <v>42208</v>
      </c>
      <c r="P1732" s="212">
        <f t="shared" si="730"/>
        <v>1</v>
      </c>
      <c r="Q1732" s="209" t="s">
        <v>5821</v>
      </c>
      <c r="R1732" s="211" t="s">
        <v>17</v>
      </c>
      <c r="S1732" s="206" t="s">
        <v>5822</v>
      </c>
      <c r="T1732" s="206">
        <v>1104208978</v>
      </c>
      <c r="U1732" s="210"/>
      <c r="V1732" s="211" t="s">
        <v>186</v>
      </c>
      <c r="W1732" s="213">
        <f t="shared" si="731"/>
        <v>1</v>
      </c>
      <c r="X1732" s="213" t="str">
        <f t="shared" si="732"/>
        <v>Incorrecto</v>
      </c>
    </row>
    <row r="1733" spans="1:25" ht="18" customHeight="1" x14ac:dyDescent="0.25">
      <c r="A1733" s="214">
        <v>1724</v>
      </c>
      <c r="B1733" s="206" t="s">
        <v>5823</v>
      </c>
      <c r="C1733" s="207">
        <v>42207</v>
      </c>
      <c r="D1733" s="208">
        <v>2</v>
      </c>
      <c r="E1733" s="209" t="s">
        <v>93</v>
      </c>
      <c r="F1733" s="206" t="s">
        <v>825</v>
      </c>
      <c r="G1733" s="209" t="s">
        <v>202</v>
      </c>
      <c r="H1733" s="210">
        <v>42208</v>
      </c>
      <c r="I1733" s="209" t="s">
        <v>187</v>
      </c>
      <c r="J1733" s="209" t="s">
        <v>103</v>
      </c>
      <c r="K1733" s="209" t="s">
        <v>5824</v>
      </c>
      <c r="L1733" s="210">
        <v>42208</v>
      </c>
      <c r="M1733" s="206" t="s">
        <v>824</v>
      </c>
      <c r="N1733" s="211" t="s">
        <v>185</v>
      </c>
      <c r="O1733" s="210">
        <v>42208</v>
      </c>
      <c r="P1733" s="212">
        <f t="shared" si="730"/>
        <v>1</v>
      </c>
      <c r="Q1733" s="209" t="s">
        <v>5824</v>
      </c>
      <c r="R1733" s="211" t="s">
        <v>17</v>
      </c>
      <c r="S1733" s="206" t="s">
        <v>101</v>
      </c>
      <c r="T1733" s="206" t="s">
        <v>1651</v>
      </c>
      <c r="U1733" s="210">
        <v>42209</v>
      </c>
      <c r="V1733" s="211" t="s">
        <v>186</v>
      </c>
      <c r="W1733" s="213">
        <f t="shared" si="731"/>
        <v>0</v>
      </c>
      <c r="X1733" s="213" t="str">
        <f t="shared" si="732"/>
        <v>Correcto</v>
      </c>
    </row>
    <row r="1734" spans="1:25" ht="18" customHeight="1" x14ac:dyDescent="0.25">
      <c r="A1734" s="214">
        <v>1725</v>
      </c>
      <c r="B1734" s="206" t="s">
        <v>5825</v>
      </c>
      <c r="C1734" s="207">
        <v>42207</v>
      </c>
      <c r="D1734" s="208">
        <v>8</v>
      </c>
      <c r="E1734" s="209" t="s">
        <v>93</v>
      </c>
      <c r="F1734" s="206" t="s">
        <v>825</v>
      </c>
      <c r="G1734" s="209" t="s">
        <v>202</v>
      </c>
      <c r="H1734" s="210">
        <v>42208</v>
      </c>
      <c r="I1734" s="209" t="s">
        <v>187</v>
      </c>
      <c r="J1734" s="209" t="s">
        <v>103</v>
      </c>
      <c r="K1734" s="209" t="s">
        <v>5826</v>
      </c>
      <c r="L1734" s="210">
        <v>42208</v>
      </c>
      <c r="M1734" s="206" t="s">
        <v>5462</v>
      </c>
      <c r="N1734" s="211" t="s">
        <v>185</v>
      </c>
      <c r="O1734" s="210">
        <v>42208</v>
      </c>
      <c r="P1734" s="212">
        <f t="shared" ref="P1734" si="733">O1734-C1734</f>
        <v>1</v>
      </c>
      <c r="Q1734" s="209" t="s">
        <v>5827</v>
      </c>
      <c r="R1734" s="211" t="s">
        <v>17</v>
      </c>
      <c r="S1734" s="206" t="s">
        <v>101</v>
      </c>
      <c r="T1734" s="206" t="s">
        <v>1432</v>
      </c>
      <c r="U1734" s="210">
        <v>42209</v>
      </c>
      <c r="V1734" s="211" t="s">
        <v>186</v>
      </c>
      <c r="W1734" s="213">
        <f t="shared" ref="W1734" si="734">COUNTBLANK(C1734:V1734)</f>
        <v>0</v>
      </c>
      <c r="X1734" s="213" t="str">
        <f t="shared" ref="X1734" si="735">IF(W1734=0,"Correcto","Incorrecto")</f>
        <v>Correcto</v>
      </c>
    </row>
    <row r="1735" spans="1:25" ht="18" customHeight="1" x14ac:dyDescent="0.25">
      <c r="A1735" s="214">
        <v>1726</v>
      </c>
      <c r="B1735" s="206" t="s">
        <v>6132</v>
      </c>
      <c r="C1735" s="207">
        <v>42207</v>
      </c>
      <c r="D1735" s="208">
        <v>2</v>
      </c>
      <c r="E1735" s="209" t="s">
        <v>93</v>
      </c>
      <c r="F1735" s="206" t="s">
        <v>825</v>
      </c>
      <c r="G1735" s="209" t="s">
        <v>202</v>
      </c>
      <c r="H1735" s="210">
        <v>42209</v>
      </c>
      <c r="I1735" s="209" t="s">
        <v>187</v>
      </c>
      <c r="J1735" s="209" t="s">
        <v>103</v>
      </c>
      <c r="K1735" s="209" t="s">
        <v>6133</v>
      </c>
      <c r="L1735" s="210">
        <v>42208</v>
      </c>
      <c r="M1735" s="206" t="s">
        <v>100</v>
      </c>
      <c r="N1735" s="211" t="s">
        <v>1295</v>
      </c>
      <c r="O1735" s="210">
        <v>42213</v>
      </c>
      <c r="P1735" s="212">
        <f t="shared" si="730"/>
        <v>6</v>
      </c>
      <c r="Q1735" s="209" t="s">
        <v>6134</v>
      </c>
      <c r="R1735" s="211" t="s">
        <v>17</v>
      </c>
      <c r="S1735" s="206" t="s">
        <v>6135</v>
      </c>
      <c r="T1735" s="206">
        <v>1102316724</v>
      </c>
      <c r="U1735" s="210">
        <v>42219</v>
      </c>
      <c r="V1735" s="211" t="s">
        <v>186</v>
      </c>
      <c r="W1735" s="213">
        <f t="shared" si="731"/>
        <v>0</v>
      </c>
      <c r="X1735" s="213" t="str">
        <f t="shared" si="732"/>
        <v>Correcto</v>
      </c>
      <c r="Y1735" s="196"/>
    </row>
    <row r="1736" spans="1:25" ht="18" customHeight="1" x14ac:dyDescent="0.25">
      <c r="A1736" s="214">
        <v>1727</v>
      </c>
      <c r="B1736" s="206" t="s">
        <v>5828</v>
      </c>
      <c r="C1736" s="207">
        <v>42207</v>
      </c>
      <c r="D1736" s="208">
        <v>2</v>
      </c>
      <c r="E1736" s="209" t="s">
        <v>93</v>
      </c>
      <c r="F1736" s="206" t="s">
        <v>825</v>
      </c>
      <c r="G1736" s="209" t="s">
        <v>202</v>
      </c>
      <c r="H1736" s="210">
        <v>42208</v>
      </c>
      <c r="I1736" s="209" t="s">
        <v>187</v>
      </c>
      <c r="J1736" s="209" t="s">
        <v>103</v>
      </c>
      <c r="K1736" s="209" t="s">
        <v>5829</v>
      </c>
      <c r="L1736" s="210">
        <v>42208</v>
      </c>
      <c r="M1736" s="206" t="s">
        <v>824</v>
      </c>
      <c r="N1736" s="211" t="s">
        <v>185</v>
      </c>
      <c r="O1736" s="210">
        <v>42208</v>
      </c>
      <c r="P1736" s="212">
        <f t="shared" si="730"/>
        <v>1</v>
      </c>
      <c r="Q1736" s="209" t="s">
        <v>5829</v>
      </c>
      <c r="R1736" s="211" t="s">
        <v>17</v>
      </c>
      <c r="S1736" s="206" t="s">
        <v>101</v>
      </c>
      <c r="T1736" s="206" t="s">
        <v>1651</v>
      </c>
      <c r="U1736" s="210">
        <v>42209</v>
      </c>
      <c r="V1736" s="211" t="s">
        <v>186</v>
      </c>
      <c r="W1736" s="213">
        <f t="shared" si="731"/>
        <v>0</v>
      </c>
      <c r="X1736" s="213" t="str">
        <f t="shared" si="732"/>
        <v>Correcto</v>
      </c>
    </row>
    <row r="1737" spans="1:25" ht="18" customHeight="1" x14ac:dyDescent="0.25">
      <c r="A1737" s="214">
        <v>1728</v>
      </c>
      <c r="B1737" s="206" t="s">
        <v>5830</v>
      </c>
      <c r="C1737" s="207">
        <v>42207</v>
      </c>
      <c r="D1737" s="208">
        <v>2</v>
      </c>
      <c r="E1737" s="209" t="s">
        <v>93</v>
      </c>
      <c r="F1737" s="206" t="s">
        <v>825</v>
      </c>
      <c r="G1737" s="209" t="s">
        <v>202</v>
      </c>
      <c r="H1737" s="210">
        <v>42208</v>
      </c>
      <c r="I1737" s="209" t="s">
        <v>187</v>
      </c>
      <c r="J1737" s="209" t="s">
        <v>103</v>
      </c>
      <c r="K1737" s="209" t="s">
        <v>5831</v>
      </c>
      <c r="L1737" s="210">
        <v>42208</v>
      </c>
      <c r="M1737" s="206" t="s">
        <v>5462</v>
      </c>
      <c r="N1737" s="211" t="s">
        <v>185</v>
      </c>
      <c r="O1737" s="210">
        <v>42208</v>
      </c>
      <c r="P1737" s="212">
        <f t="shared" si="730"/>
        <v>1</v>
      </c>
      <c r="Q1737" s="209" t="s">
        <v>5832</v>
      </c>
      <c r="R1737" s="211" t="s">
        <v>17</v>
      </c>
      <c r="S1737" s="206" t="s">
        <v>5400</v>
      </c>
      <c r="T1737" s="206" t="s">
        <v>5833</v>
      </c>
      <c r="U1737" s="210">
        <v>42208</v>
      </c>
      <c r="V1737" s="211" t="s">
        <v>186</v>
      </c>
      <c r="W1737" s="213">
        <f t="shared" si="731"/>
        <v>0</v>
      </c>
      <c r="X1737" s="213" t="str">
        <f t="shared" si="732"/>
        <v>Correcto</v>
      </c>
    </row>
    <row r="1738" spans="1:25" ht="18" customHeight="1" x14ac:dyDescent="0.25">
      <c r="A1738" s="214">
        <v>1729</v>
      </c>
      <c r="B1738" s="206" t="s">
        <v>5834</v>
      </c>
      <c r="C1738" s="207">
        <v>42207</v>
      </c>
      <c r="D1738" s="208">
        <v>2</v>
      </c>
      <c r="E1738" s="209" t="s">
        <v>93</v>
      </c>
      <c r="F1738" s="206" t="s">
        <v>825</v>
      </c>
      <c r="G1738" s="209" t="s">
        <v>202</v>
      </c>
      <c r="H1738" s="210">
        <v>42208</v>
      </c>
      <c r="I1738" s="209" t="s">
        <v>187</v>
      </c>
      <c r="J1738" s="209" t="s">
        <v>103</v>
      </c>
      <c r="K1738" s="209" t="s">
        <v>5835</v>
      </c>
      <c r="L1738" s="210">
        <v>42208</v>
      </c>
      <c r="M1738" s="206" t="s">
        <v>824</v>
      </c>
      <c r="N1738" s="211" t="s">
        <v>185</v>
      </c>
      <c r="O1738" s="210">
        <v>42208</v>
      </c>
      <c r="P1738" s="212">
        <f t="shared" si="730"/>
        <v>1</v>
      </c>
      <c r="Q1738" s="209" t="s">
        <v>5835</v>
      </c>
      <c r="R1738" s="211" t="s">
        <v>17</v>
      </c>
      <c r="S1738" s="206" t="s">
        <v>101</v>
      </c>
      <c r="T1738" s="206" t="s">
        <v>1732</v>
      </c>
      <c r="U1738" s="210">
        <v>42209</v>
      </c>
      <c r="V1738" s="211" t="s">
        <v>186</v>
      </c>
      <c r="W1738" s="213">
        <f t="shared" si="731"/>
        <v>0</v>
      </c>
      <c r="X1738" s="213" t="str">
        <f t="shared" si="732"/>
        <v>Correcto</v>
      </c>
    </row>
    <row r="1739" spans="1:25" ht="18" customHeight="1" x14ac:dyDescent="0.25">
      <c r="A1739" s="214">
        <v>1730</v>
      </c>
      <c r="B1739" s="206" t="s">
        <v>5836</v>
      </c>
      <c r="C1739" s="207">
        <v>42207</v>
      </c>
      <c r="D1739" s="208">
        <v>2</v>
      </c>
      <c r="E1739" s="209" t="s">
        <v>93</v>
      </c>
      <c r="F1739" s="206" t="s">
        <v>825</v>
      </c>
      <c r="G1739" s="209" t="s">
        <v>202</v>
      </c>
      <c r="H1739" s="210">
        <v>42208</v>
      </c>
      <c r="I1739" s="209" t="s">
        <v>187</v>
      </c>
      <c r="J1739" s="209" t="s">
        <v>103</v>
      </c>
      <c r="K1739" s="209" t="s">
        <v>5837</v>
      </c>
      <c r="L1739" s="210">
        <v>42208</v>
      </c>
      <c r="M1739" s="206" t="s">
        <v>824</v>
      </c>
      <c r="N1739" s="211" t="s">
        <v>185</v>
      </c>
      <c r="O1739" s="210">
        <v>42208</v>
      </c>
      <c r="P1739" s="212">
        <f t="shared" si="730"/>
        <v>1</v>
      </c>
      <c r="Q1739" s="209" t="s">
        <v>5837</v>
      </c>
      <c r="R1739" s="211" t="s">
        <v>17</v>
      </c>
      <c r="S1739" s="206" t="s">
        <v>101</v>
      </c>
      <c r="T1739" s="206" t="s">
        <v>1736</v>
      </c>
      <c r="U1739" s="210">
        <v>42209</v>
      </c>
      <c r="V1739" s="211" t="s">
        <v>186</v>
      </c>
      <c r="W1739" s="213">
        <f t="shared" si="731"/>
        <v>0</v>
      </c>
      <c r="X1739" s="213" t="str">
        <f t="shared" si="732"/>
        <v>Correcto</v>
      </c>
    </row>
    <row r="1740" spans="1:25" ht="18" customHeight="1" x14ac:dyDescent="0.25">
      <c r="A1740" s="214">
        <v>1731</v>
      </c>
      <c r="B1740" s="206" t="s">
        <v>5838</v>
      </c>
      <c r="C1740" s="207">
        <v>42207</v>
      </c>
      <c r="D1740" s="208">
        <v>2</v>
      </c>
      <c r="E1740" s="209" t="s">
        <v>93</v>
      </c>
      <c r="F1740" s="206" t="s">
        <v>825</v>
      </c>
      <c r="G1740" s="209" t="s">
        <v>202</v>
      </c>
      <c r="H1740" s="210">
        <v>42208</v>
      </c>
      <c r="I1740" s="209" t="s">
        <v>187</v>
      </c>
      <c r="J1740" s="209" t="s">
        <v>103</v>
      </c>
      <c r="K1740" s="209" t="s">
        <v>5839</v>
      </c>
      <c r="L1740" s="210">
        <v>42208</v>
      </c>
      <c r="M1740" s="206" t="s">
        <v>824</v>
      </c>
      <c r="N1740" s="211" t="s">
        <v>185</v>
      </c>
      <c r="O1740" s="210">
        <v>42208</v>
      </c>
      <c r="P1740" s="212">
        <f t="shared" si="730"/>
        <v>1</v>
      </c>
      <c r="Q1740" s="209" t="s">
        <v>5839</v>
      </c>
      <c r="R1740" s="211" t="s">
        <v>17</v>
      </c>
      <c r="S1740" s="206" t="s">
        <v>101</v>
      </c>
      <c r="T1740" s="206" t="s">
        <v>1736</v>
      </c>
      <c r="U1740" s="210">
        <v>42209</v>
      </c>
      <c r="V1740" s="211" t="s">
        <v>186</v>
      </c>
      <c r="W1740" s="213">
        <f t="shared" si="731"/>
        <v>0</v>
      </c>
      <c r="X1740" s="213" t="str">
        <f t="shared" si="732"/>
        <v>Correcto</v>
      </c>
    </row>
    <row r="1741" spans="1:25" ht="18" customHeight="1" x14ac:dyDescent="0.25">
      <c r="A1741" s="214">
        <v>1732</v>
      </c>
      <c r="B1741" s="206" t="s">
        <v>5840</v>
      </c>
      <c r="C1741" s="207">
        <v>42207</v>
      </c>
      <c r="D1741" s="208">
        <v>2</v>
      </c>
      <c r="E1741" s="209" t="s">
        <v>93</v>
      </c>
      <c r="F1741" s="206" t="s">
        <v>825</v>
      </c>
      <c r="G1741" s="209" t="s">
        <v>202</v>
      </c>
      <c r="H1741" s="210">
        <v>42208</v>
      </c>
      <c r="I1741" s="209" t="s">
        <v>187</v>
      </c>
      <c r="J1741" s="209" t="s">
        <v>103</v>
      </c>
      <c r="K1741" s="209" t="s">
        <v>5841</v>
      </c>
      <c r="L1741" s="210">
        <v>42208</v>
      </c>
      <c r="M1741" s="206" t="s">
        <v>824</v>
      </c>
      <c r="N1741" s="211" t="s">
        <v>185</v>
      </c>
      <c r="O1741" s="210">
        <v>42208</v>
      </c>
      <c r="P1741" s="212">
        <f t="shared" si="730"/>
        <v>1</v>
      </c>
      <c r="Q1741" s="209" t="s">
        <v>5841</v>
      </c>
      <c r="R1741" s="211" t="s">
        <v>17</v>
      </c>
      <c r="S1741" s="206" t="s">
        <v>101</v>
      </c>
      <c r="T1741" s="206" t="s">
        <v>1604</v>
      </c>
      <c r="U1741" s="210">
        <v>42209</v>
      </c>
      <c r="V1741" s="211" t="s">
        <v>186</v>
      </c>
      <c r="W1741" s="213">
        <f t="shared" si="731"/>
        <v>0</v>
      </c>
      <c r="X1741" s="213" t="str">
        <f t="shared" si="732"/>
        <v>Correcto</v>
      </c>
    </row>
    <row r="1742" spans="1:25" ht="18" customHeight="1" x14ac:dyDescent="0.25">
      <c r="A1742" s="214">
        <v>1733</v>
      </c>
      <c r="B1742" s="206" t="s">
        <v>5842</v>
      </c>
      <c r="C1742" s="207">
        <v>42207</v>
      </c>
      <c r="D1742" s="208">
        <v>3</v>
      </c>
      <c r="E1742" s="209" t="s">
        <v>93</v>
      </c>
      <c r="F1742" s="206" t="s">
        <v>825</v>
      </c>
      <c r="G1742" s="209" t="s">
        <v>202</v>
      </c>
      <c r="H1742" s="210">
        <v>42209</v>
      </c>
      <c r="I1742" s="209" t="s">
        <v>187</v>
      </c>
      <c r="J1742" s="209" t="s">
        <v>103</v>
      </c>
      <c r="K1742" s="209" t="s">
        <v>5843</v>
      </c>
      <c r="L1742" s="210">
        <v>42209</v>
      </c>
      <c r="M1742" s="206" t="s">
        <v>5462</v>
      </c>
      <c r="N1742" s="211" t="s">
        <v>185</v>
      </c>
      <c r="O1742" s="210">
        <v>42209</v>
      </c>
      <c r="P1742" s="212">
        <f t="shared" si="730"/>
        <v>2</v>
      </c>
      <c r="Q1742" s="209" t="s">
        <v>5844</v>
      </c>
      <c r="R1742" s="211" t="s">
        <v>17</v>
      </c>
      <c r="S1742" s="206" t="s">
        <v>101</v>
      </c>
      <c r="T1742" s="206" t="s">
        <v>101</v>
      </c>
      <c r="U1742" s="210">
        <v>42214</v>
      </c>
      <c r="V1742" s="211" t="s">
        <v>186</v>
      </c>
      <c r="W1742" s="213">
        <f t="shared" si="731"/>
        <v>0</v>
      </c>
      <c r="X1742" s="213" t="str">
        <f t="shared" si="732"/>
        <v>Correcto</v>
      </c>
    </row>
    <row r="1743" spans="1:25" ht="18" customHeight="1" x14ac:dyDescent="0.25">
      <c r="A1743" s="214">
        <v>1734</v>
      </c>
      <c r="B1743" s="206" t="s">
        <v>5845</v>
      </c>
      <c r="C1743" s="207">
        <v>42207</v>
      </c>
      <c r="D1743" s="208">
        <v>3</v>
      </c>
      <c r="E1743" s="209" t="s">
        <v>93</v>
      </c>
      <c r="F1743" s="206" t="s">
        <v>825</v>
      </c>
      <c r="G1743" s="209" t="s">
        <v>202</v>
      </c>
      <c r="H1743" s="210">
        <v>42209</v>
      </c>
      <c r="I1743" s="209" t="s">
        <v>187</v>
      </c>
      <c r="J1743" s="209" t="s">
        <v>103</v>
      </c>
      <c r="K1743" s="209" t="s">
        <v>5846</v>
      </c>
      <c r="L1743" s="210">
        <v>42209</v>
      </c>
      <c r="M1743" s="206" t="s">
        <v>5462</v>
      </c>
      <c r="N1743" s="211" t="s">
        <v>185</v>
      </c>
      <c r="O1743" s="210">
        <v>42209</v>
      </c>
      <c r="P1743" s="212">
        <f t="shared" si="730"/>
        <v>2</v>
      </c>
      <c r="Q1743" s="209" t="s">
        <v>5847</v>
      </c>
      <c r="R1743" s="211" t="s">
        <v>17</v>
      </c>
      <c r="S1743" s="206" t="s">
        <v>101</v>
      </c>
      <c r="T1743" s="206" t="s">
        <v>101</v>
      </c>
      <c r="U1743" s="210">
        <v>42214</v>
      </c>
      <c r="V1743" s="211" t="s">
        <v>186</v>
      </c>
      <c r="W1743" s="213">
        <f t="shared" si="731"/>
        <v>0</v>
      </c>
      <c r="X1743" s="213" t="str">
        <f t="shared" si="732"/>
        <v>Correcto</v>
      </c>
    </row>
    <row r="1744" spans="1:25" ht="18" customHeight="1" x14ac:dyDescent="0.25">
      <c r="A1744" s="214">
        <v>1735</v>
      </c>
      <c r="B1744" s="206" t="s">
        <v>5848</v>
      </c>
      <c r="C1744" s="207">
        <v>42207</v>
      </c>
      <c r="D1744" s="208">
        <v>3</v>
      </c>
      <c r="E1744" s="209" t="s">
        <v>93</v>
      </c>
      <c r="F1744" s="206" t="s">
        <v>825</v>
      </c>
      <c r="G1744" s="209" t="s">
        <v>202</v>
      </c>
      <c r="H1744" s="210">
        <v>42209</v>
      </c>
      <c r="I1744" s="209" t="s">
        <v>187</v>
      </c>
      <c r="J1744" s="209" t="s">
        <v>103</v>
      </c>
      <c r="K1744" s="209" t="s">
        <v>5849</v>
      </c>
      <c r="L1744" s="210">
        <v>42209</v>
      </c>
      <c r="M1744" s="206" t="s">
        <v>5462</v>
      </c>
      <c r="N1744" s="211" t="s">
        <v>185</v>
      </c>
      <c r="O1744" s="210">
        <v>42209</v>
      </c>
      <c r="P1744" s="212">
        <f t="shared" si="730"/>
        <v>2</v>
      </c>
      <c r="Q1744" s="209" t="s">
        <v>5850</v>
      </c>
      <c r="R1744" s="211" t="s">
        <v>17</v>
      </c>
      <c r="S1744" s="206" t="s">
        <v>101</v>
      </c>
      <c r="T1744" s="206" t="s">
        <v>101</v>
      </c>
      <c r="U1744" s="210">
        <v>42214</v>
      </c>
      <c r="V1744" s="211" t="s">
        <v>186</v>
      </c>
      <c r="W1744" s="213">
        <f t="shared" si="731"/>
        <v>0</v>
      </c>
      <c r="X1744" s="213" t="str">
        <f t="shared" si="732"/>
        <v>Correcto</v>
      </c>
    </row>
    <row r="1745" spans="1:25" ht="18" customHeight="1" x14ac:dyDescent="0.25">
      <c r="A1745" s="214">
        <v>1736</v>
      </c>
      <c r="B1745" s="206" t="s">
        <v>5851</v>
      </c>
      <c r="C1745" s="207">
        <v>42207</v>
      </c>
      <c r="D1745" s="208">
        <v>4</v>
      </c>
      <c r="E1745" s="209" t="s">
        <v>93</v>
      </c>
      <c r="F1745" s="206" t="s">
        <v>825</v>
      </c>
      <c r="G1745" s="209" t="s">
        <v>202</v>
      </c>
      <c r="H1745" s="210">
        <v>42209</v>
      </c>
      <c r="I1745" s="209" t="s">
        <v>187</v>
      </c>
      <c r="J1745" s="209" t="s">
        <v>103</v>
      </c>
      <c r="K1745" s="209" t="s">
        <v>5852</v>
      </c>
      <c r="L1745" s="210">
        <v>42209</v>
      </c>
      <c r="M1745" s="206" t="s">
        <v>5462</v>
      </c>
      <c r="N1745" s="211" t="s">
        <v>185</v>
      </c>
      <c r="O1745" s="210">
        <v>42209</v>
      </c>
      <c r="P1745" s="212">
        <f t="shared" si="730"/>
        <v>2</v>
      </c>
      <c r="Q1745" s="209" t="s">
        <v>5853</v>
      </c>
      <c r="R1745" s="211" t="s">
        <v>17</v>
      </c>
      <c r="S1745" s="206" t="s">
        <v>101</v>
      </c>
      <c r="T1745" s="206" t="s">
        <v>101</v>
      </c>
      <c r="U1745" s="210">
        <v>42214</v>
      </c>
      <c r="V1745" s="211" t="s">
        <v>186</v>
      </c>
      <c r="W1745" s="213">
        <f t="shared" si="731"/>
        <v>0</v>
      </c>
      <c r="X1745" s="213" t="str">
        <f t="shared" si="732"/>
        <v>Correcto</v>
      </c>
    </row>
    <row r="1746" spans="1:25" ht="18" customHeight="1" x14ac:dyDescent="0.25">
      <c r="A1746" s="214">
        <v>1737</v>
      </c>
      <c r="B1746" s="206" t="s">
        <v>5854</v>
      </c>
      <c r="C1746" s="207">
        <v>42207</v>
      </c>
      <c r="D1746" s="208">
        <v>2</v>
      </c>
      <c r="E1746" s="209" t="s">
        <v>93</v>
      </c>
      <c r="F1746" s="206" t="s">
        <v>825</v>
      </c>
      <c r="G1746" s="209" t="s">
        <v>202</v>
      </c>
      <c r="H1746" s="210">
        <v>42212</v>
      </c>
      <c r="I1746" s="209" t="s">
        <v>187</v>
      </c>
      <c r="J1746" s="209" t="s">
        <v>103</v>
      </c>
      <c r="K1746" s="209" t="s">
        <v>5855</v>
      </c>
      <c r="L1746" s="210">
        <v>42212</v>
      </c>
      <c r="M1746" s="206" t="s">
        <v>5462</v>
      </c>
      <c r="N1746" s="211" t="s">
        <v>185</v>
      </c>
      <c r="O1746" s="210">
        <v>42212</v>
      </c>
      <c r="P1746" s="212">
        <f t="shared" si="730"/>
        <v>5</v>
      </c>
      <c r="Q1746" s="209" t="s">
        <v>5855</v>
      </c>
      <c r="R1746" s="211" t="s">
        <v>17</v>
      </c>
      <c r="S1746" s="206" t="s">
        <v>101</v>
      </c>
      <c r="T1746" s="206" t="s">
        <v>101</v>
      </c>
      <c r="U1746" s="210">
        <v>42214</v>
      </c>
      <c r="V1746" s="211" t="s">
        <v>186</v>
      </c>
      <c r="W1746" s="213">
        <f t="shared" si="731"/>
        <v>0</v>
      </c>
      <c r="X1746" s="213" t="str">
        <f t="shared" si="732"/>
        <v>Correcto</v>
      </c>
    </row>
    <row r="1747" spans="1:25" ht="18" customHeight="1" x14ac:dyDescent="0.25">
      <c r="A1747" s="214">
        <v>1738</v>
      </c>
      <c r="B1747" s="206" t="s">
        <v>5856</v>
      </c>
      <c r="C1747" s="207">
        <v>42208</v>
      </c>
      <c r="D1747" s="208">
        <v>2</v>
      </c>
      <c r="E1747" s="209" t="s">
        <v>93</v>
      </c>
      <c r="F1747" s="206" t="s">
        <v>825</v>
      </c>
      <c r="G1747" s="209" t="s">
        <v>202</v>
      </c>
      <c r="H1747" s="210">
        <v>42212</v>
      </c>
      <c r="I1747" s="209" t="s">
        <v>187</v>
      </c>
      <c r="J1747" s="209" t="s">
        <v>103</v>
      </c>
      <c r="K1747" s="209" t="s">
        <v>5857</v>
      </c>
      <c r="L1747" s="210">
        <v>42212</v>
      </c>
      <c r="M1747" s="206" t="s">
        <v>5462</v>
      </c>
      <c r="N1747" s="211" t="s">
        <v>185</v>
      </c>
      <c r="O1747" s="210">
        <v>42213</v>
      </c>
      <c r="P1747" s="212">
        <f t="shared" si="730"/>
        <v>5</v>
      </c>
      <c r="Q1747" s="209" t="s">
        <v>5858</v>
      </c>
      <c r="R1747" s="211" t="s">
        <v>17</v>
      </c>
      <c r="S1747" s="206" t="s">
        <v>5859</v>
      </c>
      <c r="T1747" s="206">
        <v>1102911508</v>
      </c>
      <c r="U1747" s="210">
        <v>42219</v>
      </c>
      <c r="V1747" s="211" t="s">
        <v>186</v>
      </c>
      <c r="W1747" s="213">
        <f t="shared" si="731"/>
        <v>0</v>
      </c>
      <c r="X1747" s="213" t="str">
        <f t="shared" si="732"/>
        <v>Correcto</v>
      </c>
      <c r="Y1747" s="196"/>
    </row>
    <row r="1748" spans="1:25" ht="18" customHeight="1" x14ac:dyDescent="0.25">
      <c r="A1748" s="214">
        <v>1739</v>
      </c>
      <c r="B1748" s="206" t="s">
        <v>5860</v>
      </c>
      <c r="C1748" s="207">
        <v>42208</v>
      </c>
      <c r="D1748" s="208">
        <v>2</v>
      </c>
      <c r="E1748" s="209" t="s">
        <v>93</v>
      </c>
      <c r="F1748" s="206" t="s">
        <v>825</v>
      </c>
      <c r="G1748" s="209" t="s">
        <v>202</v>
      </c>
      <c r="H1748" s="210">
        <v>42117</v>
      </c>
      <c r="I1748" s="209" t="s">
        <v>187</v>
      </c>
      <c r="J1748" s="209" t="s">
        <v>103</v>
      </c>
      <c r="K1748" s="209" t="s">
        <v>5861</v>
      </c>
      <c r="L1748" s="210">
        <v>42117</v>
      </c>
      <c r="M1748" s="206" t="s">
        <v>5462</v>
      </c>
      <c r="N1748" s="211" t="s">
        <v>185</v>
      </c>
      <c r="O1748" s="210">
        <v>42208</v>
      </c>
      <c r="P1748" s="212">
        <f t="shared" si="730"/>
        <v>0</v>
      </c>
      <c r="Q1748" s="209" t="s">
        <v>5862</v>
      </c>
      <c r="R1748" s="211" t="s">
        <v>17</v>
      </c>
      <c r="S1748" s="206" t="s">
        <v>5863</v>
      </c>
      <c r="T1748" s="206" t="s">
        <v>5864</v>
      </c>
      <c r="U1748" s="210">
        <v>42208</v>
      </c>
      <c r="V1748" s="211" t="s">
        <v>186</v>
      </c>
      <c r="W1748" s="213">
        <f t="shared" si="731"/>
        <v>0</v>
      </c>
      <c r="X1748" s="213" t="str">
        <f t="shared" si="732"/>
        <v>Correcto</v>
      </c>
    </row>
    <row r="1749" spans="1:25" ht="18" customHeight="1" x14ac:dyDescent="0.25">
      <c r="A1749" s="214">
        <v>1740</v>
      </c>
      <c r="B1749" s="206" t="s">
        <v>5865</v>
      </c>
      <c r="C1749" s="207">
        <v>42208</v>
      </c>
      <c r="D1749" s="208">
        <v>2</v>
      </c>
      <c r="E1749" s="209" t="s">
        <v>93</v>
      </c>
      <c r="F1749" s="206" t="s">
        <v>825</v>
      </c>
      <c r="G1749" s="209" t="s">
        <v>202</v>
      </c>
      <c r="H1749" s="210">
        <v>42209</v>
      </c>
      <c r="I1749" s="209" t="s">
        <v>187</v>
      </c>
      <c r="J1749" s="209" t="s">
        <v>103</v>
      </c>
      <c r="K1749" s="209" t="s">
        <v>5866</v>
      </c>
      <c r="L1749" s="210">
        <v>42209</v>
      </c>
      <c r="M1749" s="206" t="s">
        <v>5462</v>
      </c>
      <c r="N1749" s="211" t="s">
        <v>185</v>
      </c>
      <c r="O1749" s="210">
        <v>42209</v>
      </c>
      <c r="P1749" s="212">
        <f t="shared" si="730"/>
        <v>1</v>
      </c>
      <c r="Q1749" s="209" t="s">
        <v>5867</v>
      </c>
      <c r="R1749" s="211" t="s">
        <v>17</v>
      </c>
      <c r="S1749" s="206" t="s">
        <v>5868</v>
      </c>
      <c r="T1749" s="206" t="s">
        <v>5869</v>
      </c>
      <c r="U1749" s="210">
        <v>42209</v>
      </c>
      <c r="V1749" s="211" t="s">
        <v>186</v>
      </c>
      <c r="W1749" s="213">
        <f t="shared" si="731"/>
        <v>0</v>
      </c>
      <c r="X1749" s="213" t="str">
        <f t="shared" si="732"/>
        <v>Correcto</v>
      </c>
    </row>
    <row r="1750" spans="1:25" ht="18" customHeight="1" x14ac:dyDescent="0.25">
      <c r="A1750" s="214">
        <v>1741</v>
      </c>
      <c r="B1750" s="206" t="s">
        <v>5870</v>
      </c>
      <c r="C1750" s="207">
        <v>42209</v>
      </c>
      <c r="D1750" s="208">
        <v>2</v>
      </c>
      <c r="E1750" s="209" t="s">
        <v>93</v>
      </c>
      <c r="F1750" s="206" t="s">
        <v>825</v>
      </c>
      <c r="G1750" s="209" t="s">
        <v>202</v>
      </c>
      <c r="H1750" s="210">
        <v>42213</v>
      </c>
      <c r="I1750" s="209" t="s">
        <v>187</v>
      </c>
      <c r="J1750" s="209" t="s">
        <v>103</v>
      </c>
      <c r="K1750" s="209" t="s">
        <v>5871</v>
      </c>
      <c r="L1750" s="210">
        <v>42213</v>
      </c>
      <c r="M1750" s="206" t="s">
        <v>824</v>
      </c>
      <c r="N1750" s="211" t="s">
        <v>185</v>
      </c>
      <c r="O1750" s="210">
        <v>42213</v>
      </c>
      <c r="P1750" s="212">
        <f t="shared" si="730"/>
        <v>4</v>
      </c>
      <c r="Q1750" s="209" t="s">
        <v>5871</v>
      </c>
      <c r="R1750" s="211" t="s">
        <v>17</v>
      </c>
      <c r="S1750" s="206" t="s">
        <v>5872</v>
      </c>
      <c r="T1750" s="206" t="s">
        <v>5873</v>
      </c>
      <c r="U1750" s="210">
        <v>42213</v>
      </c>
      <c r="V1750" s="211" t="s">
        <v>186</v>
      </c>
      <c r="W1750" s="213">
        <f t="shared" si="731"/>
        <v>0</v>
      </c>
      <c r="X1750" s="213" t="str">
        <f t="shared" si="732"/>
        <v>Correcto</v>
      </c>
    </row>
    <row r="1751" spans="1:25" ht="18" customHeight="1" x14ac:dyDescent="0.25">
      <c r="A1751" s="214">
        <v>1742</v>
      </c>
      <c r="B1751" s="206" t="s">
        <v>5874</v>
      </c>
      <c r="C1751" s="207">
        <v>42209</v>
      </c>
      <c r="D1751" s="208">
        <v>2</v>
      </c>
      <c r="E1751" s="209" t="s">
        <v>93</v>
      </c>
      <c r="F1751" s="206" t="s">
        <v>825</v>
      </c>
      <c r="G1751" s="209" t="s">
        <v>202</v>
      </c>
      <c r="H1751" s="210">
        <v>42213</v>
      </c>
      <c r="I1751" s="209" t="s">
        <v>187</v>
      </c>
      <c r="J1751" s="209" t="s">
        <v>103</v>
      </c>
      <c r="K1751" s="209" t="s">
        <v>5875</v>
      </c>
      <c r="L1751" s="210">
        <v>42213</v>
      </c>
      <c r="M1751" s="206" t="s">
        <v>824</v>
      </c>
      <c r="N1751" s="211" t="s">
        <v>185</v>
      </c>
      <c r="O1751" s="210">
        <v>42213</v>
      </c>
      <c r="P1751" s="212">
        <f t="shared" si="730"/>
        <v>4</v>
      </c>
      <c r="Q1751" s="209" t="s">
        <v>5875</v>
      </c>
      <c r="R1751" s="211" t="s">
        <v>17</v>
      </c>
      <c r="S1751" s="206" t="s">
        <v>5876</v>
      </c>
      <c r="T1751" s="206" t="s">
        <v>5877</v>
      </c>
      <c r="U1751" s="210">
        <v>42213</v>
      </c>
      <c r="V1751" s="211" t="s">
        <v>186</v>
      </c>
      <c r="W1751" s="213">
        <f t="shared" si="731"/>
        <v>0</v>
      </c>
      <c r="X1751" s="213" t="str">
        <f t="shared" si="732"/>
        <v>Correcto</v>
      </c>
    </row>
    <row r="1752" spans="1:25" ht="18" customHeight="1" x14ac:dyDescent="0.25">
      <c r="A1752" s="214">
        <v>1743</v>
      </c>
      <c r="B1752" s="206" t="s">
        <v>5878</v>
      </c>
      <c r="C1752" s="207">
        <v>42209</v>
      </c>
      <c r="D1752" s="208">
        <v>2</v>
      </c>
      <c r="E1752" s="209" t="s">
        <v>93</v>
      </c>
      <c r="F1752" s="206" t="s">
        <v>825</v>
      </c>
      <c r="G1752" s="209" t="s">
        <v>202</v>
      </c>
      <c r="H1752" s="210">
        <v>42213</v>
      </c>
      <c r="I1752" s="209" t="s">
        <v>187</v>
      </c>
      <c r="J1752" s="209" t="s">
        <v>103</v>
      </c>
      <c r="K1752" s="209" t="s">
        <v>5879</v>
      </c>
      <c r="L1752" s="210">
        <v>42213</v>
      </c>
      <c r="M1752" s="206" t="s">
        <v>824</v>
      </c>
      <c r="N1752" s="211" t="s">
        <v>185</v>
      </c>
      <c r="O1752" s="210">
        <v>42213</v>
      </c>
      <c r="P1752" s="212">
        <f t="shared" si="730"/>
        <v>4</v>
      </c>
      <c r="Q1752" s="209" t="s">
        <v>5879</v>
      </c>
      <c r="R1752" s="211" t="s">
        <v>17</v>
      </c>
      <c r="S1752" s="206" t="s">
        <v>5880</v>
      </c>
      <c r="T1752" s="206">
        <v>1105651556</v>
      </c>
      <c r="U1752" s="210">
        <v>42219</v>
      </c>
      <c r="V1752" s="211" t="s">
        <v>6131</v>
      </c>
      <c r="W1752" s="213">
        <f t="shared" si="731"/>
        <v>0</v>
      </c>
      <c r="X1752" s="213" t="str">
        <f t="shared" si="732"/>
        <v>Correcto</v>
      </c>
      <c r="Y1752" s="196"/>
    </row>
    <row r="1753" spans="1:25" ht="18" customHeight="1" x14ac:dyDescent="0.25">
      <c r="A1753" s="214">
        <v>1744</v>
      </c>
      <c r="B1753" s="206" t="s">
        <v>5881</v>
      </c>
      <c r="C1753" s="207">
        <v>42209</v>
      </c>
      <c r="D1753" s="208">
        <v>2</v>
      </c>
      <c r="E1753" s="209" t="s">
        <v>93</v>
      </c>
      <c r="F1753" s="206" t="s">
        <v>825</v>
      </c>
      <c r="G1753" s="209" t="s">
        <v>202</v>
      </c>
      <c r="H1753" s="210">
        <v>42213</v>
      </c>
      <c r="I1753" s="209" t="s">
        <v>187</v>
      </c>
      <c r="J1753" s="209" t="s">
        <v>103</v>
      </c>
      <c r="K1753" s="209" t="s">
        <v>5882</v>
      </c>
      <c r="L1753" s="210">
        <v>42213</v>
      </c>
      <c r="M1753" s="206" t="s">
        <v>824</v>
      </c>
      <c r="N1753" s="211" t="s">
        <v>185</v>
      </c>
      <c r="O1753" s="210">
        <v>42213</v>
      </c>
      <c r="P1753" s="212">
        <f t="shared" si="730"/>
        <v>4</v>
      </c>
      <c r="Q1753" s="209" t="s">
        <v>5882</v>
      </c>
      <c r="R1753" s="211" t="s">
        <v>17</v>
      </c>
      <c r="S1753" s="206" t="s">
        <v>5883</v>
      </c>
      <c r="T1753" s="206">
        <v>1105078446</v>
      </c>
      <c r="U1753" s="210">
        <v>42219</v>
      </c>
      <c r="V1753" s="211" t="s">
        <v>6131</v>
      </c>
      <c r="W1753" s="213">
        <f t="shared" si="731"/>
        <v>0</v>
      </c>
      <c r="X1753" s="213" t="str">
        <f t="shared" si="732"/>
        <v>Correcto</v>
      </c>
      <c r="Y1753" s="196"/>
    </row>
    <row r="1754" spans="1:25" ht="18" customHeight="1" x14ac:dyDescent="0.25">
      <c r="A1754" s="214">
        <v>1745</v>
      </c>
      <c r="B1754" s="206" t="s">
        <v>5884</v>
      </c>
      <c r="C1754" s="207">
        <v>42209</v>
      </c>
      <c r="D1754" s="208">
        <v>2</v>
      </c>
      <c r="E1754" s="209" t="s">
        <v>93</v>
      </c>
      <c r="F1754" s="206" t="s">
        <v>825</v>
      </c>
      <c r="G1754" s="209" t="s">
        <v>202</v>
      </c>
      <c r="H1754" s="210">
        <v>42213</v>
      </c>
      <c r="I1754" s="209" t="s">
        <v>187</v>
      </c>
      <c r="J1754" s="209" t="s">
        <v>103</v>
      </c>
      <c r="K1754" s="209" t="s">
        <v>5885</v>
      </c>
      <c r="L1754" s="210">
        <v>42213</v>
      </c>
      <c r="M1754" s="206" t="s">
        <v>824</v>
      </c>
      <c r="N1754" s="211" t="s">
        <v>185</v>
      </c>
      <c r="O1754" s="210">
        <v>42213</v>
      </c>
      <c r="P1754" s="212">
        <f t="shared" si="730"/>
        <v>4</v>
      </c>
      <c r="Q1754" s="209" t="s">
        <v>5885</v>
      </c>
      <c r="R1754" s="211" t="s">
        <v>17</v>
      </c>
      <c r="S1754" s="206" t="s">
        <v>5886</v>
      </c>
      <c r="T1754" s="206">
        <v>1104699580</v>
      </c>
      <c r="U1754" s="210">
        <v>42219</v>
      </c>
      <c r="V1754" s="211" t="s">
        <v>6131</v>
      </c>
      <c r="W1754" s="213">
        <f t="shared" si="731"/>
        <v>0</v>
      </c>
      <c r="X1754" s="213" t="str">
        <f t="shared" si="732"/>
        <v>Correcto</v>
      </c>
      <c r="Y1754" s="196"/>
    </row>
    <row r="1755" spans="1:25" ht="18" customHeight="1" x14ac:dyDescent="0.25">
      <c r="A1755" s="214">
        <v>1746</v>
      </c>
      <c r="B1755" s="206" t="s">
        <v>5887</v>
      </c>
      <c r="C1755" s="207">
        <v>42212</v>
      </c>
      <c r="D1755" s="208">
        <v>2</v>
      </c>
      <c r="E1755" s="209" t="s">
        <v>93</v>
      </c>
      <c r="F1755" s="206" t="s">
        <v>825</v>
      </c>
      <c r="G1755" s="209" t="s">
        <v>202</v>
      </c>
      <c r="H1755" s="210">
        <v>42212</v>
      </c>
      <c r="I1755" s="209" t="s">
        <v>187</v>
      </c>
      <c r="J1755" s="209" t="s">
        <v>103</v>
      </c>
      <c r="K1755" s="209" t="s">
        <v>5888</v>
      </c>
      <c r="L1755" s="210">
        <v>42212</v>
      </c>
      <c r="M1755" s="206" t="s">
        <v>824</v>
      </c>
      <c r="N1755" s="211" t="s">
        <v>185</v>
      </c>
      <c r="O1755" s="210">
        <v>42212</v>
      </c>
      <c r="P1755" s="212">
        <f t="shared" si="730"/>
        <v>0</v>
      </c>
      <c r="Q1755" s="209" t="s">
        <v>5888</v>
      </c>
      <c r="R1755" s="211" t="s">
        <v>605</v>
      </c>
      <c r="S1755" s="206" t="s">
        <v>101</v>
      </c>
      <c r="T1755" s="206" t="s">
        <v>6846</v>
      </c>
      <c r="U1755" s="210">
        <v>42214</v>
      </c>
      <c r="V1755" s="211" t="s">
        <v>186</v>
      </c>
      <c r="W1755" s="213">
        <f t="shared" si="731"/>
        <v>0</v>
      </c>
      <c r="X1755" s="213" t="str">
        <f t="shared" si="732"/>
        <v>Correcto</v>
      </c>
    </row>
    <row r="1756" spans="1:25" ht="18" customHeight="1" x14ac:dyDescent="0.25">
      <c r="A1756" s="214">
        <v>1747</v>
      </c>
      <c r="B1756" s="206" t="s">
        <v>5889</v>
      </c>
      <c r="C1756" s="207">
        <v>42212</v>
      </c>
      <c r="D1756" s="208">
        <v>41</v>
      </c>
      <c r="E1756" s="209" t="s">
        <v>93</v>
      </c>
      <c r="F1756" s="206" t="s">
        <v>825</v>
      </c>
      <c r="G1756" s="209" t="s">
        <v>202</v>
      </c>
      <c r="H1756" s="210">
        <v>42212</v>
      </c>
      <c r="I1756" s="209" t="s">
        <v>187</v>
      </c>
      <c r="J1756" s="209" t="s">
        <v>103</v>
      </c>
      <c r="K1756" s="209" t="s">
        <v>5890</v>
      </c>
      <c r="L1756" s="210">
        <v>42212</v>
      </c>
      <c r="M1756" s="206" t="s">
        <v>5462</v>
      </c>
      <c r="N1756" s="211" t="s">
        <v>185</v>
      </c>
      <c r="O1756" s="210">
        <v>42212</v>
      </c>
      <c r="P1756" s="212">
        <f t="shared" si="730"/>
        <v>0</v>
      </c>
      <c r="Q1756" s="209" t="s">
        <v>5891</v>
      </c>
      <c r="R1756" s="211" t="s">
        <v>17</v>
      </c>
      <c r="S1756" s="206" t="s">
        <v>5892</v>
      </c>
      <c r="T1756" s="206" t="s">
        <v>5893</v>
      </c>
      <c r="U1756" s="210">
        <v>42213</v>
      </c>
      <c r="V1756" s="211" t="s">
        <v>186</v>
      </c>
      <c r="W1756" s="213">
        <f t="shared" si="731"/>
        <v>0</v>
      </c>
      <c r="X1756" s="213" t="str">
        <f t="shared" si="732"/>
        <v>Correcto</v>
      </c>
    </row>
    <row r="1757" spans="1:25" ht="18" customHeight="1" x14ac:dyDescent="0.25">
      <c r="A1757" s="214">
        <v>1748</v>
      </c>
      <c r="B1757" s="206" t="s">
        <v>5894</v>
      </c>
      <c r="C1757" s="207">
        <v>42212</v>
      </c>
      <c r="D1757" s="208">
        <v>2</v>
      </c>
      <c r="E1757" s="209" t="s">
        <v>93</v>
      </c>
      <c r="F1757" s="206" t="s">
        <v>825</v>
      </c>
      <c r="G1757" s="209" t="s">
        <v>202</v>
      </c>
      <c r="H1757" s="210">
        <v>42214</v>
      </c>
      <c r="I1757" s="209" t="s">
        <v>187</v>
      </c>
      <c r="J1757" s="209" t="s">
        <v>103</v>
      </c>
      <c r="K1757" s="209" t="s">
        <v>5895</v>
      </c>
      <c r="L1757" s="210">
        <v>42214</v>
      </c>
      <c r="M1757" s="206" t="s">
        <v>824</v>
      </c>
      <c r="N1757" s="211" t="s">
        <v>185</v>
      </c>
      <c r="O1757" s="210">
        <v>42214</v>
      </c>
      <c r="P1757" s="212">
        <f t="shared" si="730"/>
        <v>2</v>
      </c>
      <c r="Q1757" s="209" t="s">
        <v>5895</v>
      </c>
      <c r="R1757" s="211" t="s">
        <v>17</v>
      </c>
      <c r="S1757" s="206" t="s">
        <v>101</v>
      </c>
      <c r="T1757" s="206" t="s">
        <v>101</v>
      </c>
      <c r="U1757" s="210">
        <v>42214</v>
      </c>
      <c r="V1757" s="211" t="s">
        <v>186</v>
      </c>
      <c r="W1757" s="213">
        <f t="shared" si="731"/>
        <v>0</v>
      </c>
      <c r="X1757" s="213" t="str">
        <f t="shared" si="732"/>
        <v>Correcto</v>
      </c>
    </row>
    <row r="1758" spans="1:25" ht="18" customHeight="1" x14ac:dyDescent="0.25">
      <c r="A1758" s="214">
        <v>1749</v>
      </c>
      <c r="B1758" s="206" t="s">
        <v>5896</v>
      </c>
      <c r="C1758" s="207">
        <v>42212</v>
      </c>
      <c r="D1758" s="208">
        <v>2</v>
      </c>
      <c r="E1758" s="209" t="s">
        <v>93</v>
      </c>
      <c r="F1758" s="206" t="s">
        <v>825</v>
      </c>
      <c r="G1758" s="209" t="s">
        <v>202</v>
      </c>
      <c r="H1758" s="210">
        <v>42213</v>
      </c>
      <c r="I1758" s="209" t="s">
        <v>187</v>
      </c>
      <c r="J1758" s="209" t="s">
        <v>103</v>
      </c>
      <c r="K1758" s="209" t="s">
        <v>5897</v>
      </c>
      <c r="L1758" s="210">
        <v>42213</v>
      </c>
      <c r="M1758" s="206" t="s">
        <v>824</v>
      </c>
      <c r="N1758" s="211" t="s">
        <v>185</v>
      </c>
      <c r="O1758" s="210">
        <v>42213</v>
      </c>
      <c r="P1758" s="212">
        <f t="shared" si="730"/>
        <v>1</v>
      </c>
      <c r="Q1758" s="209" t="s">
        <v>5897</v>
      </c>
      <c r="R1758" s="211" t="s">
        <v>17</v>
      </c>
      <c r="S1758" s="206" t="s">
        <v>101</v>
      </c>
      <c r="T1758" s="206" t="s">
        <v>101</v>
      </c>
      <c r="U1758" s="210">
        <v>42214</v>
      </c>
      <c r="V1758" s="211" t="s">
        <v>186</v>
      </c>
      <c r="W1758" s="213">
        <f t="shared" si="731"/>
        <v>0</v>
      </c>
      <c r="X1758" s="213" t="str">
        <f t="shared" si="732"/>
        <v>Correcto</v>
      </c>
    </row>
    <row r="1759" spans="1:25" ht="18" customHeight="1" x14ac:dyDescent="0.25">
      <c r="A1759" s="214">
        <v>1750</v>
      </c>
      <c r="B1759" s="206" t="s">
        <v>5898</v>
      </c>
      <c r="C1759" s="207">
        <v>42212</v>
      </c>
      <c r="D1759" s="208">
        <v>2</v>
      </c>
      <c r="E1759" s="209" t="s">
        <v>93</v>
      </c>
      <c r="F1759" s="206" t="s">
        <v>825</v>
      </c>
      <c r="G1759" s="209" t="s">
        <v>202</v>
      </c>
      <c r="H1759" s="210">
        <v>42213</v>
      </c>
      <c r="I1759" s="209" t="s">
        <v>187</v>
      </c>
      <c r="J1759" s="209" t="s">
        <v>103</v>
      </c>
      <c r="K1759" s="209" t="s">
        <v>5899</v>
      </c>
      <c r="L1759" s="210">
        <v>42213</v>
      </c>
      <c r="M1759" s="206" t="s">
        <v>824</v>
      </c>
      <c r="N1759" s="211" t="s">
        <v>185</v>
      </c>
      <c r="O1759" s="210">
        <v>42213</v>
      </c>
      <c r="P1759" s="212">
        <f t="shared" si="730"/>
        <v>1</v>
      </c>
      <c r="Q1759" s="209" t="s">
        <v>5899</v>
      </c>
      <c r="R1759" s="211" t="s">
        <v>17</v>
      </c>
      <c r="S1759" s="206" t="s">
        <v>101</v>
      </c>
      <c r="T1759" s="206" t="s">
        <v>101</v>
      </c>
      <c r="U1759" s="210">
        <v>42214</v>
      </c>
      <c r="V1759" s="211" t="s">
        <v>186</v>
      </c>
      <c r="W1759" s="213">
        <f t="shared" si="731"/>
        <v>0</v>
      </c>
      <c r="X1759" s="213" t="str">
        <f t="shared" si="732"/>
        <v>Correcto</v>
      </c>
    </row>
    <row r="1760" spans="1:25" ht="18" customHeight="1" x14ac:dyDescent="0.25">
      <c r="A1760" s="214">
        <v>1751</v>
      </c>
      <c r="B1760" s="206" t="s">
        <v>5900</v>
      </c>
      <c r="C1760" s="207">
        <v>42212</v>
      </c>
      <c r="D1760" s="208">
        <v>2</v>
      </c>
      <c r="E1760" s="209" t="s">
        <v>93</v>
      </c>
      <c r="F1760" s="206" t="s">
        <v>825</v>
      </c>
      <c r="G1760" s="209" t="s">
        <v>202</v>
      </c>
      <c r="H1760" s="210">
        <v>42212</v>
      </c>
      <c r="I1760" s="209" t="s">
        <v>187</v>
      </c>
      <c r="J1760" s="209" t="s">
        <v>103</v>
      </c>
      <c r="K1760" s="209" t="s">
        <v>5901</v>
      </c>
      <c r="L1760" s="210">
        <v>42212</v>
      </c>
      <c r="M1760" s="206" t="s">
        <v>824</v>
      </c>
      <c r="N1760" s="211" t="s">
        <v>185</v>
      </c>
      <c r="O1760" s="210">
        <v>42212</v>
      </c>
      <c r="P1760" s="212">
        <f t="shared" si="730"/>
        <v>0</v>
      </c>
      <c r="Q1760" s="209" t="s">
        <v>5901</v>
      </c>
      <c r="R1760" s="211" t="s">
        <v>17</v>
      </c>
      <c r="S1760" s="206" t="s">
        <v>101</v>
      </c>
      <c r="T1760" s="206" t="s">
        <v>953</v>
      </c>
      <c r="U1760" s="210">
        <v>42214</v>
      </c>
      <c r="V1760" s="211" t="s">
        <v>186</v>
      </c>
      <c r="W1760" s="213">
        <f t="shared" si="731"/>
        <v>0</v>
      </c>
      <c r="X1760" s="213" t="str">
        <f t="shared" si="732"/>
        <v>Correcto</v>
      </c>
    </row>
    <row r="1761" spans="1:24" ht="18" customHeight="1" x14ac:dyDescent="0.25">
      <c r="A1761" s="214">
        <v>1752</v>
      </c>
      <c r="B1761" s="206" t="s">
        <v>5902</v>
      </c>
      <c r="C1761" s="207">
        <v>42212</v>
      </c>
      <c r="D1761" s="208">
        <v>2</v>
      </c>
      <c r="E1761" s="209" t="s">
        <v>93</v>
      </c>
      <c r="F1761" s="206" t="s">
        <v>825</v>
      </c>
      <c r="G1761" s="209" t="s">
        <v>202</v>
      </c>
      <c r="H1761" s="210">
        <v>42212</v>
      </c>
      <c r="I1761" s="209" t="s">
        <v>187</v>
      </c>
      <c r="J1761" s="209" t="s">
        <v>103</v>
      </c>
      <c r="K1761" s="209" t="s">
        <v>5903</v>
      </c>
      <c r="L1761" s="210">
        <v>42212</v>
      </c>
      <c r="M1761" s="206" t="s">
        <v>824</v>
      </c>
      <c r="N1761" s="211" t="s">
        <v>185</v>
      </c>
      <c r="O1761" s="210">
        <v>42212</v>
      </c>
      <c r="P1761" s="212">
        <f t="shared" si="730"/>
        <v>0</v>
      </c>
      <c r="Q1761" s="209" t="s">
        <v>5903</v>
      </c>
      <c r="R1761" s="211" t="s">
        <v>17</v>
      </c>
      <c r="S1761" s="206" t="s">
        <v>101</v>
      </c>
      <c r="T1761" s="206" t="s">
        <v>101</v>
      </c>
      <c r="U1761" s="210">
        <v>42214</v>
      </c>
      <c r="V1761" s="211" t="s">
        <v>186</v>
      </c>
      <c r="W1761" s="213">
        <f t="shared" si="731"/>
        <v>0</v>
      </c>
      <c r="X1761" s="213" t="str">
        <f t="shared" si="732"/>
        <v>Correcto</v>
      </c>
    </row>
    <row r="1762" spans="1:24" ht="18" customHeight="1" x14ac:dyDescent="0.25">
      <c r="A1762" s="214">
        <v>1753</v>
      </c>
      <c r="B1762" s="206" t="s">
        <v>5904</v>
      </c>
      <c r="C1762" s="207">
        <v>42212</v>
      </c>
      <c r="D1762" s="208">
        <v>2</v>
      </c>
      <c r="E1762" s="209" t="s">
        <v>93</v>
      </c>
      <c r="F1762" s="206" t="s">
        <v>825</v>
      </c>
      <c r="G1762" s="209" t="s">
        <v>202</v>
      </c>
      <c r="H1762" s="210">
        <v>42213</v>
      </c>
      <c r="I1762" s="209" t="s">
        <v>187</v>
      </c>
      <c r="J1762" s="209" t="s">
        <v>103</v>
      </c>
      <c r="K1762" s="209" t="s">
        <v>5905</v>
      </c>
      <c r="L1762" s="210">
        <v>42213</v>
      </c>
      <c r="M1762" s="206" t="s">
        <v>824</v>
      </c>
      <c r="N1762" s="211" t="s">
        <v>185</v>
      </c>
      <c r="O1762" s="210">
        <v>42213</v>
      </c>
      <c r="P1762" s="212">
        <f t="shared" si="730"/>
        <v>1</v>
      </c>
      <c r="Q1762" s="209" t="s">
        <v>5905</v>
      </c>
      <c r="R1762" s="211" t="s">
        <v>17</v>
      </c>
      <c r="S1762" s="206" t="s">
        <v>5906</v>
      </c>
      <c r="T1762" s="206" t="s">
        <v>5907</v>
      </c>
      <c r="U1762" s="210">
        <v>42213</v>
      </c>
      <c r="V1762" s="211" t="s">
        <v>186</v>
      </c>
      <c r="W1762" s="213">
        <f t="shared" si="731"/>
        <v>0</v>
      </c>
      <c r="X1762" s="213" t="str">
        <f t="shared" si="732"/>
        <v>Correcto</v>
      </c>
    </row>
    <row r="1763" spans="1:24" ht="18" customHeight="1" x14ac:dyDescent="0.25">
      <c r="A1763" s="214">
        <v>1754</v>
      </c>
      <c r="B1763" s="206" t="s">
        <v>5908</v>
      </c>
      <c r="C1763" s="207">
        <v>42212</v>
      </c>
      <c r="D1763" s="208">
        <v>4</v>
      </c>
      <c r="E1763" s="209" t="s">
        <v>93</v>
      </c>
      <c r="F1763" s="206" t="s">
        <v>825</v>
      </c>
      <c r="G1763" s="209" t="s">
        <v>202</v>
      </c>
      <c r="H1763" s="210">
        <v>42212</v>
      </c>
      <c r="I1763" s="209" t="s">
        <v>187</v>
      </c>
      <c r="J1763" s="209" t="s">
        <v>103</v>
      </c>
      <c r="K1763" s="209" t="s">
        <v>5909</v>
      </c>
      <c r="L1763" s="210">
        <v>42212</v>
      </c>
      <c r="M1763" s="206" t="s">
        <v>5462</v>
      </c>
      <c r="N1763" s="211" t="s">
        <v>185</v>
      </c>
      <c r="O1763" s="210">
        <v>42213</v>
      </c>
      <c r="P1763" s="212">
        <f t="shared" si="730"/>
        <v>1</v>
      </c>
      <c r="Q1763" s="209" t="s">
        <v>5910</v>
      </c>
      <c r="R1763" s="211" t="s">
        <v>17</v>
      </c>
      <c r="S1763" s="206" t="s">
        <v>101</v>
      </c>
      <c r="T1763" s="206" t="s">
        <v>101</v>
      </c>
      <c r="U1763" s="210">
        <v>42214</v>
      </c>
      <c r="V1763" s="211" t="s">
        <v>186</v>
      </c>
      <c r="W1763" s="213">
        <f t="shared" si="731"/>
        <v>0</v>
      </c>
      <c r="X1763" s="213" t="str">
        <f t="shared" si="732"/>
        <v>Correcto</v>
      </c>
    </row>
    <row r="1764" spans="1:24" ht="18" customHeight="1" x14ac:dyDescent="0.25">
      <c r="A1764" s="214">
        <v>1755</v>
      </c>
      <c r="B1764" s="206" t="s">
        <v>5911</v>
      </c>
      <c r="C1764" s="207">
        <v>42212</v>
      </c>
      <c r="D1764" s="208">
        <v>2</v>
      </c>
      <c r="E1764" s="209" t="s">
        <v>93</v>
      </c>
      <c r="F1764" s="206" t="s">
        <v>825</v>
      </c>
      <c r="G1764" s="209" t="s">
        <v>202</v>
      </c>
      <c r="H1764" s="210">
        <v>42212</v>
      </c>
      <c r="I1764" s="209" t="s">
        <v>187</v>
      </c>
      <c r="J1764" s="209" t="s">
        <v>103</v>
      </c>
      <c r="K1764" s="209" t="s">
        <v>5912</v>
      </c>
      <c r="L1764" s="210">
        <v>42212</v>
      </c>
      <c r="M1764" s="206" t="s">
        <v>824</v>
      </c>
      <c r="N1764" s="211" t="s">
        <v>185</v>
      </c>
      <c r="O1764" s="210">
        <v>42212</v>
      </c>
      <c r="P1764" s="212">
        <f t="shared" si="730"/>
        <v>0</v>
      </c>
      <c r="Q1764" s="209" t="s">
        <v>5912</v>
      </c>
      <c r="R1764" s="211" t="s">
        <v>17</v>
      </c>
      <c r="S1764" s="206" t="s">
        <v>101</v>
      </c>
      <c r="T1764" s="206" t="s">
        <v>101</v>
      </c>
      <c r="U1764" s="210">
        <v>42214</v>
      </c>
      <c r="V1764" s="211" t="s">
        <v>186</v>
      </c>
      <c r="W1764" s="213">
        <f t="shared" si="731"/>
        <v>0</v>
      </c>
      <c r="X1764" s="213" t="str">
        <f t="shared" si="732"/>
        <v>Correcto</v>
      </c>
    </row>
    <row r="1765" spans="1:24" ht="18" customHeight="1" x14ac:dyDescent="0.25">
      <c r="A1765" s="214">
        <v>1756</v>
      </c>
      <c r="B1765" s="206" t="s">
        <v>5913</v>
      </c>
      <c r="C1765" s="207">
        <v>42212</v>
      </c>
      <c r="D1765" s="208">
        <v>2</v>
      </c>
      <c r="E1765" s="209" t="s">
        <v>93</v>
      </c>
      <c r="F1765" s="206" t="s">
        <v>825</v>
      </c>
      <c r="G1765" s="209" t="s">
        <v>202</v>
      </c>
      <c r="H1765" s="210">
        <v>42212</v>
      </c>
      <c r="I1765" s="209" t="s">
        <v>187</v>
      </c>
      <c r="J1765" s="209" t="s">
        <v>103</v>
      </c>
      <c r="K1765" s="209" t="s">
        <v>5914</v>
      </c>
      <c r="L1765" s="210">
        <v>42212</v>
      </c>
      <c r="M1765" s="206" t="s">
        <v>5462</v>
      </c>
      <c r="N1765" s="211" t="s">
        <v>185</v>
      </c>
      <c r="O1765" s="210">
        <v>42213</v>
      </c>
      <c r="P1765" s="212">
        <f t="shared" si="730"/>
        <v>1</v>
      </c>
      <c r="Q1765" s="209" t="s">
        <v>5915</v>
      </c>
      <c r="R1765" s="211" t="s">
        <v>17</v>
      </c>
      <c r="S1765" s="206" t="s">
        <v>101</v>
      </c>
      <c r="T1765" s="206" t="s">
        <v>101</v>
      </c>
      <c r="U1765" s="210">
        <v>42214</v>
      </c>
      <c r="V1765" s="211" t="s">
        <v>186</v>
      </c>
      <c r="W1765" s="213">
        <f t="shared" si="731"/>
        <v>0</v>
      </c>
      <c r="X1765" s="213" t="str">
        <f t="shared" si="732"/>
        <v>Correcto</v>
      </c>
    </row>
    <row r="1766" spans="1:24" ht="18" customHeight="1" x14ac:dyDescent="0.25">
      <c r="A1766" s="214">
        <v>1757</v>
      </c>
      <c r="B1766" s="206" t="s">
        <v>5916</v>
      </c>
      <c r="C1766" s="207">
        <v>42212</v>
      </c>
      <c r="D1766" s="208">
        <v>2</v>
      </c>
      <c r="E1766" s="209" t="s">
        <v>93</v>
      </c>
      <c r="F1766" s="206" t="s">
        <v>825</v>
      </c>
      <c r="G1766" s="209" t="s">
        <v>202</v>
      </c>
      <c r="H1766" s="210">
        <v>42212</v>
      </c>
      <c r="I1766" s="209" t="s">
        <v>187</v>
      </c>
      <c r="J1766" s="209" t="s">
        <v>103</v>
      </c>
      <c r="K1766" s="209" t="s">
        <v>5917</v>
      </c>
      <c r="L1766" s="210">
        <v>42212</v>
      </c>
      <c r="M1766" s="206" t="s">
        <v>5462</v>
      </c>
      <c r="N1766" s="211" t="s">
        <v>185</v>
      </c>
      <c r="O1766" s="210">
        <v>42213</v>
      </c>
      <c r="P1766" s="212">
        <f t="shared" si="730"/>
        <v>1</v>
      </c>
      <c r="Q1766" s="209" t="s">
        <v>5918</v>
      </c>
      <c r="R1766" s="211" t="s">
        <v>977</v>
      </c>
      <c r="S1766" s="206" t="s">
        <v>1203</v>
      </c>
      <c r="T1766" s="206" t="s">
        <v>6847</v>
      </c>
      <c r="U1766" s="210">
        <v>42214</v>
      </c>
      <c r="V1766" s="211" t="s">
        <v>6131</v>
      </c>
      <c r="W1766" s="213">
        <f t="shared" si="731"/>
        <v>0</v>
      </c>
      <c r="X1766" s="213" t="str">
        <f t="shared" si="732"/>
        <v>Correcto</v>
      </c>
    </row>
    <row r="1767" spans="1:24" ht="18" customHeight="1" x14ac:dyDescent="0.25">
      <c r="A1767" s="214">
        <v>1758</v>
      </c>
      <c r="B1767" s="206" t="s">
        <v>5919</v>
      </c>
      <c r="C1767" s="207">
        <v>42212</v>
      </c>
      <c r="D1767" s="208">
        <v>2</v>
      </c>
      <c r="E1767" s="209" t="s">
        <v>93</v>
      </c>
      <c r="F1767" s="206" t="s">
        <v>825</v>
      </c>
      <c r="G1767" s="209" t="s">
        <v>202</v>
      </c>
      <c r="H1767" s="210">
        <v>42212</v>
      </c>
      <c r="I1767" s="209" t="s">
        <v>187</v>
      </c>
      <c r="J1767" s="209" t="s">
        <v>103</v>
      </c>
      <c r="K1767" s="209" t="s">
        <v>5920</v>
      </c>
      <c r="L1767" s="210">
        <v>42212</v>
      </c>
      <c r="M1767" s="206" t="s">
        <v>824</v>
      </c>
      <c r="N1767" s="211" t="s">
        <v>185</v>
      </c>
      <c r="O1767" s="210">
        <v>42212</v>
      </c>
      <c r="P1767" s="212">
        <f t="shared" si="730"/>
        <v>0</v>
      </c>
      <c r="Q1767" s="209" t="s">
        <v>5920</v>
      </c>
      <c r="R1767" s="211" t="s">
        <v>17</v>
      </c>
      <c r="S1767" s="206" t="s">
        <v>101</v>
      </c>
      <c r="T1767" s="206" t="s">
        <v>101</v>
      </c>
      <c r="U1767" s="210">
        <v>42214</v>
      </c>
      <c r="V1767" s="211" t="s">
        <v>186</v>
      </c>
      <c r="W1767" s="213">
        <f t="shared" si="731"/>
        <v>0</v>
      </c>
      <c r="X1767" s="213" t="str">
        <f t="shared" si="732"/>
        <v>Correcto</v>
      </c>
    </row>
    <row r="1768" spans="1:24" ht="18" customHeight="1" x14ac:dyDescent="0.25">
      <c r="A1768" s="214">
        <v>1759</v>
      </c>
      <c r="B1768" s="206" t="s">
        <v>5921</v>
      </c>
      <c r="C1768" s="207">
        <v>42212</v>
      </c>
      <c r="D1768" s="208">
        <v>18</v>
      </c>
      <c r="E1768" s="209" t="s">
        <v>93</v>
      </c>
      <c r="F1768" s="206" t="s">
        <v>825</v>
      </c>
      <c r="G1768" s="209" t="s">
        <v>202</v>
      </c>
      <c r="H1768" s="210">
        <v>42212</v>
      </c>
      <c r="I1768" s="209" t="s">
        <v>187</v>
      </c>
      <c r="J1768" s="209" t="s">
        <v>103</v>
      </c>
      <c r="K1768" s="209" t="s">
        <v>5922</v>
      </c>
      <c r="L1768" s="210">
        <v>42212</v>
      </c>
      <c r="M1768" s="206" t="s">
        <v>5462</v>
      </c>
      <c r="N1768" s="211" t="s">
        <v>185</v>
      </c>
      <c r="O1768" s="210">
        <v>42213</v>
      </c>
      <c r="P1768" s="212">
        <f t="shared" si="730"/>
        <v>1</v>
      </c>
      <c r="Q1768" s="209" t="s">
        <v>5923</v>
      </c>
      <c r="R1768" s="211" t="s">
        <v>17</v>
      </c>
      <c r="S1768" s="206" t="s">
        <v>101</v>
      </c>
      <c r="T1768" s="206" t="s">
        <v>101</v>
      </c>
      <c r="U1768" s="210">
        <v>42214</v>
      </c>
      <c r="V1768" s="211" t="s">
        <v>186</v>
      </c>
      <c r="W1768" s="213">
        <f t="shared" si="731"/>
        <v>0</v>
      </c>
      <c r="X1768" s="213" t="str">
        <f t="shared" si="732"/>
        <v>Correcto</v>
      </c>
    </row>
    <row r="1769" spans="1:24" ht="18" customHeight="1" x14ac:dyDescent="0.25">
      <c r="A1769" s="214">
        <v>1760</v>
      </c>
      <c r="B1769" s="206" t="s">
        <v>5924</v>
      </c>
      <c r="C1769" s="207">
        <v>42212</v>
      </c>
      <c r="D1769" s="208">
        <v>4</v>
      </c>
      <c r="E1769" s="209" t="s">
        <v>93</v>
      </c>
      <c r="F1769" s="206" t="s">
        <v>825</v>
      </c>
      <c r="G1769" s="209" t="s">
        <v>202</v>
      </c>
      <c r="H1769" s="210">
        <v>42212</v>
      </c>
      <c r="I1769" s="209" t="s">
        <v>187</v>
      </c>
      <c r="J1769" s="209" t="s">
        <v>103</v>
      </c>
      <c r="K1769" s="209" t="s">
        <v>5925</v>
      </c>
      <c r="L1769" s="210">
        <v>42212</v>
      </c>
      <c r="M1769" s="206" t="s">
        <v>5462</v>
      </c>
      <c r="N1769" s="211" t="s">
        <v>185</v>
      </c>
      <c r="O1769" s="210">
        <v>42213</v>
      </c>
      <c r="P1769" s="212">
        <f t="shared" si="730"/>
        <v>1</v>
      </c>
      <c r="Q1769" s="209" t="s">
        <v>5926</v>
      </c>
      <c r="R1769" s="211" t="s">
        <v>17</v>
      </c>
      <c r="S1769" s="206" t="s">
        <v>101</v>
      </c>
      <c r="T1769" s="206" t="s">
        <v>101</v>
      </c>
      <c r="U1769" s="210">
        <v>42214</v>
      </c>
      <c r="V1769" s="211" t="s">
        <v>186</v>
      </c>
      <c r="W1769" s="213">
        <f t="shared" si="731"/>
        <v>0</v>
      </c>
      <c r="X1769" s="213" t="str">
        <f t="shared" si="732"/>
        <v>Correcto</v>
      </c>
    </row>
    <row r="1770" spans="1:24" ht="18" customHeight="1" x14ac:dyDescent="0.25">
      <c r="A1770" s="214">
        <v>1761</v>
      </c>
      <c r="B1770" s="206" t="s">
        <v>5927</v>
      </c>
      <c r="C1770" s="207">
        <v>42212</v>
      </c>
      <c r="D1770" s="208">
        <v>2</v>
      </c>
      <c r="E1770" s="209" t="s">
        <v>93</v>
      </c>
      <c r="F1770" s="206" t="s">
        <v>825</v>
      </c>
      <c r="G1770" s="209" t="s">
        <v>202</v>
      </c>
      <c r="H1770" s="210">
        <v>42212</v>
      </c>
      <c r="I1770" s="209" t="s">
        <v>187</v>
      </c>
      <c r="J1770" s="209" t="s">
        <v>103</v>
      </c>
      <c r="K1770" s="209" t="s">
        <v>5928</v>
      </c>
      <c r="L1770" s="210">
        <v>42212</v>
      </c>
      <c r="M1770" s="206" t="s">
        <v>5462</v>
      </c>
      <c r="N1770" s="211" t="s">
        <v>185</v>
      </c>
      <c r="O1770" s="210">
        <v>42212</v>
      </c>
      <c r="P1770" s="212">
        <f t="shared" si="730"/>
        <v>0</v>
      </c>
      <c r="Q1770" s="209" t="s">
        <v>5929</v>
      </c>
      <c r="R1770" s="211" t="s">
        <v>17</v>
      </c>
      <c r="S1770" s="206" t="s">
        <v>101</v>
      </c>
      <c r="T1770" s="206" t="s">
        <v>101</v>
      </c>
      <c r="U1770" s="210">
        <v>42214</v>
      </c>
      <c r="V1770" s="211" t="s">
        <v>186</v>
      </c>
      <c r="W1770" s="213">
        <f t="shared" si="731"/>
        <v>0</v>
      </c>
      <c r="X1770" s="213" t="str">
        <f t="shared" si="732"/>
        <v>Correcto</v>
      </c>
    </row>
    <row r="1771" spans="1:24" ht="18" customHeight="1" x14ac:dyDescent="0.25">
      <c r="A1771" s="214">
        <v>1762</v>
      </c>
      <c r="B1771" s="206" t="s">
        <v>5930</v>
      </c>
      <c r="C1771" s="207">
        <v>42212</v>
      </c>
      <c r="D1771" s="208">
        <v>2</v>
      </c>
      <c r="E1771" s="209" t="s">
        <v>93</v>
      </c>
      <c r="F1771" s="206" t="s">
        <v>825</v>
      </c>
      <c r="G1771" s="209" t="s">
        <v>202</v>
      </c>
      <c r="H1771" s="210">
        <v>42212</v>
      </c>
      <c r="I1771" s="209" t="s">
        <v>187</v>
      </c>
      <c r="J1771" s="209" t="s">
        <v>103</v>
      </c>
      <c r="K1771" s="209" t="s">
        <v>5931</v>
      </c>
      <c r="L1771" s="210">
        <v>42212</v>
      </c>
      <c r="M1771" s="206" t="s">
        <v>5462</v>
      </c>
      <c r="N1771" s="211" t="s">
        <v>185</v>
      </c>
      <c r="O1771" s="210">
        <v>42213</v>
      </c>
      <c r="P1771" s="212">
        <f t="shared" si="730"/>
        <v>1</v>
      </c>
      <c r="Q1771" s="209" t="s">
        <v>5932</v>
      </c>
      <c r="R1771" s="211" t="s">
        <v>17</v>
      </c>
      <c r="S1771" s="206" t="s">
        <v>996</v>
      </c>
      <c r="T1771" s="206" t="s">
        <v>101</v>
      </c>
      <c r="U1771" s="210" t="s">
        <v>101</v>
      </c>
      <c r="V1771" s="211" t="s">
        <v>186</v>
      </c>
      <c r="W1771" s="213">
        <f t="shared" si="731"/>
        <v>0</v>
      </c>
      <c r="X1771" s="213" t="str">
        <f t="shared" si="732"/>
        <v>Correcto</v>
      </c>
    </row>
    <row r="1772" spans="1:24" ht="18" customHeight="1" x14ac:dyDescent="0.25">
      <c r="A1772" s="214">
        <v>1763</v>
      </c>
      <c r="B1772" s="206" t="s">
        <v>5933</v>
      </c>
      <c r="C1772" s="207">
        <v>42212</v>
      </c>
      <c r="D1772" s="208">
        <v>2</v>
      </c>
      <c r="E1772" s="209" t="s">
        <v>93</v>
      </c>
      <c r="F1772" s="206" t="s">
        <v>825</v>
      </c>
      <c r="G1772" s="209" t="s">
        <v>202</v>
      </c>
      <c r="H1772" s="210">
        <v>42212</v>
      </c>
      <c r="I1772" s="209" t="s">
        <v>187</v>
      </c>
      <c r="J1772" s="209" t="s">
        <v>103</v>
      </c>
      <c r="K1772" s="209" t="s">
        <v>5934</v>
      </c>
      <c r="L1772" s="210">
        <v>42212</v>
      </c>
      <c r="M1772" s="206" t="s">
        <v>824</v>
      </c>
      <c r="N1772" s="211" t="s">
        <v>185</v>
      </c>
      <c r="O1772" s="210">
        <v>42214</v>
      </c>
      <c r="P1772" s="212">
        <f t="shared" si="730"/>
        <v>2</v>
      </c>
      <c r="Q1772" s="209" t="s">
        <v>5934</v>
      </c>
      <c r="R1772" s="211" t="s">
        <v>17</v>
      </c>
      <c r="S1772" s="206" t="s">
        <v>101</v>
      </c>
      <c r="T1772" s="206" t="s">
        <v>101</v>
      </c>
      <c r="U1772" s="210">
        <v>42214</v>
      </c>
      <c r="V1772" s="211" t="s">
        <v>186</v>
      </c>
      <c r="W1772" s="213">
        <f t="shared" si="731"/>
        <v>0</v>
      </c>
      <c r="X1772" s="213" t="str">
        <f t="shared" si="732"/>
        <v>Correcto</v>
      </c>
    </row>
    <row r="1773" spans="1:24" ht="18" customHeight="1" x14ac:dyDescent="0.25">
      <c r="A1773" s="214">
        <v>1764</v>
      </c>
      <c r="B1773" s="206" t="s">
        <v>5935</v>
      </c>
      <c r="C1773" s="207">
        <v>42212</v>
      </c>
      <c r="D1773" s="208">
        <v>3</v>
      </c>
      <c r="E1773" s="209" t="s">
        <v>93</v>
      </c>
      <c r="F1773" s="206" t="s">
        <v>825</v>
      </c>
      <c r="G1773" s="209" t="s">
        <v>202</v>
      </c>
      <c r="H1773" s="210">
        <v>42212</v>
      </c>
      <c r="I1773" s="209" t="s">
        <v>187</v>
      </c>
      <c r="J1773" s="209" t="s">
        <v>103</v>
      </c>
      <c r="K1773" s="209" t="s">
        <v>5936</v>
      </c>
      <c r="L1773" s="210">
        <v>42212</v>
      </c>
      <c r="M1773" s="206" t="s">
        <v>5462</v>
      </c>
      <c r="N1773" s="211" t="s">
        <v>185</v>
      </c>
      <c r="O1773" s="210">
        <v>42213</v>
      </c>
      <c r="P1773" s="212">
        <f t="shared" si="730"/>
        <v>1</v>
      </c>
      <c r="Q1773" s="209" t="s">
        <v>5937</v>
      </c>
      <c r="R1773" s="211" t="s">
        <v>2438</v>
      </c>
      <c r="S1773" s="206" t="s">
        <v>3194</v>
      </c>
      <c r="T1773" s="206" t="s">
        <v>6848</v>
      </c>
      <c r="U1773" s="210">
        <v>42214</v>
      </c>
      <c r="V1773" s="211" t="s">
        <v>186</v>
      </c>
      <c r="W1773" s="213">
        <f t="shared" si="731"/>
        <v>0</v>
      </c>
      <c r="X1773" s="213" t="str">
        <f t="shared" si="732"/>
        <v>Correcto</v>
      </c>
    </row>
    <row r="1774" spans="1:24" ht="18" customHeight="1" x14ac:dyDescent="0.25">
      <c r="A1774" s="214">
        <v>1765</v>
      </c>
      <c r="B1774" s="206" t="s">
        <v>5938</v>
      </c>
      <c r="C1774" s="207">
        <v>42212</v>
      </c>
      <c r="D1774" s="208">
        <v>2</v>
      </c>
      <c r="E1774" s="209" t="s">
        <v>93</v>
      </c>
      <c r="F1774" s="206" t="s">
        <v>825</v>
      </c>
      <c r="G1774" s="209" t="s">
        <v>202</v>
      </c>
      <c r="H1774" s="210">
        <v>42212</v>
      </c>
      <c r="I1774" s="209" t="s">
        <v>187</v>
      </c>
      <c r="J1774" s="209" t="s">
        <v>103</v>
      </c>
      <c r="K1774" s="209" t="s">
        <v>5939</v>
      </c>
      <c r="L1774" s="210">
        <v>42212</v>
      </c>
      <c r="M1774" s="206" t="s">
        <v>824</v>
      </c>
      <c r="N1774" s="211" t="s">
        <v>185</v>
      </c>
      <c r="O1774" s="210">
        <v>42212</v>
      </c>
      <c r="P1774" s="212">
        <f t="shared" si="730"/>
        <v>0</v>
      </c>
      <c r="Q1774" s="209" t="s">
        <v>5939</v>
      </c>
      <c r="R1774" s="211" t="s">
        <v>17</v>
      </c>
      <c r="S1774" s="206" t="s">
        <v>101</v>
      </c>
      <c r="T1774" s="206" t="s">
        <v>101</v>
      </c>
      <c r="U1774" s="210">
        <v>42214</v>
      </c>
      <c r="V1774" s="211" t="s">
        <v>186</v>
      </c>
      <c r="W1774" s="213">
        <f t="shared" si="731"/>
        <v>0</v>
      </c>
      <c r="X1774" s="213" t="str">
        <f t="shared" si="732"/>
        <v>Correcto</v>
      </c>
    </row>
    <row r="1775" spans="1:24" ht="18" customHeight="1" x14ac:dyDescent="0.25">
      <c r="A1775" s="214">
        <v>1766</v>
      </c>
      <c r="B1775" s="206" t="s">
        <v>5940</v>
      </c>
      <c r="C1775" s="207">
        <v>42212</v>
      </c>
      <c r="D1775" s="208">
        <v>2</v>
      </c>
      <c r="E1775" s="209" t="s">
        <v>93</v>
      </c>
      <c r="F1775" s="206" t="s">
        <v>825</v>
      </c>
      <c r="G1775" s="209" t="s">
        <v>202</v>
      </c>
      <c r="H1775" s="210">
        <v>42212</v>
      </c>
      <c r="I1775" s="209" t="s">
        <v>187</v>
      </c>
      <c r="J1775" s="209" t="s">
        <v>103</v>
      </c>
      <c r="K1775" s="209" t="s">
        <v>5941</v>
      </c>
      <c r="L1775" s="210">
        <v>42213</v>
      </c>
      <c r="M1775" s="206" t="s">
        <v>824</v>
      </c>
      <c r="N1775" s="211" t="s">
        <v>185</v>
      </c>
      <c r="O1775" s="210">
        <v>42213</v>
      </c>
      <c r="P1775" s="212">
        <f t="shared" si="730"/>
        <v>1</v>
      </c>
      <c r="Q1775" s="209" t="s">
        <v>5941</v>
      </c>
      <c r="R1775" s="211" t="s">
        <v>17</v>
      </c>
      <c r="S1775" s="206" t="s">
        <v>5942</v>
      </c>
      <c r="T1775" s="206" t="s">
        <v>5943</v>
      </c>
      <c r="U1775" s="210">
        <v>42214</v>
      </c>
      <c r="V1775" s="211" t="s">
        <v>186</v>
      </c>
      <c r="W1775" s="213">
        <f t="shared" si="731"/>
        <v>0</v>
      </c>
      <c r="X1775" s="213" t="str">
        <f t="shared" si="732"/>
        <v>Correcto</v>
      </c>
    </row>
    <row r="1776" spans="1:24" ht="18" customHeight="1" x14ac:dyDescent="0.25">
      <c r="A1776" s="214">
        <v>1767</v>
      </c>
      <c r="B1776" s="206" t="s">
        <v>5944</v>
      </c>
      <c r="C1776" s="207">
        <v>42212</v>
      </c>
      <c r="D1776" s="208">
        <v>2</v>
      </c>
      <c r="E1776" s="209" t="s">
        <v>93</v>
      </c>
      <c r="F1776" s="206" t="s">
        <v>825</v>
      </c>
      <c r="G1776" s="209" t="s">
        <v>202</v>
      </c>
      <c r="H1776" s="210">
        <v>42212</v>
      </c>
      <c r="I1776" s="209" t="s">
        <v>187</v>
      </c>
      <c r="J1776" s="209" t="s">
        <v>103</v>
      </c>
      <c r="K1776" s="209" t="s">
        <v>5945</v>
      </c>
      <c r="L1776" s="210">
        <v>42213</v>
      </c>
      <c r="M1776" s="206" t="s">
        <v>824</v>
      </c>
      <c r="N1776" s="211" t="s">
        <v>185</v>
      </c>
      <c r="O1776" s="210">
        <v>42213</v>
      </c>
      <c r="P1776" s="212">
        <f t="shared" si="730"/>
        <v>1</v>
      </c>
      <c r="Q1776" s="209" t="s">
        <v>5945</v>
      </c>
      <c r="R1776" s="211" t="s">
        <v>17</v>
      </c>
      <c r="S1776" s="206" t="s">
        <v>5946</v>
      </c>
      <c r="T1776" s="206" t="s">
        <v>5947</v>
      </c>
      <c r="U1776" s="210">
        <v>42200</v>
      </c>
      <c r="V1776" s="211" t="s">
        <v>186</v>
      </c>
      <c r="W1776" s="213">
        <f t="shared" si="731"/>
        <v>0</v>
      </c>
      <c r="X1776" s="213" t="str">
        <f t="shared" si="732"/>
        <v>Correcto</v>
      </c>
    </row>
    <row r="1777" spans="1:24" ht="18" customHeight="1" x14ac:dyDescent="0.25">
      <c r="A1777" s="214">
        <v>1768</v>
      </c>
      <c r="B1777" s="206" t="s">
        <v>5948</v>
      </c>
      <c r="C1777" s="207">
        <v>42212</v>
      </c>
      <c r="D1777" s="208">
        <v>2</v>
      </c>
      <c r="E1777" s="209" t="s">
        <v>93</v>
      </c>
      <c r="F1777" s="206" t="s">
        <v>825</v>
      </c>
      <c r="G1777" s="209" t="s">
        <v>202</v>
      </c>
      <c r="H1777" s="210">
        <v>42212</v>
      </c>
      <c r="I1777" s="209" t="s">
        <v>187</v>
      </c>
      <c r="J1777" s="209" t="s">
        <v>103</v>
      </c>
      <c r="K1777" s="209" t="s">
        <v>5949</v>
      </c>
      <c r="L1777" s="210">
        <v>42213</v>
      </c>
      <c r="M1777" s="206" t="s">
        <v>824</v>
      </c>
      <c r="N1777" s="211" t="s">
        <v>185</v>
      </c>
      <c r="O1777" s="210">
        <v>42213</v>
      </c>
      <c r="P1777" s="212">
        <f t="shared" si="730"/>
        <v>1</v>
      </c>
      <c r="Q1777" s="209" t="s">
        <v>5949</v>
      </c>
      <c r="R1777" s="211" t="s">
        <v>17</v>
      </c>
      <c r="S1777" s="206" t="s">
        <v>5950</v>
      </c>
      <c r="T1777" s="206" t="s">
        <v>5951</v>
      </c>
      <c r="U1777" s="210">
        <v>42213</v>
      </c>
      <c r="V1777" s="211" t="s">
        <v>186</v>
      </c>
      <c r="W1777" s="213">
        <f t="shared" si="731"/>
        <v>0</v>
      </c>
      <c r="X1777" s="213" t="str">
        <f t="shared" si="732"/>
        <v>Correcto</v>
      </c>
    </row>
    <row r="1778" spans="1:24" ht="18" customHeight="1" x14ac:dyDescent="0.25">
      <c r="A1778" s="214">
        <v>1769</v>
      </c>
      <c r="B1778" s="206" t="s">
        <v>5952</v>
      </c>
      <c r="C1778" s="207">
        <v>42212</v>
      </c>
      <c r="D1778" s="208">
        <v>2</v>
      </c>
      <c r="E1778" s="209" t="s">
        <v>93</v>
      </c>
      <c r="F1778" s="206" t="s">
        <v>825</v>
      </c>
      <c r="G1778" s="209" t="s">
        <v>202</v>
      </c>
      <c r="H1778" s="210">
        <v>42212</v>
      </c>
      <c r="I1778" s="209" t="s">
        <v>187</v>
      </c>
      <c r="J1778" s="209" t="s">
        <v>103</v>
      </c>
      <c r="K1778" s="209" t="s">
        <v>5953</v>
      </c>
      <c r="L1778" s="210">
        <v>42213</v>
      </c>
      <c r="M1778" s="206" t="s">
        <v>824</v>
      </c>
      <c r="N1778" s="211" t="s">
        <v>185</v>
      </c>
      <c r="O1778" s="210">
        <v>42213</v>
      </c>
      <c r="P1778" s="212">
        <f t="shared" si="730"/>
        <v>1</v>
      </c>
      <c r="Q1778" s="209" t="s">
        <v>5953</v>
      </c>
      <c r="R1778" s="211" t="s">
        <v>17</v>
      </c>
      <c r="S1778" s="206" t="s">
        <v>5954</v>
      </c>
      <c r="T1778" s="206" t="s">
        <v>5955</v>
      </c>
      <c r="U1778" s="210">
        <v>42213</v>
      </c>
      <c r="V1778" s="211" t="s">
        <v>186</v>
      </c>
      <c r="W1778" s="213">
        <f t="shared" si="731"/>
        <v>0</v>
      </c>
      <c r="X1778" s="213" t="str">
        <f t="shared" si="732"/>
        <v>Correcto</v>
      </c>
    </row>
    <row r="1779" spans="1:24" ht="18" customHeight="1" x14ac:dyDescent="0.25">
      <c r="A1779" s="214">
        <v>1770</v>
      </c>
      <c r="B1779" s="206" t="s">
        <v>5956</v>
      </c>
      <c r="C1779" s="207">
        <v>42212</v>
      </c>
      <c r="D1779" s="208">
        <v>2</v>
      </c>
      <c r="E1779" s="209" t="s">
        <v>93</v>
      </c>
      <c r="F1779" s="206" t="s">
        <v>825</v>
      </c>
      <c r="G1779" s="209" t="s">
        <v>202</v>
      </c>
      <c r="H1779" s="210">
        <v>42212</v>
      </c>
      <c r="I1779" s="209" t="s">
        <v>187</v>
      </c>
      <c r="J1779" s="209" t="s">
        <v>103</v>
      </c>
      <c r="K1779" s="209" t="s">
        <v>5957</v>
      </c>
      <c r="L1779" s="210">
        <v>42213</v>
      </c>
      <c r="M1779" s="206" t="s">
        <v>824</v>
      </c>
      <c r="N1779" s="211" t="s">
        <v>185</v>
      </c>
      <c r="O1779" s="210">
        <v>42213</v>
      </c>
      <c r="P1779" s="212">
        <f t="shared" si="730"/>
        <v>1</v>
      </c>
      <c r="Q1779" s="209" t="s">
        <v>5957</v>
      </c>
      <c r="R1779" s="211" t="s">
        <v>501</v>
      </c>
      <c r="S1779" s="206" t="s">
        <v>5958</v>
      </c>
      <c r="T1779" s="206" t="s">
        <v>6849</v>
      </c>
      <c r="U1779" s="210">
        <v>42214</v>
      </c>
      <c r="V1779" s="211" t="s">
        <v>186</v>
      </c>
      <c r="W1779" s="213">
        <f t="shared" si="731"/>
        <v>0</v>
      </c>
      <c r="X1779" s="213" t="str">
        <f t="shared" si="732"/>
        <v>Correcto</v>
      </c>
    </row>
    <row r="1780" spans="1:24" ht="18" customHeight="1" x14ac:dyDescent="0.25">
      <c r="A1780" s="214">
        <v>1771</v>
      </c>
      <c r="B1780" s="206" t="s">
        <v>5959</v>
      </c>
      <c r="C1780" s="207">
        <v>42212</v>
      </c>
      <c r="D1780" s="208">
        <v>2</v>
      </c>
      <c r="E1780" s="209" t="s">
        <v>93</v>
      </c>
      <c r="F1780" s="206" t="s">
        <v>825</v>
      </c>
      <c r="G1780" s="209" t="s">
        <v>202</v>
      </c>
      <c r="H1780" s="210">
        <v>42212</v>
      </c>
      <c r="I1780" s="209" t="s">
        <v>187</v>
      </c>
      <c r="J1780" s="209" t="s">
        <v>103</v>
      </c>
      <c r="K1780" s="209" t="s">
        <v>5960</v>
      </c>
      <c r="L1780" s="210">
        <v>42212</v>
      </c>
      <c r="M1780" s="206" t="s">
        <v>5462</v>
      </c>
      <c r="N1780" s="211" t="s">
        <v>185</v>
      </c>
      <c r="O1780" s="210">
        <v>42213</v>
      </c>
      <c r="P1780" s="212">
        <f t="shared" si="730"/>
        <v>1</v>
      </c>
      <c r="Q1780" s="209" t="s">
        <v>5961</v>
      </c>
      <c r="R1780" s="211" t="s">
        <v>17</v>
      </c>
      <c r="S1780" s="206" t="s">
        <v>5962</v>
      </c>
      <c r="T1780" s="206" t="s">
        <v>5963</v>
      </c>
      <c r="U1780" s="210">
        <v>42214</v>
      </c>
      <c r="V1780" s="211" t="s">
        <v>186</v>
      </c>
      <c r="W1780" s="213">
        <f t="shared" si="731"/>
        <v>0</v>
      </c>
      <c r="X1780" s="213" t="str">
        <f t="shared" si="732"/>
        <v>Correcto</v>
      </c>
    </row>
    <row r="1781" spans="1:24" ht="18" customHeight="1" x14ac:dyDescent="0.25">
      <c r="A1781" s="214">
        <v>1772</v>
      </c>
      <c r="B1781" s="206" t="s">
        <v>5964</v>
      </c>
      <c r="C1781" s="207">
        <v>42213</v>
      </c>
      <c r="D1781" s="208">
        <v>2</v>
      </c>
      <c r="E1781" s="209" t="s">
        <v>93</v>
      </c>
      <c r="F1781" s="206" t="s">
        <v>825</v>
      </c>
      <c r="G1781" s="209" t="s">
        <v>202</v>
      </c>
      <c r="H1781" s="210">
        <v>42213</v>
      </c>
      <c r="I1781" s="209" t="s">
        <v>187</v>
      </c>
      <c r="J1781" s="209" t="s">
        <v>103</v>
      </c>
      <c r="K1781" s="209" t="s">
        <v>5965</v>
      </c>
      <c r="L1781" s="210">
        <v>42214</v>
      </c>
      <c r="M1781" s="206" t="s">
        <v>824</v>
      </c>
      <c r="N1781" s="211" t="s">
        <v>185</v>
      </c>
      <c r="O1781" s="210">
        <v>42214</v>
      </c>
      <c r="P1781" s="212">
        <f t="shared" si="730"/>
        <v>1</v>
      </c>
      <c r="Q1781" s="209" t="s">
        <v>5965</v>
      </c>
      <c r="R1781" s="211" t="s">
        <v>17</v>
      </c>
      <c r="S1781" s="206" t="s">
        <v>101</v>
      </c>
      <c r="T1781" s="206" t="s">
        <v>101</v>
      </c>
      <c r="U1781" s="210">
        <v>42215</v>
      </c>
      <c r="V1781" s="211" t="s">
        <v>186</v>
      </c>
      <c r="W1781" s="213">
        <f t="shared" ref="W1781:W1844" si="736">COUNTBLANK(C1781:V1781)</f>
        <v>0</v>
      </c>
      <c r="X1781" s="213" t="str">
        <f t="shared" ref="X1781:X1844" si="737">IF(W1781=0,"Correcto","Incorrecto")</f>
        <v>Correcto</v>
      </c>
    </row>
    <row r="1782" spans="1:24" ht="18" customHeight="1" x14ac:dyDescent="0.25">
      <c r="A1782" s="214">
        <v>1773</v>
      </c>
      <c r="B1782" s="206" t="s">
        <v>5966</v>
      </c>
      <c r="C1782" s="207">
        <v>42213</v>
      </c>
      <c r="D1782" s="208">
        <v>2</v>
      </c>
      <c r="E1782" s="209" t="s">
        <v>93</v>
      </c>
      <c r="F1782" s="206" t="s">
        <v>825</v>
      </c>
      <c r="G1782" s="209" t="s">
        <v>202</v>
      </c>
      <c r="H1782" s="210">
        <v>42213</v>
      </c>
      <c r="I1782" s="209" t="s">
        <v>187</v>
      </c>
      <c r="J1782" s="209" t="s">
        <v>103</v>
      </c>
      <c r="K1782" s="209" t="s">
        <v>5967</v>
      </c>
      <c r="L1782" s="210">
        <v>42214</v>
      </c>
      <c r="M1782" s="206" t="s">
        <v>824</v>
      </c>
      <c r="N1782" s="211" t="s">
        <v>185</v>
      </c>
      <c r="O1782" s="210">
        <v>42214</v>
      </c>
      <c r="P1782" s="212">
        <f t="shared" si="730"/>
        <v>1</v>
      </c>
      <c r="Q1782" s="209" t="s">
        <v>5967</v>
      </c>
      <c r="R1782" s="211" t="s">
        <v>17</v>
      </c>
      <c r="S1782" s="206" t="s">
        <v>101</v>
      </c>
      <c r="T1782" s="206" t="s">
        <v>101</v>
      </c>
      <c r="U1782" s="210">
        <v>42215</v>
      </c>
      <c r="V1782" s="211" t="s">
        <v>186</v>
      </c>
      <c r="W1782" s="213">
        <f t="shared" si="736"/>
        <v>0</v>
      </c>
      <c r="X1782" s="213" t="str">
        <f t="shared" si="737"/>
        <v>Correcto</v>
      </c>
    </row>
    <row r="1783" spans="1:24" ht="18" customHeight="1" x14ac:dyDescent="0.25">
      <c r="A1783" s="214">
        <v>1774</v>
      </c>
      <c r="B1783" s="206" t="s">
        <v>5968</v>
      </c>
      <c r="C1783" s="207">
        <v>42213</v>
      </c>
      <c r="D1783" s="208">
        <v>2</v>
      </c>
      <c r="E1783" s="209" t="s">
        <v>93</v>
      </c>
      <c r="F1783" s="206" t="s">
        <v>825</v>
      </c>
      <c r="G1783" s="209" t="s">
        <v>202</v>
      </c>
      <c r="H1783" s="210">
        <v>42213</v>
      </c>
      <c r="I1783" s="209" t="s">
        <v>187</v>
      </c>
      <c r="J1783" s="209" t="s">
        <v>103</v>
      </c>
      <c r="K1783" s="209" t="s">
        <v>5969</v>
      </c>
      <c r="L1783" s="210">
        <v>42214</v>
      </c>
      <c r="M1783" s="206" t="s">
        <v>824</v>
      </c>
      <c r="N1783" s="211" t="s">
        <v>185</v>
      </c>
      <c r="O1783" s="210">
        <v>42214</v>
      </c>
      <c r="P1783" s="212">
        <f t="shared" ref="P1783:P1846" si="738">O1783-C1783</f>
        <v>1</v>
      </c>
      <c r="Q1783" s="209" t="s">
        <v>5969</v>
      </c>
      <c r="R1783" s="211" t="s">
        <v>17</v>
      </c>
      <c r="S1783" s="206" t="s">
        <v>101</v>
      </c>
      <c r="T1783" s="206" t="s">
        <v>101</v>
      </c>
      <c r="U1783" s="210">
        <v>42215</v>
      </c>
      <c r="V1783" s="211" t="s">
        <v>186</v>
      </c>
      <c r="W1783" s="213">
        <f t="shared" si="736"/>
        <v>0</v>
      </c>
      <c r="X1783" s="213" t="str">
        <f t="shared" si="737"/>
        <v>Correcto</v>
      </c>
    </row>
    <row r="1784" spans="1:24" ht="18" customHeight="1" x14ac:dyDescent="0.25">
      <c r="A1784" s="214">
        <v>1775</v>
      </c>
      <c r="B1784" s="206" t="s">
        <v>5970</v>
      </c>
      <c r="C1784" s="207">
        <v>42213</v>
      </c>
      <c r="D1784" s="208">
        <v>2</v>
      </c>
      <c r="E1784" s="209" t="s">
        <v>93</v>
      </c>
      <c r="F1784" s="206" t="s">
        <v>825</v>
      </c>
      <c r="G1784" s="209" t="s">
        <v>202</v>
      </c>
      <c r="H1784" s="210">
        <v>42213</v>
      </c>
      <c r="I1784" s="209" t="s">
        <v>187</v>
      </c>
      <c r="J1784" s="209" t="s">
        <v>103</v>
      </c>
      <c r="K1784" s="209" t="s">
        <v>5971</v>
      </c>
      <c r="L1784" s="210">
        <v>42214</v>
      </c>
      <c r="M1784" s="206" t="s">
        <v>824</v>
      </c>
      <c r="N1784" s="211" t="s">
        <v>185</v>
      </c>
      <c r="O1784" s="210">
        <v>42214</v>
      </c>
      <c r="P1784" s="212">
        <f t="shared" si="738"/>
        <v>1</v>
      </c>
      <c r="Q1784" s="209" t="s">
        <v>5971</v>
      </c>
      <c r="R1784" s="211" t="s">
        <v>17</v>
      </c>
      <c r="S1784" s="206" t="s">
        <v>101</v>
      </c>
      <c r="T1784" s="206" t="s">
        <v>101</v>
      </c>
      <c r="U1784" s="210">
        <v>42215</v>
      </c>
      <c r="V1784" s="211" t="s">
        <v>186</v>
      </c>
      <c r="W1784" s="213">
        <f t="shared" si="736"/>
        <v>0</v>
      </c>
      <c r="X1784" s="213" t="str">
        <f t="shared" si="737"/>
        <v>Correcto</v>
      </c>
    </row>
    <row r="1785" spans="1:24" ht="18" customHeight="1" x14ac:dyDescent="0.25">
      <c r="A1785" s="214">
        <v>1776</v>
      </c>
      <c r="B1785" s="206" t="s">
        <v>5972</v>
      </c>
      <c r="C1785" s="207">
        <v>42213</v>
      </c>
      <c r="D1785" s="208">
        <v>2</v>
      </c>
      <c r="E1785" s="209" t="s">
        <v>93</v>
      </c>
      <c r="F1785" s="206" t="s">
        <v>825</v>
      </c>
      <c r="G1785" s="209" t="s">
        <v>202</v>
      </c>
      <c r="H1785" s="210">
        <v>42213</v>
      </c>
      <c r="I1785" s="209" t="s">
        <v>187</v>
      </c>
      <c r="J1785" s="209" t="s">
        <v>103</v>
      </c>
      <c r="K1785" s="209" t="s">
        <v>5973</v>
      </c>
      <c r="L1785" s="210">
        <v>42214</v>
      </c>
      <c r="M1785" s="206" t="s">
        <v>824</v>
      </c>
      <c r="N1785" s="211" t="s">
        <v>185</v>
      </c>
      <c r="O1785" s="210">
        <v>42214</v>
      </c>
      <c r="P1785" s="212">
        <f t="shared" si="738"/>
        <v>1</v>
      </c>
      <c r="Q1785" s="209" t="s">
        <v>5974</v>
      </c>
      <c r="R1785" s="211" t="s">
        <v>17</v>
      </c>
      <c r="S1785" s="206" t="s">
        <v>104</v>
      </c>
      <c r="T1785" s="206" t="s">
        <v>5975</v>
      </c>
      <c r="U1785" s="210">
        <v>42215</v>
      </c>
      <c r="V1785" s="211" t="s">
        <v>186</v>
      </c>
      <c r="W1785" s="213">
        <f t="shared" si="736"/>
        <v>0</v>
      </c>
      <c r="X1785" s="213" t="str">
        <f t="shared" si="737"/>
        <v>Correcto</v>
      </c>
    </row>
    <row r="1786" spans="1:24" ht="18" customHeight="1" x14ac:dyDescent="0.25">
      <c r="A1786" s="214">
        <v>1777</v>
      </c>
      <c r="B1786" s="206" t="s">
        <v>5976</v>
      </c>
      <c r="C1786" s="207">
        <v>42213</v>
      </c>
      <c r="D1786" s="208">
        <v>2</v>
      </c>
      <c r="E1786" s="209" t="s">
        <v>93</v>
      </c>
      <c r="F1786" s="206" t="s">
        <v>825</v>
      </c>
      <c r="G1786" s="209" t="s">
        <v>202</v>
      </c>
      <c r="H1786" s="210">
        <v>42213</v>
      </c>
      <c r="I1786" s="209" t="s">
        <v>187</v>
      </c>
      <c r="J1786" s="209" t="s">
        <v>103</v>
      </c>
      <c r="K1786" s="209" t="s">
        <v>5977</v>
      </c>
      <c r="L1786" s="210">
        <v>42213</v>
      </c>
      <c r="M1786" s="206" t="s">
        <v>824</v>
      </c>
      <c r="N1786" s="211" t="s">
        <v>185</v>
      </c>
      <c r="O1786" s="210">
        <v>42213</v>
      </c>
      <c r="P1786" s="212">
        <f t="shared" si="738"/>
        <v>0</v>
      </c>
      <c r="Q1786" s="209" t="s">
        <v>5977</v>
      </c>
      <c r="R1786" s="211" t="s">
        <v>17</v>
      </c>
      <c r="S1786" s="206" t="s">
        <v>101</v>
      </c>
      <c r="T1786" s="206" t="s">
        <v>101</v>
      </c>
      <c r="U1786" s="210">
        <v>42214</v>
      </c>
      <c r="V1786" s="211" t="s">
        <v>186</v>
      </c>
      <c r="W1786" s="213">
        <f t="shared" si="736"/>
        <v>0</v>
      </c>
      <c r="X1786" s="213" t="str">
        <f t="shared" si="737"/>
        <v>Correcto</v>
      </c>
    </row>
    <row r="1787" spans="1:24" ht="18" customHeight="1" x14ac:dyDescent="0.25">
      <c r="A1787" s="214">
        <v>1778</v>
      </c>
      <c r="B1787" s="206" t="s">
        <v>5978</v>
      </c>
      <c r="C1787" s="207">
        <v>42213</v>
      </c>
      <c r="D1787" s="208">
        <v>2</v>
      </c>
      <c r="E1787" s="209" t="s">
        <v>93</v>
      </c>
      <c r="F1787" s="206" t="s">
        <v>825</v>
      </c>
      <c r="G1787" s="209" t="s">
        <v>202</v>
      </c>
      <c r="H1787" s="210">
        <v>42213</v>
      </c>
      <c r="I1787" s="209" t="s">
        <v>187</v>
      </c>
      <c r="J1787" s="209" t="s">
        <v>103</v>
      </c>
      <c r="K1787" s="209" t="s">
        <v>5973</v>
      </c>
      <c r="L1787" s="210">
        <v>42214</v>
      </c>
      <c r="M1787" s="206" t="s">
        <v>824</v>
      </c>
      <c r="N1787" s="211" t="s">
        <v>185</v>
      </c>
      <c r="O1787" s="210">
        <v>42214</v>
      </c>
      <c r="P1787" s="212">
        <f t="shared" si="738"/>
        <v>1</v>
      </c>
      <c r="Q1787" s="209" t="s">
        <v>5973</v>
      </c>
      <c r="R1787" s="211" t="s">
        <v>17</v>
      </c>
      <c r="S1787" s="206" t="s">
        <v>101</v>
      </c>
      <c r="T1787" s="206" t="s">
        <v>101</v>
      </c>
      <c r="U1787" s="210">
        <v>42215</v>
      </c>
      <c r="V1787" s="211" t="s">
        <v>186</v>
      </c>
      <c r="W1787" s="213">
        <f t="shared" si="736"/>
        <v>0</v>
      </c>
      <c r="X1787" s="213" t="str">
        <f t="shared" si="737"/>
        <v>Correcto</v>
      </c>
    </row>
    <row r="1788" spans="1:24" ht="18" customHeight="1" x14ac:dyDescent="0.25">
      <c r="A1788" s="214">
        <v>1779</v>
      </c>
      <c r="B1788" s="206" t="s">
        <v>5979</v>
      </c>
      <c r="C1788" s="207">
        <v>42213</v>
      </c>
      <c r="D1788" s="208">
        <v>2</v>
      </c>
      <c r="E1788" s="209" t="s">
        <v>93</v>
      </c>
      <c r="F1788" s="206" t="s">
        <v>825</v>
      </c>
      <c r="G1788" s="209" t="s">
        <v>202</v>
      </c>
      <c r="H1788" s="210">
        <v>42213</v>
      </c>
      <c r="I1788" s="209" t="s">
        <v>187</v>
      </c>
      <c r="J1788" s="209" t="s">
        <v>103</v>
      </c>
      <c r="K1788" s="209" t="s">
        <v>5980</v>
      </c>
      <c r="L1788" s="210">
        <v>42214</v>
      </c>
      <c r="M1788" s="206" t="s">
        <v>824</v>
      </c>
      <c r="N1788" s="211" t="s">
        <v>185</v>
      </c>
      <c r="O1788" s="210">
        <v>42214</v>
      </c>
      <c r="P1788" s="212">
        <f t="shared" si="738"/>
        <v>1</v>
      </c>
      <c r="Q1788" s="209" t="s">
        <v>5980</v>
      </c>
      <c r="R1788" s="211" t="s">
        <v>17</v>
      </c>
      <c r="S1788" s="206" t="s">
        <v>101</v>
      </c>
      <c r="T1788" s="206" t="s">
        <v>101</v>
      </c>
      <c r="U1788" s="210">
        <v>42215</v>
      </c>
      <c r="V1788" s="211" t="s">
        <v>186</v>
      </c>
      <c r="W1788" s="213">
        <f t="shared" si="736"/>
        <v>0</v>
      </c>
      <c r="X1788" s="213" t="str">
        <f t="shared" si="737"/>
        <v>Correcto</v>
      </c>
    </row>
    <row r="1789" spans="1:24" ht="18" customHeight="1" x14ac:dyDescent="0.25">
      <c r="A1789" s="214">
        <v>1780</v>
      </c>
      <c r="B1789" s="206" t="s">
        <v>5981</v>
      </c>
      <c r="C1789" s="207">
        <v>42213</v>
      </c>
      <c r="D1789" s="208">
        <v>2</v>
      </c>
      <c r="E1789" s="209" t="s">
        <v>93</v>
      </c>
      <c r="F1789" s="206" t="s">
        <v>825</v>
      </c>
      <c r="G1789" s="209" t="s">
        <v>202</v>
      </c>
      <c r="H1789" s="210">
        <v>42213</v>
      </c>
      <c r="I1789" s="209" t="s">
        <v>187</v>
      </c>
      <c r="J1789" s="209" t="s">
        <v>103</v>
      </c>
      <c r="K1789" s="209" t="s">
        <v>5982</v>
      </c>
      <c r="L1789" s="210">
        <v>42214</v>
      </c>
      <c r="M1789" s="206" t="s">
        <v>824</v>
      </c>
      <c r="N1789" s="211" t="s">
        <v>185</v>
      </c>
      <c r="O1789" s="210">
        <v>42214</v>
      </c>
      <c r="P1789" s="212">
        <f t="shared" si="738"/>
        <v>1</v>
      </c>
      <c r="Q1789" s="209" t="s">
        <v>5982</v>
      </c>
      <c r="R1789" s="211" t="s">
        <v>17</v>
      </c>
      <c r="S1789" s="206" t="s">
        <v>101</v>
      </c>
      <c r="T1789" s="206" t="s">
        <v>101</v>
      </c>
      <c r="U1789" s="210">
        <v>42215</v>
      </c>
      <c r="V1789" s="211" t="s">
        <v>186</v>
      </c>
      <c r="W1789" s="213">
        <f t="shared" si="736"/>
        <v>0</v>
      </c>
      <c r="X1789" s="213" t="str">
        <f t="shared" si="737"/>
        <v>Correcto</v>
      </c>
    </row>
    <row r="1790" spans="1:24" ht="18" customHeight="1" x14ac:dyDescent="0.25">
      <c r="A1790" s="214">
        <v>1781</v>
      </c>
      <c r="B1790" s="206" t="s">
        <v>5983</v>
      </c>
      <c r="C1790" s="207">
        <v>42213</v>
      </c>
      <c r="D1790" s="208">
        <v>2</v>
      </c>
      <c r="E1790" s="209" t="s">
        <v>93</v>
      </c>
      <c r="F1790" s="206" t="s">
        <v>825</v>
      </c>
      <c r="G1790" s="209" t="s">
        <v>202</v>
      </c>
      <c r="H1790" s="210">
        <v>42213</v>
      </c>
      <c r="I1790" s="209" t="s">
        <v>187</v>
      </c>
      <c r="J1790" s="209" t="s">
        <v>103</v>
      </c>
      <c r="K1790" s="209" t="s">
        <v>5984</v>
      </c>
      <c r="L1790" s="210">
        <v>42214</v>
      </c>
      <c r="M1790" s="206" t="s">
        <v>824</v>
      </c>
      <c r="N1790" s="211" t="s">
        <v>185</v>
      </c>
      <c r="O1790" s="210">
        <v>42214</v>
      </c>
      <c r="P1790" s="212">
        <f t="shared" si="738"/>
        <v>1</v>
      </c>
      <c r="Q1790" s="209" t="s">
        <v>5984</v>
      </c>
      <c r="R1790" s="211" t="s">
        <v>17</v>
      </c>
      <c r="S1790" s="206" t="s">
        <v>101</v>
      </c>
      <c r="T1790" s="206" t="s">
        <v>101</v>
      </c>
      <c r="U1790" s="210">
        <v>42215</v>
      </c>
      <c r="V1790" s="211" t="s">
        <v>186</v>
      </c>
      <c r="W1790" s="213">
        <f t="shared" si="736"/>
        <v>0</v>
      </c>
      <c r="X1790" s="213" t="str">
        <f t="shared" si="737"/>
        <v>Correcto</v>
      </c>
    </row>
    <row r="1791" spans="1:24" ht="18" customHeight="1" x14ac:dyDescent="0.25">
      <c r="A1791" s="214">
        <v>1782</v>
      </c>
      <c r="B1791" s="206" t="s">
        <v>5985</v>
      </c>
      <c r="C1791" s="207">
        <v>42213</v>
      </c>
      <c r="D1791" s="208">
        <v>2</v>
      </c>
      <c r="E1791" s="209" t="s">
        <v>93</v>
      </c>
      <c r="F1791" s="206" t="s">
        <v>825</v>
      </c>
      <c r="G1791" s="209" t="s">
        <v>202</v>
      </c>
      <c r="H1791" s="210">
        <v>42213</v>
      </c>
      <c r="I1791" s="209" t="s">
        <v>187</v>
      </c>
      <c r="J1791" s="209" t="s">
        <v>103</v>
      </c>
      <c r="K1791" s="209" t="s">
        <v>5986</v>
      </c>
      <c r="L1791" s="210">
        <v>42214</v>
      </c>
      <c r="M1791" s="206" t="s">
        <v>824</v>
      </c>
      <c r="N1791" s="211" t="s">
        <v>185</v>
      </c>
      <c r="O1791" s="210">
        <v>42214</v>
      </c>
      <c r="P1791" s="212">
        <f t="shared" si="738"/>
        <v>1</v>
      </c>
      <c r="Q1791" s="209" t="s">
        <v>5986</v>
      </c>
      <c r="R1791" s="211" t="s">
        <v>17</v>
      </c>
      <c r="S1791" s="206" t="s">
        <v>101</v>
      </c>
      <c r="T1791" s="206" t="s">
        <v>101</v>
      </c>
      <c r="U1791" s="210">
        <v>42215</v>
      </c>
      <c r="V1791" s="211" t="s">
        <v>186</v>
      </c>
      <c r="W1791" s="213">
        <f t="shared" si="736"/>
        <v>0</v>
      </c>
      <c r="X1791" s="213" t="str">
        <f t="shared" si="737"/>
        <v>Correcto</v>
      </c>
    </row>
    <row r="1792" spans="1:24" ht="18" customHeight="1" x14ac:dyDescent="0.25">
      <c r="A1792" s="214">
        <v>1783</v>
      </c>
      <c r="B1792" s="206" t="s">
        <v>5987</v>
      </c>
      <c r="C1792" s="207">
        <v>42213</v>
      </c>
      <c r="D1792" s="208">
        <v>2</v>
      </c>
      <c r="E1792" s="209" t="s">
        <v>93</v>
      </c>
      <c r="F1792" s="206" t="s">
        <v>825</v>
      </c>
      <c r="G1792" s="209" t="s">
        <v>202</v>
      </c>
      <c r="H1792" s="210">
        <v>42213</v>
      </c>
      <c r="I1792" s="209" t="s">
        <v>187</v>
      </c>
      <c r="J1792" s="209" t="s">
        <v>103</v>
      </c>
      <c r="K1792" s="209" t="s">
        <v>5988</v>
      </c>
      <c r="L1792" s="210">
        <v>42214</v>
      </c>
      <c r="M1792" s="206" t="s">
        <v>824</v>
      </c>
      <c r="N1792" s="211" t="s">
        <v>185</v>
      </c>
      <c r="O1792" s="210">
        <v>42214</v>
      </c>
      <c r="P1792" s="212">
        <f t="shared" si="738"/>
        <v>1</v>
      </c>
      <c r="Q1792" s="209" t="s">
        <v>5988</v>
      </c>
      <c r="R1792" s="211" t="s">
        <v>17</v>
      </c>
      <c r="S1792" s="206" t="s">
        <v>101</v>
      </c>
      <c r="T1792" s="206" t="s">
        <v>101</v>
      </c>
      <c r="U1792" s="210">
        <v>42215</v>
      </c>
      <c r="V1792" s="211" t="s">
        <v>186</v>
      </c>
      <c r="W1792" s="213">
        <f t="shared" si="736"/>
        <v>0</v>
      </c>
      <c r="X1792" s="213" t="str">
        <f t="shared" si="737"/>
        <v>Correcto</v>
      </c>
    </row>
    <row r="1793" spans="1:24" ht="18" customHeight="1" x14ac:dyDescent="0.25">
      <c r="A1793" s="214">
        <v>1784</v>
      </c>
      <c r="B1793" s="206" t="s">
        <v>5989</v>
      </c>
      <c r="C1793" s="207">
        <v>42213</v>
      </c>
      <c r="D1793" s="208">
        <v>2</v>
      </c>
      <c r="E1793" s="209" t="s">
        <v>93</v>
      </c>
      <c r="F1793" s="206" t="s">
        <v>825</v>
      </c>
      <c r="G1793" s="209" t="s">
        <v>202</v>
      </c>
      <c r="H1793" s="210">
        <v>42213</v>
      </c>
      <c r="I1793" s="209" t="s">
        <v>187</v>
      </c>
      <c r="J1793" s="209" t="s">
        <v>103</v>
      </c>
      <c r="K1793" s="209" t="s">
        <v>5990</v>
      </c>
      <c r="L1793" s="210">
        <v>42214</v>
      </c>
      <c r="M1793" s="206" t="s">
        <v>824</v>
      </c>
      <c r="N1793" s="211" t="s">
        <v>185</v>
      </c>
      <c r="O1793" s="210">
        <v>42214</v>
      </c>
      <c r="P1793" s="212">
        <f t="shared" si="738"/>
        <v>1</v>
      </c>
      <c r="Q1793" s="209" t="s">
        <v>5990</v>
      </c>
      <c r="R1793" s="211" t="s">
        <v>17</v>
      </c>
      <c r="S1793" s="206" t="s">
        <v>101</v>
      </c>
      <c r="T1793" s="206" t="s">
        <v>101</v>
      </c>
      <c r="U1793" s="210">
        <v>42215</v>
      </c>
      <c r="V1793" s="211" t="s">
        <v>186</v>
      </c>
      <c r="W1793" s="213">
        <f t="shared" si="736"/>
        <v>0</v>
      </c>
      <c r="X1793" s="213" t="str">
        <f t="shared" si="737"/>
        <v>Correcto</v>
      </c>
    </row>
    <row r="1794" spans="1:24" ht="18" customHeight="1" x14ac:dyDescent="0.25">
      <c r="A1794" s="214">
        <v>1785</v>
      </c>
      <c r="B1794" s="206" t="s">
        <v>5991</v>
      </c>
      <c r="C1794" s="207">
        <v>42213</v>
      </c>
      <c r="D1794" s="208">
        <v>2</v>
      </c>
      <c r="E1794" s="209" t="s">
        <v>93</v>
      </c>
      <c r="F1794" s="206" t="s">
        <v>825</v>
      </c>
      <c r="G1794" s="209" t="s">
        <v>202</v>
      </c>
      <c r="H1794" s="210">
        <v>42213</v>
      </c>
      <c r="I1794" s="209" t="s">
        <v>187</v>
      </c>
      <c r="J1794" s="209" t="s">
        <v>103</v>
      </c>
      <c r="K1794" s="209" t="s">
        <v>5992</v>
      </c>
      <c r="L1794" s="210">
        <v>42214</v>
      </c>
      <c r="M1794" s="206" t="s">
        <v>824</v>
      </c>
      <c r="N1794" s="211" t="s">
        <v>185</v>
      </c>
      <c r="O1794" s="210">
        <v>42214</v>
      </c>
      <c r="P1794" s="212">
        <f t="shared" si="738"/>
        <v>1</v>
      </c>
      <c r="Q1794" s="209" t="s">
        <v>5992</v>
      </c>
      <c r="R1794" s="211" t="s">
        <v>17</v>
      </c>
      <c r="S1794" s="206" t="s">
        <v>101</v>
      </c>
      <c r="T1794" s="206" t="s">
        <v>101</v>
      </c>
      <c r="U1794" s="210">
        <v>42215</v>
      </c>
      <c r="V1794" s="211" t="s">
        <v>186</v>
      </c>
      <c r="W1794" s="213">
        <f t="shared" si="736"/>
        <v>0</v>
      </c>
      <c r="X1794" s="213" t="str">
        <f t="shared" si="737"/>
        <v>Correcto</v>
      </c>
    </row>
    <row r="1795" spans="1:24" ht="18" customHeight="1" x14ac:dyDescent="0.25">
      <c r="A1795" s="214">
        <v>1786</v>
      </c>
      <c r="B1795" s="206" t="s">
        <v>5993</v>
      </c>
      <c r="C1795" s="207">
        <v>42213</v>
      </c>
      <c r="D1795" s="208">
        <v>2</v>
      </c>
      <c r="E1795" s="209" t="s">
        <v>93</v>
      </c>
      <c r="F1795" s="206" t="s">
        <v>825</v>
      </c>
      <c r="G1795" s="209" t="s">
        <v>202</v>
      </c>
      <c r="H1795" s="210">
        <v>42214</v>
      </c>
      <c r="I1795" s="209" t="s">
        <v>187</v>
      </c>
      <c r="J1795" s="209" t="s">
        <v>103</v>
      </c>
      <c r="K1795" s="209" t="s">
        <v>5994</v>
      </c>
      <c r="L1795" s="210">
        <v>42214</v>
      </c>
      <c r="M1795" s="206" t="s">
        <v>1914</v>
      </c>
      <c r="N1795" s="211" t="s">
        <v>185</v>
      </c>
      <c r="O1795" s="210">
        <v>42214</v>
      </c>
      <c r="P1795" s="212">
        <f t="shared" si="738"/>
        <v>1</v>
      </c>
      <c r="Q1795" s="209" t="s">
        <v>5995</v>
      </c>
      <c r="R1795" s="211" t="s">
        <v>17</v>
      </c>
      <c r="S1795" s="206" t="s">
        <v>5996</v>
      </c>
      <c r="T1795" s="206" t="s">
        <v>5997</v>
      </c>
      <c r="U1795" s="210">
        <v>42215</v>
      </c>
      <c r="V1795" s="211" t="s">
        <v>186</v>
      </c>
      <c r="W1795" s="213">
        <f t="shared" si="736"/>
        <v>0</v>
      </c>
      <c r="X1795" s="213" t="str">
        <f t="shared" si="737"/>
        <v>Correcto</v>
      </c>
    </row>
    <row r="1796" spans="1:24" ht="18" customHeight="1" x14ac:dyDescent="0.25">
      <c r="A1796" s="214">
        <v>1787</v>
      </c>
      <c r="B1796" s="206" t="s">
        <v>5998</v>
      </c>
      <c r="C1796" s="207">
        <v>42213</v>
      </c>
      <c r="D1796" s="208">
        <v>2</v>
      </c>
      <c r="E1796" s="209" t="s">
        <v>93</v>
      </c>
      <c r="F1796" s="206" t="s">
        <v>825</v>
      </c>
      <c r="G1796" s="209" t="s">
        <v>202</v>
      </c>
      <c r="H1796" s="210">
        <v>42213</v>
      </c>
      <c r="I1796" s="209" t="s">
        <v>187</v>
      </c>
      <c r="J1796" s="209" t="s">
        <v>103</v>
      </c>
      <c r="K1796" s="209" t="s">
        <v>5999</v>
      </c>
      <c r="L1796" s="210">
        <v>42214</v>
      </c>
      <c r="M1796" s="206" t="s">
        <v>824</v>
      </c>
      <c r="N1796" s="211" t="s">
        <v>185</v>
      </c>
      <c r="O1796" s="210">
        <v>42214</v>
      </c>
      <c r="P1796" s="212">
        <f t="shared" si="738"/>
        <v>1</v>
      </c>
      <c r="Q1796" s="209" t="s">
        <v>5999</v>
      </c>
      <c r="R1796" s="211" t="s">
        <v>17</v>
      </c>
      <c r="S1796" s="206" t="s">
        <v>101</v>
      </c>
      <c r="T1796" s="206" t="s">
        <v>101</v>
      </c>
      <c r="U1796" s="210">
        <v>42215</v>
      </c>
      <c r="V1796" s="211" t="s">
        <v>186</v>
      </c>
      <c r="W1796" s="213">
        <f t="shared" si="736"/>
        <v>0</v>
      </c>
      <c r="X1796" s="213" t="str">
        <f t="shared" si="737"/>
        <v>Correcto</v>
      </c>
    </row>
    <row r="1797" spans="1:24" ht="18" customHeight="1" x14ac:dyDescent="0.25">
      <c r="A1797" s="214">
        <v>1788</v>
      </c>
      <c r="B1797" s="206" t="s">
        <v>6000</v>
      </c>
      <c r="C1797" s="207">
        <v>42213</v>
      </c>
      <c r="D1797" s="208">
        <v>2</v>
      </c>
      <c r="E1797" s="209" t="s">
        <v>93</v>
      </c>
      <c r="F1797" s="206" t="s">
        <v>825</v>
      </c>
      <c r="G1797" s="209" t="s">
        <v>202</v>
      </c>
      <c r="H1797" s="210">
        <v>42213</v>
      </c>
      <c r="I1797" s="209" t="s">
        <v>187</v>
      </c>
      <c r="J1797" s="209" t="s">
        <v>103</v>
      </c>
      <c r="K1797" s="209" t="s">
        <v>6001</v>
      </c>
      <c r="L1797" s="210">
        <v>42214</v>
      </c>
      <c r="M1797" s="206" t="s">
        <v>824</v>
      </c>
      <c r="N1797" s="211" t="s">
        <v>185</v>
      </c>
      <c r="O1797" s="210">
        <v>42214</v>
      </c>
      <c r="P1797" s="212">
        <f t="shared" si="738"/>
        <v>1</v>
      </c>
      <c r="Q1797" s="209" t="s">
        <v>6001</v>
      </c>
      <c r="R1797" s="211" t="s">
        <v>17</v>
      </c>
      <c r="S1797" s="206" t="s">
        <v>101</v>
      </c>
      <c r="T1797" s="206" t="s">
        <v>1012</v>
      </c>
      <c r="U1797" s="210">
        <v>42215</v>
      </c>
      <c r="V1797" s="211" t="s">
        <v>186</v>
      </c>
      <c r="W1797" s="213">
        <f t="shared" si="736"/>
        <v>0</v>
      </c>
      <c r="X1797" s="213" t="str">
        <f t="shared" si="737"/>
        <v>Correcto</v>
      </c>
    </row>
    <row r="1798" spans="1:24" ht="18" customHeight="1" x14ac:dyDescent="0.25">
      <c r="A1798" s="214">
        <v>1789</v>
      </c>
      <c r="B1798" s="206" t="s">
        <v>6002</v>
      </c>
      <c r="C1798" s="207">
        <v>42213</v>
      </c>
      <c r="D1798" s="208">
        <v>2</v>
      </c>
      <c r="E1798" s="209" t="s">
        <v>93</v>
      </c>
      <c r="F1798" s="206" t="s">
        <v>825</v>
      </c>
      <c r="G1798" s="209" t="s">
        <v>202</v>
      </c>
      <c r="H1798" s="210">
        <v>42214</v>
      </c>
      <c r="I1798" s="209" t="s">
        <v>187</v>
      </c>
      <c r="J1798" s="209" t="s">
        <v>103</v>
      </c>
      <c r="K1798" s="209" t="s">
        <v>6003</v>
      </c>
      <c r="L1798" s="210">
        <v>42214</v>
      </c>
      <c r="M1798" s="206" t="s">
        <v>1914</v>
      </c>
      <c r="N1798" s="211" t="s">
        <v>185</v>
      </c>
      <c r="O1798" s="210">
        <v>42214</v>
      </c>
      <c r="P1798" s="212">
        <f t="shared" si="738"/>
        <v>1</v>
      </c>
      <c r="Q1798" s="209" t="s">
        <v>6004</v>
      </c>
      <c r="R1798" s="211" t="s">
        <v>17</v>
      </c>
      <c r="S1798" s="206" t="s">
        <v>6005</v>
      </c>
      <c r="T1798" s="206" t="s">
        <v>6006</v>
      </c>
      <c r="U1798" s="210">
        <v>42216</v>
      </c>
      <c r="V1798" s="211" t="s">
        <v>186</v>
      </c>
      <c r="W1798" s="213">
        <f t="shared" si="736"/>
        <v>0</v>
      </c>
      <c r="X1798" s="213" t="str">
        <f t="shared" si="737"/>
        <v>Correcto</v>
      </c>
    </row>
    <row r="1799" spans="1:24" ht="18" customHeight="1" x14ac:dyDescent="0.25">
      <c r="A1799" s="214">
        <v>1790</v>
      </c>
      <c r="B1799" s="206" t="s">
        <v>6007</v>
      </c>
      <c r="C1799" s="207">
        <v>42213</v>
      </c>
      <c r="D1799" s="208">
        <v>3</v>
      </c>
      <c r="E1799" s="209" t="s">
        <v>93</v>
      </c>
      <c r="F1799" s="206" t="s">
        <v>825</v>
      </c>
      <c r="G1799" s="209" t="s">
        <v>202</v>
      </c>
      <c r="H1799" s="210">
        <v>42214</v>
      </c>
      <c r="I1799" s="209" t="s">
        <v>187</v>
      </c>
      <c r="J1799" s="209" t="s">
        <v>103</v>
      </c>
      <c r="K1799" s="209" t="s">
        <v>6008</v>
      </c>
      <c r="L1799" s="210">
        <v>42214</v>
      </c>
      <c r="M1799" s="206" t="s">
        <v>1914</v>
      </c>
      <c r="N1799" s="211" t="s">
        <v>185</v>
      </c>
      <c r="O1799" s="210">
        <v>42214</v>
      </c>
      <c r="P1799" s="212">
        <f t="shared" si="738"/>
        <v>1</v>
      </c>
      <c r="Q1799" s="209" t="s">
        <v>6009</v>
      </c>
      <c r="R1799" s="211" t="s">
        <v>17</v>
      </c>
      <c r="S1799" s="206" t="s">
        <v>101</v>
      </c>
      <c r="T1799" s="206" t="s">
        <v>101</v>
      </c>
      <c r="U1799" s="210">
        <v>42215</v>
      </c>
      <c r="V1799" s="211" t="s">
        <v>186</v>
      </c>
      <c r="W1799" s="213">
        <f t="shared" si="736"/>
        <v>0</v>
      </c>
      <c r="X1799" s="213" t="str">
        <f t="shared" si="737"/>
        <v>Correcto</v>
      </c>
    </row>
    <row r="1800" spans="1:24" ht="18" customHeight="1" x14ac:dyDescent="0.25">
      <c r="A1800" s="214">
        <v>1791</v>
      </c>
      <c r="B1800" s="206" t="s">
        <v>6010</v>
      </c>
      <c r="C1800" s="207">
        <v>42213</v>
      </c>
      <c r="D1800" s="208">
        <v>2</v>
      </c>
      <c r="E1800" s="209" t="s">
        <v>93</v>
      </c>
      <c r="F1800" s="206" t="s">
        <v>825</v>
      </c>
      <c r="G1800" s="209" t="s">
        <v>202</v>
      </c>
      <c r="H1800" s="210">
        <v>42213</v>
      </c>
      <c r="I1800" s="209" t="s">
        <v>187</v>
      </c>
      <c r="J1800" s="209" t="s">
        <v>103</v>
      </c>
      <c r="K1800" s="209" t="s">
        <v>6011</v>
      </c>
      <c r="L1800" s="210">
        <v>42214</v>
      </c>
      <c r="M1800" s="206" t="s">
        <v>824</v>
      </c>
      <c r="N1800" s="211" t="s">
        <v>185</v>
      </c>
      <c r="O1800" s="210">
        <v>42214</v>
      </c>
      <c r="P1800" s="212">
        <f t="shared" si="738"/>
        <v>1</v>
      </c>
      <c r="Q1800" s="209" t="s">
        <v>6011</v>
      </c>
      <c r="R1800" s="211" t="s">
        <v>17</v>
      </c>
      <c r="S1800" s="206" t="s">
        <v>6012</v>
      </c>
      <c r="T1800" s="206" t="s">
        <v>6013</v>
      </c>
      <c r="U1800" s="210">
        <v>42215</v>
      </c>
      <c r="V1800" s="211" t="s">
        <v>186</v>
      </c>
      <c r="W1800" s="213">
        <f t="shared" si="736"/>
        <v>0</v>
      </c>
      <c r="X1800" s="213" t="str">
        <f t="shared" si="737"/>
        <v>Correcto</v>
      </c>
    </row>
    <row r="1801" spans="1:24" ht="18" customHeight="1" x14ac:dyDescent="0.25">
      <c r="A1801" s="214">
        <v>1792</v>
      </c>
      <c r="B1801" s="206" t="s">
        <v>6014</v>
      </c>
      <c r="C1801" s="207">
        <v>42213</v>
      </c>
      <c r="D1801" s="208">
        <v>2</v>
      </c>
      <c r="E1801" s="209" t="s">
        <v>93</v>
      </c>
      <c r="F1801" s="206" t="s">
        <v>825</v>
      </c>
      <c r="G1801" s="209" t="s">
        <v>202</v>
      </c>
      <c r="H1801" s="210">
        <v>42213</v>
      </c>
      <c r="I1801" s="209" t="s">
        <v>187</v>
      </c>
      <c r="J1801" s="209" t="s">
        <v>103</v>
      </c>
      <c r="K1801" s="209" t="s">
        <v>6015</v>
      </c>
      <c r="L1801" s="210">
        <v>42214</v>
      </c>
      <c r="M1801" s="206" t="s">
        <v>824</v>
      </c>
      <c r="N1801" s="211" t="s">
        <v>185</v>
      </c>
      <c r="O1801" s="210">
        <v>42214</v>
      </c>
      <c r="P1801" s="212">
        <f t="shared" si="738"/>
        <v>1</v>
      </c>
      <c r="Q1801" s="209" t="s">
        <v>6015</v>
      </c>
      <c r="R1801" s="211" t="s">
        <v>17</v>
      </c>
      <c r="S1801" s="206" t="s">
        <v>101</v>
      </c>
      <c r="T1801" s="206" t="s">
        <v>101</v>
      </c>
      <c r="U1801" s="210">
        <v>42215</v>
      </c>
      <c r="V1801" s="211" t="s">
        <v>186</v>
      </c>
      <c r="W1801" s="213">
        <f t="shared" si="736"/>
        <v>0</v>
      </c>
      <c r="X1801" s="213" t="str">
        <f t="shared" si="737"/>
        <v>Correcto</v>
      </c>
    </row>
    <row r="1802" spans="1:24" ht="18" customHeight="1" x14ac:dyDescent="0.25">
      <c r="A1802" s="214">
        <v>1793</v>
      </c>
      <c r="B1802" s="206" t="s">
        <v>6016</v>
      </c>
      <c r="C1802" s="207">
        <v>42213</v>
      </c>
      <c r="D1802" s="208">
        <v>2</v>
      </c>
      <c r="E1802" s="209" t="s">
        <v>93</v>
      </c>
      <c r="F1802" s="206" t="s">
        <v>825</v>
      </c>
      <c r="G1802" s="209" t="s">
        <v>202</v>
      </c>
      <c r="H1802" s="210">
        <v>42213</v>
      </c>
      <c r="I1802" s="209" t="s">
        <v>187</v>
      </c>
      <c r="J1802" s="209" t="s">
        <v>103</v>
      </c>
      <c r="K1802" s="209" t="s">
        <v>6017</v>
      </c>
      <c r="L1802" s="210">
        <v>42214</v>
      </c>
      <c r="M1802" s="206" t="s">
        <v>824</v>
      </c>
      <c r="N1802" s="211" t="s">
        <v>185</v>
      </c>
      <c r="O1802" s="210">
        <v>42214</v>
      </c>
      <c r="P1802" s="212">
        <f t="shared" si="738"/>
        <v>1</v>
      </c>
      <c r="Q1802" s="209" t="s">
        <v>6017</v>
      </c>
      <c r="R1802" s="211" t="s">
        <v>17</v>
      </c>
      <c r="S1802" s="206" t="s">
        <v>101</v>
      </c>
      <c r="T1802" s="206" t="s">
        <v>101</v>
      </c>
      <c r="U1802" s="210">
        <v>42215</v>
      </c>
      <c r="V1802" s="211" t="s">
        <v>186</v>
      </c>
      <c r="W1802" s="213">
        <f t="shared" si="736"/>
        <v>0</v>
      </c>
      <c r="X1802" s="213" t="str">
        <f t="shared" si="737"/>
        <v>Correcto</v>
      </c>
    </row>
    <row r="1803" spans="1:24" ht="18" customHeight="1" x14ac:dyDescent="0.25">
      <c r="A1803" s="214">
        <v>1794</v>
      </c>
      <c r="B1803" s="206" t="s">
        <v>6018</v>
      </c>
      <c r="C1803" s="207">
        <v>42213</v>
      </c>
      <c r="D1803" s="208">
        <v>2</v>
      </c>
      <c r="E1803" s="209" t="s">
        <v>93</v>
      </c>
      <c r="F1803" s="206" t="s">
        <v>825</v>
      </c>
      <c r="G1803" s="209" t="s">
        <v>202</v>
      </c>
      <c r="H1803" s="210">
        <v>42213</v>
      </c>
      <c r="I1803" s="209" t="s">
        <v>187</v>
      </c>
      <c r="J1803" s="209" t="s">
        <v>103</v>
      </c>
      <c r="K1803" s="209" t="s">
        <v>6019</v>
      </c>
      <c r="L1803" s="210">
        <v>42214</v>
      </c>
      <c r="M1803" s="206" t="s">
        <v>824</v>
      </c>
      <c r="N1803" s="211" t="s">
        <v>185</v>
      </c>
      <c r="O1803" s="210">
        <v>42214</v>
      </c>
      <c r="P1803" s="212">
        <f t="shared" si="738"/>
        <v>1</v>
      </c>
      <c r="Q1803" s="209" t="s">
        <v>6019</v>
      </c>
      <c r="R1803" s="211" t="s">
        <v>17</v>
      </c>
      <c r="S1803" s="206" t="s">
        <v>101</v>
      </c>
      <c r="T1803" s="206" t="s">
        <v>101</v>
      </c>
      <c r="U1803" s="210">
        <v>42215</v>
      </c>
      <c r="V1803" s="211" t="s">
        <v>186</v>
      </c>
      <c r="W1803" s="213">
        <f t="shared" si="736"/>
        <v>0</v>
      </c>
      <c r="X1803" s="213" t="str">
        <f t="shared" si="737"/>
        <v>Correcto</v>
      </c>
    </row>
    <row r="1804" spans="1:24" ht="18" customHeight="1" x14ac:dyDescent="0.25">
      <c r="A1804" s="214">
        <v>1795</v>
      </c>
      <c r="B1804" s="206" t="s">
        <v>6020</v>
      </c>
      <c r="C1804" s="207">
        <v>42213</v>
      </c>
      <c r="D1804" s="208">
        <v>2</v>
      </c>
      <c r="E1804" s="209" t="s">
        <v>93</v>
      </c>
      <c r="F1804" s="206" t="s">
        <v>825</v>
      </c>
      <c r="G1804" s="209" t="s">
        <v>202</v>
      </c>
      <c r="H1804" s="210">
        <v>42213</v>
      </c>
      <c r="I1804" s="209" t="s">
        <v>187</v>
      </c>
      <c r="J1804" s="209" t="s">
        <v>103</v>
      </c>
      <c r="K1804" s="209" t="s">
        <v>6021</v>
      </c>
      <c r="L1804" s="210">
        <v>42214</v>
      </c>
      <c r="M1804" s="206" t="s">
        <v>824</v>
      </c>
      <c r="N1804" s="211" t="s">
        <v>185</v>
      </c>
      <c r="O1804" s="210">
        <v>42214</v>
      </c>
      <c r="P1804" s="212">
        <f t="shared" si="738"/>
        <v>1</v>
      </c>
      <c r="Q1804" s="209" t="s">
        <v>6021</v>
      </c>
      <c r="R1804" s="211" t="s">
        <v>977</v>
      </c>
      <c r="S1804" s="206" t="s">
        <v>1203</v>
      </c>
      <c r="T1804" s="206" t="s">
        <v>6850</v>
      </c>
      <c r="U1804" s="210">
        <v>42215</v>
      </c>
      <c r="V1804" s="211" t="s">
        <v>186</v>
      </c>
      <c r="W1804" s="213">
        <f t="shared" si="736"/>
        <v>0</v>
      </c>
      <c r="X1804" s="213" t="str">
        <f t="shared" si="737"/>
        <v>Correcto</v>
      </c>
    </row>
    <row r="1805" spans="1:24" ht="18" customHeight="1" x14ac:dyDescent="0.25">
      <c r="A1805" s="214">
        <v>1796</v>
      </c>
      <c r="B1805" s="206" t="s">
        <v>6022</v>
      </c>
      <c r="C1805" s="207">
        <v>42213</v>
      </c>
      <c r="D1805" s="208">
        <v>2</v>
      </c>
      <c r="E1805" s="209" t="s">
        <v>93</v>
      </c>
      <c r="F1805" s="206" t="s">
        <v>825</v>
      </c>
      <c r="G1805" s="209" t="s">
        <v>202</v>
      </c>
      <c r="H1805" s="210">
        <v>42213</v>
      </c>
      <c r="I1805" s="209" t="s">
        <v>187</v>
      </c>
      <c r="J1805" s="209" t="s">
        <v>103</v>
      </c>
      <c r="K1805" s="209" t="s">
        <v>6023</v>
      </c>
      <c r="L1805" s="210">
        <v>42214</v>
      </c>
      <c r="M1805" s="206" t="s">
        <v>824</v>
      </c>
      <c r="N1805" s="211" t="s">
        <v>185</v>
      </c>
      <c r="O1805" s="210">
        <v>42214</v>
      </c>
      <c r="P1805" s="212">
        <f t="shared" si="738"/>
        <v>1</v>
      </c>
      <c r="Q1805" s="209" t="s">
        <v>6023</v>
      </c>
      <c r="R1805" s="211" t="s">
        <v>17</v>
      </c>
      <c r="S1805" s="206" t="s">
        <v>101</v>
      </c>
      <c r="T1805" s="206" t="s">
        <v>101</v>
      </c>
      <c r="U1805" s="210">
        <v>42215</v>
      </c>
      <c r="V1805" s="211" t="s">
        <v>186</v>
      </c>
      <c r="W1805" s="213">
        <f t="shared" si="736"/>
        <v>0</v>
      </c>
      <c r="X1805" s="213" t="str">
        <f t="shared" si="737"/>
        <v>Correcto</v>
      </c>
    </row>
    <row r="1806" spans="1:24" ht="18" customHeight="1" x14ac:dyDescent="0.25">
      <c r="A1806" s="214">
        <v>1797</v>
      </c>
      <c r="B1806" s="206" t="s">
        <v>6024</v>
      </c>
      <c r="C1806" s="207">
        <v>42213</v>
      </c>
      <c r="D1806" s="208">
        <v>2</v>
      </c>
      <c r="E1806" s="209" t="s">
        <v>93</v>
      </c>
      <c r="F1806" s="206" t="s">
        <v>825</v>
      </c>
      <c r="G1806" s="209" t="s">
        <v>202</v>
      </c>
      <c r="H1806" s="210">
        <v>42213</v>
      </c>
      <c r="I1806" s="209" t="s">
        <v>187</v>
      </c>
      <c r="J1806" s="209" t="s">
        <v>103</v>
      </c>
      <c r="K1806" s="209" t="s">
        <v>6025</v>
      </c>
      <c r="L1806" s="210">
        <v>42214</v>
      </c>
      <c r="M1806" s="206" t="s">
        <v>824</v>
      </c>
      <c r="N1806" s="211" t="s">
        <v>185</v>
      </c>
      <c r="O1806" s="210">
        <v>42214</v>
      </c>
      <c r="P1806" s="212">
        <f t="shared" si="738"/>
        <v>1</v>
      </c>
      <c r="Q1806" s="209" t="s">
        <v>6025</v>
      </c>
      <c r="R1806" s="211" t="s">
        <v>17</v>
      </c>
      <c r="S1806" s="206" t="s">
        <v>101</v>
      </c>
      <c r="T1806" s="206" t="s">
        <v>101</v>
      </c>
      <c r="U1806" s="210">
        <v>42215</v>
      </c>
      <c r="V1806" s="211" t="s">
        <v>186</v>
      </c>
      <c r="W1806" s="213">
        <f t="shared" si="736"/>
        <v>0</v>
      </c>
      <c r="X1806" s="213" t="str">
        <f t="shared" si="737"/>
        <v>Correcto</v>
      </c>
    </row>
    <row r="1807" spans="1:24" ht="18" customHeight="1" x14ac:dyDescent="0.25">
      <c r="A1807" s="214">
        <v>1798</v>
      </c>
      <c r="B1807" s="206" t="s">
        <v>6026</v>
      </c>
      <c r="C1807" s="207">
        <v>42213</v>
      </c>
      <c r="D1807" s="208">
        <v>2</v>
      </c>
      <c r="E1807" s="209" t="s">
        <v>93</v>
      </c>
      <c r="F1807" s="206" t="s">
        <v>825</v>
      </c>
      <c r="G1807" s="209" t="s">
        <v>202</v>
      </c>
      <c r="H1807" s="210">
        <v>42213</v>
      </c>
      <c r="I1807" s="209" t="s">
        <v>187</v>
      </c>
      <c r="J1807" s="209" t="s">
        <v>103</v>
      </c>
      <c r="K1807" s="209" t="s">
        <v>6027</v>
      </c>
      <c r="L1807" s="210">
        <v>42214</v>
      </c>
      <c r="M1807" s="206" t="s">
        <v>824</v>
      </c>
      <c r="N1807" s="211" t="s">
        <v>185</v>
      </c>
      <c r="O1807" s="210">
        <v>42214</v>
      </c>
      <c r="P1807" s="212">
        <f t="shared" si="738"/>
        <v>1</v>
      </c>
      <c r="Q1807" s="209" t="s">
        <v>6027</v>
      </c>
      <c r="R1807" s="211" t="s">
        <v>17</v>
      </c>
      <c r="S1807" s="206" t="s">
        <v>6028</v>
      </c>
      <c r="T1807" s="206" t="s">
        <v>6029</v>
      </c>
      <c r="U1807" s="210">
        <v>42215</v>
      </c>
      <c r="V1807" s="211" t="s">
        <v>186</v>
      </c>
      <c r="W1807" s="213">
        <f t="shared" si="736"/>
        <v>0</v>
      </c>
      <c r="X1807" s="213" t="str">
        <f t="shared" si="737"/>
        <v>Correcto</v>
      </c>
    </row>
    <row r="1808" spans="1:24" ht="18" customHeight="1" x14ac:dyDescent="0.25">
      <c r="A1808" s="214">
        <v>1799</v>
      </c>
      <c r="B1808" s="206" t="s">
        <v>6030</v>
      </c>
      <c r="C1808" s="207">
        <v>42213</v>
      </c>
      <c r="D1808" s="208">
        <v>2</v>
      </c>
      <c r="E1808" s="209" t="s">
        <v>93</v>
      </c>
      <c r="F1808" s="206" t="s">
        <v>825</v>
      </c>
      <c r="G1808" s="209" t="s">
        <v>202</v>
      </c>
      <c r="H1808" s="210">
        <v>42213</v>
      </c>
      <c r="I1808" s="209" t="s">
        <v>187</v>
      </c>
      <c r="J1808" s="209" t="s">
        <v>103</v>
      </c>
      <c r="K1808" s="209" t="s">
        <v>6031</v>
      </c>
      <c r="L1808" s="210">
        <v>42214</v>
      </c>
      <c r="M1808" s="206" t="s">
        <v>824</v>
      </c>
      <c r="N1808" s="211" t="s">
        <v>185</v>
      </c>
      <c r="O1808" s="210">
        <v>42214</v>
      </c>
      <c r="P1808" s="212">
        <f t="shared" si="738"/>
        <v>1</v>
      </c>
      <c r="Q1808" s="209" t="s">
        <v>6031</v>
      </c>
      <c r="R1808" s="211" t="s">
        <v>17</v>
      </c>
      <c r="S1808" s="206" t="s">
        <v>101</v>
      </c>
      <c r="T1808" s="206" t="s">
        <v>101</v>
      </c>
      <c r="U1808" s="210">
        <v>42215</v>
      </c>
      <c r="V1808" s="211" t="s">
        <v>186</v>
      </c>
      <c r="W1808" s="213">
        <f t="shared" si="736"/>
        <v>0</v>
      </c>
      <c r="X1808" s="213" t="str">
        <f t="shared" si="737"/>
        <v>Correcto</v>
      </c>
    </row>
    <row r="1809" spans="1:25" ht="18" customHeight="1" x14ac:dyDescent="0.25">
      <c r="A1809" s="214">
        <v>1800</v>
      </c>
      <c r="B1809" s="206" t="s">
        <v>6032</v>
      </c>
      <c r="C1809" s="207">
        <v>42213</v>
      </c>
      <c r="D1809" s="208">
        <v>2</v>
      </c>
      <c r="E1809" s="209" t="s">
        <v>93</v>
      </c>
      <c r="F1809" s="206" t="s">
        <v>825</v>
      </c>
      <c r="G1809" s="209" t="s">
        <v>202</v>
      </c>
      <c r="H1809" s="210">
        <v>42214</v>
      </c>
      <c r="I1809" s="209" t="s">
        <v>187</v>
      </c>
      <c r="J1809" s="209" t="s">
        <v>103</v>
      </c>
      <c r="K1809" s="209" t="s">
        <v>6033</v>
      </c>
      <c r="L1809" s="210">
        <v>42214</v>
      </c>
      <c r="M1809" s="206" t="s">
        <v>1914</v>
      </c>
      <c r="N1809" s="211" t="s">
        <v>185</v>
      </c>
      <c r="O1809" s="210">
        <v>42214</v>
      </c>
      <c r="P1809" s="212">
        <f t="shared" si="738"/>
        <v>1</v>
      </c>
      <c r="Q1809" s="209" t="s">
        <v>6034</v>
      </c>
      <c r="R1809" s="211" t="s">
        <v>17</v>
      </c>
      <c r="S1809" s="206" t="s">
        <v>6035</v>
      </c>
      <c r="T1809" s="206" t="s">
        <v>6036</v>
      </c>
      <c r="U1809" s="210">
        <v>42215</v>
      </c>
      <c r="V1809" s="211" t="s">
        <v>186</v>
      </c>
      <c r="W1809" s="213">
        <f t="shared" si="736"/>
        <v>0</v>
      </c>
      <c r="X1809" s="213" t="str">
        <f t="shared" si="737"/>
        <v>Correcto</v>
      </c>
    </row>
    <row r="1810" spans="1:25" ht="18" customHeight="1" x14ac:dyDescent="0.25">
      <c r="A1810" s="214">
        <v>1801</v>
      </c>
      <c r="B1810" s="206" t="s">
        <v>6037</v>
      </c>
      <c r="C1810" s="207">
        <v>42213</v>
      </c>
      <c r="D1810" s="208">
        <v>4</v>
      </c>
      <c r="E1810" s="209" t="s">
        <v>93</v>
      </c>
      <c r="F1810" s="206" t="s">
        <v>825</v>
      </c>
      <c r="G1810" s="209" t="s">
        <v>202</v>
      </c>
      <c r="H1810" s="210">
        <v>42214</v>
      </c>
      <c r="I1810" s="209" t="s">
        <v>187</v>
      </c>
      <c r="J1810" s="209" t="s">
        <v>103</v>
      </c>
      <c r="K1810" s="209" t="s">
        <v>6038</v>
      </c>
      <c r="L1810" s="210">
        <v>42214</v>
      </c>
      <c r="M1810" s="206" t="s">
        <v>1914</v>
      </c>
      <c r="N1810" s="211" t="s">
        <v>185</v>
      </c>
      <c r="O1810" s="210">
        <v>42214</v>
      </c>
      <c r="P1810" s="212">
        <f t="shared" si="738"/>
        <v>1</v>
      </c>
      <c r="Q1810" s="209" t="s">
        <v>6039</v>
      </c>
      <c r="R1810" s="211" t="s">
        <v>17</v>
      </c>
      <c r="S1810" s="206" t="s">
        <v>101</v>
      </c>
      <c r="T1810" s="206" t="s">
        <v>101</v>
      </c>
      <c r="U1810" s="210">
        <v>42215</v>
      </c>
      <c r="V1810" s="211" t="s">
        <v>186</v>
      </c>
      <c r="W1810" s="213">
        <f t="shared" si="736"/>
        <v>0</v>
      </c>
      <c r="X1810" s="213" t="str">
        <f t="shared" si="737"/>
        <v>Correcto</v>
      </c>
    </row>
    <row r="1811" spans="1:25" ht="18" customHeight="1" x14ac:dyDescent="0.25">
      <c r="A1811" s="214">
        <v>1802</v>
      </c>
      <c r="B1811" s="206" t="s">
        <v>6040</v>
      </c>
      <c r="C1811" s="207">
        <v>42213</v>
      </c>
      <c r="D1811" s="208">
        <v>2</v>
      </c>
      <c r="E1811" s="209" t="s">
        <v>93</v>
      </c>
      <c r="F1811" s="206" t="s">
        <v>825</v>
      </c>
      <c r="G1811" s="209" t="s">
        <v>202</v>
      </c>
      <c r="H1811" s="210">
        <v>42214</v>
      </c>
      <c r="I1811" s="209" t="s">
        <v>187</v>
      </c>
      <c r="J1811" s="209" t="s">
        <v>103</v>
      </c>
      <c r="K1811" s="209" t="s">
        <v>6041</v>
      </c>
      <c r="L1811" s="210">
        <v>42214</v>
      </c>
      <c r="M1811" s="206" t="s">
        <v>1914</v>
      </c>
      <c r="N1811" s="211" t="s">
        <v>185</v>
      </c>
      <c r="O1811" s="210">
        <v>42214</v>
      </c>
      <c r="P1811" s="212">
        <f t="shared" si="738"/>
        <v>1</v>
      </c>
      <c r="Q1811" s="209" t="s">
        <v>6042</v>
      </c>
      <c r="R1811" s="211" t="s">
        <v>17</v>
      </c>
      <c r="S1811" s="206" t="s">
        <v>6043</v>
      </c>
      <c r="T1811" s="206" t="s">
        <v>6044</v>
      </c>
      <c r="U1811" s="210">
        <v>42215</v>
      </c>
      <c r="V1811" s="211" t="s">
        <v>186</v>
      </c>
      <c r="W1811" s="213">
        <f t="shared" si="736"/>
        <v>0</v>
      </c>
      <c r="X1811" s="213" t="str">
        <f t="shared" si="737"/>
        <v>Correcto</v>
      </c>
    </row>
    <row r="1812" spans="1:25" ht="18" customHeight="1" x14ac:dyDescent="0.25">
      <c r="A1812" s="214">
        <v>1803</v>
      </c>
      <c r="B1812" s="206" t="s">
        <v>6045</v>
      </c>
      <c r="C1812" s="207">
        <v>42213</v>
      </c>
      <c r="D1812" s="208">
        <v>2</v>
      </c>
      <c r="E1812" s="209" t="s">
        <v>93</v>
      </c>
      <c r="F1812" s="206" t="s">
        <v>825</v>
      </c>
      <c r="G1812" s="209" t="s">
        <v>202</v>
      </c>
      <c r="H1812" s="210">
        <v>42214</v>
      </c>
      <c r="I1812" s="209" t="s">
        <v>187</v>
      </c>
      <c r="J1812" s="209" t="s">
        <v>103</v>
      </c>
      <c r="K1812" s="209" t="s">
        <v>6046</v>
      </c>
      <c r="L1812" s="210">
        <v>42214</v>
      </c>
      <c r="M1812" s="206" t="s">
        <v>1914</v>
      </c>
      <c r="N1812" s="211" t="s">
        <v>185</v>
      </c>
      <c r="O1812" s="210">
        <v>42215</v>
      </c>
      <c r="P1812" s="212">
        <f t="shared" si="738"/>
        <v>2</v>
      </c>
      <c r="Q1812" s="209" t="s">
        <v>6047</v>
      </c>
      <c r="R1812" s="211" t="s">
        <v>17</v>
      </c>
      <c r="S1812" s="206" t="s">
        <v>101</v>
      </c>
      <c r="T1812" s="206" t="s">
        <v>1286</v>
      </c>
      <c r="U1812" s="210">
        <v>42216</v>
      </c>
      <c r="V1812" s="211" t="s">
        <v>186</v>
      </c>
      <c r="W1812" s="213">
        <f t="shared" si="736"/>
        <v>0</v>
      </c>
      <c r="X1812" s="213" t="str">
        <f t="shared" si="737"/>
        <v>Correcto</v>
      </c>
    </row>
    <row r="1813" spans="1:25" ht="18" customHeight="1" x14ac:dyDescent="0.25">
      <c r="A1813" s="214">
        <v>1804</v>
      </c>
      <c r="B1813" s="206" t="s">
        <v>6048</v>
      </c>
      <c r="C1813" s="207">
        <v>42213</v>
      </c>
      <c r="D1813" s="208">
        <v>2</v>
      </c>
      <c r="E1813" s="209" t="s">
        <v>93</v>
      </c>
      <c r="F1813" s="206" t="s">
        <v>825</v>
      </c>
      <c r="G1813" s="209" t="s">
        <v>202</v>
      </c>
      <c r="H1813" s="210">
        <v>42213</v>
      </c>
      <c r="I1813" s="209" t="s">
        <v>187</v>
      </c>
      <c r="J1813" s="209" t="s">
        <v>103</v>
      </c>
      <c r="K1813" s="209" t="s">
        <v>6049</v>
      </c>
      <c r="L1813" s="210">
        <v>42214</v>
      </c>
      <c r="M1813" s="206" t="s">
        <v>824</v>
      </c>
      <c r="N1813" s="211" t="s">
        <v>185</v>
      </c>
      <c r="O1813" s="210">
        <v>42214</v>
      </c>
      <c r="P1813" s="212">
        <f t="shared" si="738"/>
        <v>1</v>
      </c>
      <c r="Q1813" s="209" t="s">
        <v>6049</v>
      </c>
      <c r="R1813" s="211" t="s">
        <v>17</v>
      </c>
      <c r="S1813" s="206" t="s">
        <v>6050</v>
      </c>
      <c r="T1813" s="206" t="s">
        <v>6051</v>
      </c>
      <c r="U1813" s="210">
        <v>42216</v>
      </c>
      <c r="V1813" s="211" t="s">
        <v>186</v>
      </c>
      <c r="W1813" s="213">
        <f t="shared" si="736"/>
        <v>0</v>
      </c>
      <c r="X1813" s="213" t="str">
        <f t="shared" si="737"/>
        <v>Correcto</v>
      </c>
    </row>
    <row r="1814" spans="1:25" ht="18" customHeight="1" x14ac:dyDescent="0.25">
      <c r="A1814" s="214">
        <v>1805</v>
      </c>
      <c r="B1814" s="206" t="s">
        <v>6052</v>
      </c>
      <c r="C1814" s="207">
        <v>42213</v>
      </c>
      <c r="D1814" s="208">
        <v>2</v>
      </c>
      <c r="E1814" s="209" t="s">
        <v>93</v>
      </c>
      <c r="F1814" s="206" t="s">
        <v>825</v>
      </c>
      <c r="G1814" s="209" t="s">
        <v>202</v>
      </c>
      <c r="H1814" s="210">
        <v>42214</v>
      </c>
      <c r="I1814" s="209" t="s">
        <v>187</v>
      </c>
      <c r="J1814" s="209" t="s">
        <v>103</v>
      </c>
      <c r="K1814" s="209" t="s">
        <v>6053</v>
      </c>
      <c r="L1814" s="210">
        <v>42214</v>
      </c>
      <c r="M1814" s="206" t="s">
        <v>1914</v>
      </c>
      <c r="N1814" s="211" t="s">
        <v>185</v>
      </c>
      <c r="O1814" s="210">
        <v>42214</v>
      </c>
      <c r="P1814" s="212">
        <f t="shared" si="738"/>
        <v>1</v>
      </c>
      <c r="Q1814" s="209" t="s">
        <v>6054</v>
      </c>
      <c r="R1814" s="211" t="s">
        <v>17</v>
      </c>
      <c r="S1814" s="206" t="s">
        <v>101</v>
      </c>
      <c r="T1814" s="206" t="s">
        <v>101</v>
      </c>
      <c r="U1814" s="210">
        <v>42215</v>
      </c>
      <c r="V1814" s="211" t="s">
        <v>186</v>
      </c>
      <c r="W1814" s="213">
        <f t="shared" si="736"/>
        <v>0</v>
      </c>
      <c r="X1814" s="213" t="str">
        <f t="shared" si="737"/>
        <v>Correcto</v>
      </c>
    </row>
    <row r="1815" spans="1:25" ht="18" customHeight="1" x14ac:dyDescent="0.25">
      <c r="A1815" s="214">
        <v>1806</v>
      </c>
      <c r="B1815" s="206" t="s">
        <v>6055</v>
      </c>
      <c r="C1815" s="207">
        <v>42213</v>
      </c>
      <c r="D1815" s="208">
        <v>2</v>
      </c>
      <c r="E1815" s="209" t="s">
        <v>93</v>
      </c>
      <c r="F1815" s="206" t="s">
        <v>825</v>
      </c>
      <c r="G1815" s="209" t="s">
        <v>202</v>
      </c>
      <c r="H1815" s="210">
        <v>42214</v>
      </c>
      <c r="I1815" s="209" t="s">
        <v>187</v>
      </c>
      <c r="J1815" s="209" t="s">
        <v>103</v>
      </c>
      <c r="K1815" s="209" t="s">
        <v>6056</v>
      </c>
      <c r="L1815" s="210">
        <v>42214</v>
      </c>
      <c r="M1815" s="206" t="s">
        <v>1914</v>
      </c>
      <c r="N1815" s="211" t="s">
        <v>185</v>
      </c>
      <c r="O1815" s="210">
        <v>42214</v>
      </c>
      <c r="P1815" s="212">
        <f t="shared" si="738"/>
        <v>1</v>
      </c>
      <c r="Q1815" s="209" t="s">
        <v>6057</v>
      </c>
      <c r="R1815" s="211" t="s">
        <v>17</v>
      </c>
      <c r="S1815" s="206" t="s">
        <v>101</v>
      </c>
      <c r="T1815" s="206" t="s">
        <v>101</v>
      </c>
      <c r="U1815" s="210">
        <v>42215</v>
      </c>
      <c r="V1815" s="211" t="s">
        <v>186</v>
      </c>
      <c r="W1815" s="213">
        <f t="shared" si="736"/>
        <v>0</v>
      </c>
      <c r="X1815" s="213" t="str">
        <f t="shared" si="737"/>
        <v>Correcto</v>
      </c>
    </row>
    <row r="1816" spans="1:25" ht="18" customHeight="1" x14ac:dyDescent="0.25">
      <c r="A1816" s="214">
        <v>1807</v>
      </c>
      <c r="B1816" s="206" t="s">
        <v>6058</v>
      </c>
      <c r="C1816" s="207">
        <v>42214</v>
      </c>
      <c r="D1816" s="208">
        <v>2</v>
      </c>
      <c r="E1816" s="209" t="s">
        <v>93</v>
      </c>
      <c r="F1816" s="206" t="s">
        <v>825</v>
      </c>
      <c r="G1816" s="209" t="s">
        <v>202</v>
      </c>
      <c r="H1816" s="210">
        <v>42214</v>
      </c>
      <c r="I1816" s="209" t="s">
        <v>187</v>
      </c>
      <c r="J1816" s="209" t="s">
        <v>103</v>
      </c>
      <c r="K1816" s="209" t="s">
        <v>6059</v>
      </c>
      <c r="L1816" s="210">
        <v>42215</v>
      </c>
      <c r="M1816" s="206" t="s">
        <v>824</v>
      </c>
      <c r="N1816" s="211" t="s">
        <v>185</v>
      </c>
      <c r="O1816" s="210">
        <v>42215</v>
      </c>
      <c r="P1816" s="212">
        <f t="shared" si="738"/>
        <v>1</v>
      </c>
      <c r="Q1816" s="209" t="s">
        <v>6059</v>
      </c>
      <c r="R1816" s="211" t="s">
        <v>17</v>
      </c>
      <c r="S1816" s="206" t="s">
        <v>6060</v>
      </c>
      <c r="T1816" s="206">
        <v>1102052469</v>
      </c>
      <c r="U1816" s="215">
        <v>42219</v>
      </c>
      <c r="V1816" s="211" t="s">
        <v>186</v>
      </c>
      <c r="W1816" s="213">
        <f t="shared" si="736"/>
        <v>0</v>
      </c>
      <c r="X1816" s="213" t="str">
        <f t="shared" si="737"/>
        <v>Correcto</v>
      </c>
      <c r="Y1816" s="196"/>
    </row>
    <row r="1817" spans="1:25" ht="18" customHeight="1" x14ac:dyDescent="0.25">
      <c r="A1817" s="214">
        <v>1808</v>
      </c>
      <c r="B1817" s="206" t="s">
        <v>6061</v>
      </c>
      <c r="C1817" s="207">
        <v>42214</v>
      </c>
      <c r="D1817" s="208">
        <v>2</v>
      </c>
      <c r="E1817" s="209" t="s">
        <v>93</v>
      </c>
      <c r="F1817" s="206" t="s">
        <v>825</v>
      </c>
      <c r="G1817" s="209" t="s">
        <v>202</v>
      </c>
      <c r="H1817" s="210">
        <v>42214</v>
      </c>
      <c r="I1817" s="209" t="s">
        <v>187</v>
      </c>
      <c r="J1817" s="209" t="s">
        <v>103</v>
      </c>
      <c r="K1817" s="209" t="s">
        <v>6062</v>
      </c>
      <c r="L1817" s="210">
        <v>42215</v>
      </c>
      <c r="M1817" s="206" t="s">
        <v>824</v>
      </c>
      <c r="N1817" s="211" t="s">
        <v>185</v>
      </c>
      <c r="O1817" s="210">
        <v>42215</v>
      </c>
      <c r="P1817" s="212">
        <f t="shared" si="738"/>
        <v>1</v>
      </c>
      <c r="Q1817" s="209" t="s">
        <v>6062</v>
      </c>
      <c r="R1817" s="211" t="s">
        <v>17</v>
      </c>
      <c r="S1817" s="206" t="s">
        <v>6063</v>
      </c>
      <c r="T1817" s="206" t="s">
        <v>6064</v>
      </c>
      <c r="U1817" s="210">
        <v>42216</v>
      </c>
      <c r="V1817" s="211" t="s">
        <v>186</v>
      </c>
      <c r="W1817" s="213">
        <f t="shared" si="736"/>
        <v>0</v>
      </c>
      <c r="X1817" s="213" t="str">
        <f t="shared" si="737"/>
        <v>Correcto</v>
      </c>
    </row>
    <row r="1818" spans="1:25" ht="18" customHeight="1" x14ac:dyDescent="0.25">
      <c r="A1818" s="214">
        <v>1809</v>
      </c>
      <c r="B1818" s="206" t="s">
        <v>6065</v>
      </c>
      <c r="C1818" s="207">
        <v>42214</v>
      </c>
      <c r="D1818" s="208">
        <v>2</v>
      </c>
      <c r="E1818" s="209" t="s">
        <v>93</v>
      </c>
      <c r="F1818" s="206" t="s">
        <v>825</v>
      </c>
      <c r="G1818" s="209" t="s">
        <v>202</v>
      </c>
      <c r="H1818" s="210">
        <v>42214</v>
      </c>
      <c r="I1818" s="209" t="s">
        <v>187</v>
      </c>
      <c r="J1818" s="209" t="s">
        <v>103</v>
      </c>
      <c r="K1818" s="209" t="s">
        <v>6066</v>
      </c>
      <c r="L1818" s="210">
        <v>42215</v>
      </c>
      <c r="M1818" s="206" t="s">
        <v>824</v>
      </c>
      <c r="N1818" s="211" t="s">
        <v>185</v>
      </c>
      <c r="O1818" s="210">
        <v>42215</v>
      </c>
      <c r="P1818" s="212">
        <f t="shared" si="738"/>
        <v>1</v>
      </c>
      <c r="Q1818" s="209" t="s">
        <v>6067</v>
      </c>
      <c r="R1818" s="211" t="s">
        <v>17</v>
      </c>
      <c r="S1818" s="206" t="s">
        <v>101</v>
      </c>
      <c r="T1818" s="206" t="s">
        <v>6068</v>
      </c>
      <c r="U1818" s="210">
        <v>42216</v>
      </c>
      <c r="V1818" s="211" t="s">
        <v>186</v>
      </c>
      <c r="W1818" s="213">
        <f t="shared" si="736"/>
        <v>0</v>
      </c>
      <c r="X1818" s="213" t="str">
        <f t="shared" si="737"/>
        <v>Correcto</v>
      </c>
    </row>
    <row r="1819" spans="1:25" ht="18" customHeight="1" x14ac:dyDescent="0.25">
      <c r="A1819" s="214">
        <v>1810</v>
      </c>
      <c r="B1819" s="206" t="s">
        <v>6069</v>
      </c>
      <c r="C1819" s="207">
        <v>42214</v>
      </c>
      <c r="D1819" s="208">
        <v>2</v>
      </c>
      <c r="E1819" s="209" t="s">
        <v>93</v>
      </c>
      <c r="F1819" s="206" t="s">
        <v>825</v>
      </c>
      <c r="G1819" s="209" t="s">
        <v>202</v>
      </c>
      <c r="H1819" s="210">
        <v>42214</v>
      </c>
      <c r="I1819" s="209" t="s">
        <v>187</v>
      </c>
      <c r="J1819" s="209" t="s">
        <v>103</v>
      </c>
      <c r="K1819" s="209" t="s">
        <v>6070</v>
      </c>
      <c r="L1819" s="210">
        <v>42214</v>
      </c>
      <c r="M1819" s="206" t="s">
        <v>950</v>
      </c>
      <c r="N1819" s="211" t="s">
        <v>185</v>
      </c>
      <c r="O1819" s="210">
        <v>42215</v>
      </c>
      <c r="P1819" s="212">
        <f t="shared" si="738"/>
        <v>1</v>
      </c>
      <c r="Q1819" s="209" t="s">
        <v>6071</v>
      </c>
      <c r="R1819" s="211" t="s">
        <v>17</v>
      </c>
      <c r="S1819" s="206" t="s">
        <v>101</v>
      </c>
      <c r="T1819" s="206" t="s">
        <v>6068</v>
      </c>
      <c r="U1819" s="210">
        <v>42216</v>
      </c>
      <c r="V1819" s="211" t="s">
        <v>186</v>
      </c>
      <c r="W1819" s="213">
        <f t="shared" si="736"/>
        <v>0</v>
      </c>
      <c r="X1819" s="213" t="str">
        <f t="shared" si="737"/>
        <v>Correcto</v>
      </c>
    </row>
    <row r="1820" spans="1:25" ht="18" customHeight="1" x14ac:dyDescent="0.25">
      <c r="A1820" s="214">
        <v>1811</v>
      </c>
      <c r="B1820" s="206" t="s">
        <v>6072</v>
      </c>
      <c r="C1820" s="207">
        <v>42214</v>
      </c>
      <c r="D1820" s="208">
        <v>2</v>
      </c>
      <c r="E1820" s="209" t="s">
        <v>93</v>
      </c>
      <c r="F1820" s="206" t="s">
        <v>825</v>
      </c>
      <c r="G1820" s="209" t="s">
        <v>202</v>
      </c>
      <c r="H1820" s="210">
        <v>42214</v>
      </c>
      <c r="I1820" s="209" t="s">
        <v>187</v>
      </c>
      <c r="J1820" s="209" t="s">
        <v>103</v>
      </c>
      <c r="K1820" s="209" t="s">
        <v>6073</v>
      </c>
      <c r="L1820" s="210">
        <v>42214</v>
      </c>
      <c r="M1820" s="206" t="s">
        <v>950</v>
      </c>
      <c r="N1820" s="211" t="s">
        <v>185</v>
      </c>
      <c r="O1820" s="210">
        <v>42215</v>
      </c>
      <c r="P1820" s="212">
        <f t="shared" si="738"/>
        <v>1</v>
      </c>
      <c r="Q1820" s="209" t="s">
        <v>6074</v>
      </c>
      <c r="R1820" s="211" t="s">
        <v>17</v>
      </c>
      <c r="S1820" s="206" t="s">
        <v>101</v>
      </c>
      <c r="T1820" s="206" t="s">
        <v>6157</v>
      </c>
      <c r="U1820" s="210">
        <v>42216</v>
      </c>
      <c r="V1820" s="211" t="s">
        <v>186</v>
      </c>
      <c r="W1820" s="213">
        <f t="shared" si="736"/>
        <v>0</v>
      </c>
      <c r="X1820" s="213" t="str">
        <f t="shared" si="737"/>
        <v>Correcto</v>
      </c>
    </row>
    <row r="1821" spans="1:25" ht="18" customHeight="1" x14ac:dyDescent="0.25">
      <c r="A1821" s="214">
        <v>1812</v>
      </c>
      <c r="B1821" s="206" t="s">
        <v>6075</v>
      </c>
      <c r="C1821" s="207">
        <v>42214</v>
      </c>
      <c r="D1821" s="208">
        <v>2</v>
      </c>
      <c r="E1821" s="209" t="s">
        <v>93</v>
      </c>
      <c r="F1821" s="206" t="s">
        <v>825</v>
      </c>
      <c r="G1821" s="209" t="s">
        <v>202</v>
      </c>
      <c r="H1821" s="210">
        <v>42214</v>
      </c>
      <c r="I1821" s="209" t="s">
        <v>187</v>
      </c>
      <c r="J1821" s="209" t="s">
        <v>103</v>
      </c>
      <c r="K1821" s="209" t="s">
        <v>6076</v>
      </c>
      <c r="L1821" s="210">
        <v>42214</v>
      </c>
      <c r="M1821" s="206" t="s">
        <v>5462</v>
      </c>
      <c r="N1821" s="211" t="s">
        <v>185</v>
      </c>
      <c r="O1821" s="210">
        <v>42215</v>
      </c>
      <c r="P1821" s="212">
        <f t="shared" si="738"/>
        <v>1</v>
      </c>
      <c r="Q1821" s="209" t="s">
        <v>6077</v>
      </c>
      <c r="R1821" s="211" t="s">
        <v>17</v>
      </c>
      <c r="S1821" s="206" t="s">
        <v>101</v>
      </c>
      <c r="T1821" s="206" t="s">
        <v>101</v>
      </c>
      <c r="U1821" s="210">
        <v>42216</v>
      </c>
      <c r="V1821" s="211" t="s">
        <v>186</v>
      </c>
      <c r="W1821" s="213">
        <f t="shared" si="736"/>
        <v>0</v>
      </c>
      <c r="X1821" s="213" t="str">
        <f t="shared" si="737"/>
        <v>Correcto</v>
      </c>
    </row>
    <row r="1822" spans="1:25" ht="18" customHeight="1" x14ac:dyDescent="0.25">
      <c r="A1822" s="214">
        <v>1813</v>
      </c>
      <c r="B1822" s="206" t="s">
        <v>6078</v>
      </c>
      <c r="C1822" s="207">
        <v>42214</v>
      </c>
      <c r="D1822" s="208">
        <v>2</v>
      </c>
      <c r="E1822" s="209" t="s">
        <v>93</v>
      </c>
      <c r="F1822" s="206" t="s">
        <v>825</v>
      </c>
      <c r="G1822" s="209" t="s">
        <v>202</v>
      </c>
      <c r="H1822" s="210">
        <v>42214</v>
      </c>
      <c r="I1822" s="209" t="s">
        <v>187</v>
      </c>
      <c r="J1822" s="209" t="s">
        <v>103</v>
      </c>
      <c r="K1822" s="209" t="s">
        <v>6079</v>
      </c>
      <c r="L1822" s="210">
        <v>42214</v>
      </c>
      <c r="M1822" s="206" t="s">
        <v>950</v>
      </c>
      <c r="N1822" s="211" t="s">
        <v>185</v>
      </c>
      <c r="O1822" s="210">
        <v>42215</v>
      </c>
      <c r="P1822" s="212">
        <f t="shared" si="738"/>
        <v>1</v>
      </c>
      <c r="Q1822" s="209" t="s">
        <v>6080</v>
      </c>
      <c r="R1822" s="211" t="s">
        <v>17</v>
      </c>
      <c r="S1822" s="206" t="s">
        <v>101</v>
      </c>
      <c r="T1822" s="206" t="s">
        <v>101</v>
      </c>
      <c r="U1822" s="210">
        <v>42216</v>
      </c>
      <c r="V1822" s="211" t="s">
        <v>186</v>
      </c>
      <c r="W1822" s="213">
        <f t="shared" si="736"/>
        <v>0</v>
      </c>
      <c r="X1822" s="213" t="str">
        <f t="shared" si="737"/>
        <v>Correcto</v>
      </c>
    </row>
    <row r="1823" spans="1:25" ht="18" customHeight="1" x14ac:dyDescent="0.25">
      <c r="A1823" s="214">
        <v>1814</v>
      </c>
      <c r="B1823" s="206" t="s">
        <v>6081</v>
      </c>
      <c r="C1823" s="207">
        <v>42214</v>
      </c>
      <c r="D1823" s="208">
        <v>2</v>
      </c>
      <c r="E1823" s="209" t="s">
        <v>93</v>
      </c>
      <c r="F1823" s="206" t="s">
        <v>825</v>
      </c>
      <c r="G1823" s="209" t="s">
        <v>202</v>
      </c>
      <c r="H1823" s="210">
        <v>42214</v>
      </c>
      <c r="I1823" s="209" t="s">
        <v>187</v>
      </c>
      <c r="J1823" s="209" t="s">
        <v>103</v>
      </c>
      <c r="K1823" s="209" t="s">
        <v>6082</v>
      </c>
      <c r="L1823" s="210">
        <v>42214</v>
      </c>
      <c r="M1823" s="206" t="s">
        <v>5462</v>
      </c>
      <c r="N1823" s="211" t="s">
        <v>185</v>
      </c>
      <c r="O1823" s="210">
        <v>42215</v>
      </c>
      <c r="P1823" s="212">
        <f t="shared" si="738"/>
        <v>1</v>
      </c>
      <c r="Q1823" s="209" t="s">
        <v>6083</v>
      </c>
      <c r="R1823" s="211" t="s">
        <v>17</v>
      </c>
      <c r="S1823" s="206" t="s">
        <v>101</v>
      </c>
      <c r="T1823" s="206" t="s">
        <v>101</v>
      </c>
      <c r="U1823" s="210">
        <v>42216</v>
      </c>
      <c r="V1823" s="211" t="s">
        <v>186</v>
      </c>
      <c r="W1823" s="213">
        <f t="shared" si="736"/>
        <v>0</v>
      </c>
      <c r="X1823" s="213" t="str">
        <f t="shared" si="737"/>
        <v>Correcto</v>
      </c>
    </row>
    <row r="1824" spans="1:25" ht="18" customHeight="1" x14ac:dyDescent="0.25">
      <c r="A1824" s="214">
        <v>1815</v>
      </c>
      <c r="B1824" s="206" t="s">
        <v>6084</v>
      </c>
      <c r="C1824" s="207">
        <v>42214</v>
      </c>
      <c r="D1824" s="208">
        <v>2</v>
      </c>
      <c r="E1824" s="209" t="s">
        <v>93</v>
      </c>
      <c r="F1824" s="206" t="s">
        <v>825</v>
      </c>
      <c r="G1824" s="209" t="s">
        <v>202</v>
      </c>
      <c r="H1824" s="210">
        <v>42214</v>
      </c>
      <c r="I1824" s="209" t="s">
        <v>187</v>
      </c>
      <c r="J1824" s="209" t="s">
        <v>103</v>
      </c>
      <c r="K1824" s="209" t="s">
        <v>6085</v>
      </c>
      <c r="L1824" s="210">
        <v>42214</v>
      </c>
      <c r="M1824" s="206" t="s">
        <v>5462</v>
      </c>
      <c r="N1824" s="211" t="s">
        <v>185</v>
      </c>
      <c r="O1824" s="210">
        <v>42215</v>
      </c>
      <c r="P1824" s="212">
        <f t="shared" si="738"/>
        <v>1</v>
      </c>
      <c r="Q1824" s="209" t="s">
        <v>6086</v>
      </c>
      <c r="R1824" s="211" t="s">
        <v>17</v>
      </c>
      <c r="S1824" s="206" t="s">
        <v>101</v>
      </c>
      <c r="T1824" s="206" t="s">
        <v>101</v>
      </c>
      <c r="U1824" s="210">
        <v>42216</v>
      </c>
      <c r="V1824" s="211" t="s">
        <v>186</v>
      </c>
      <c r="W1824" s="213">
        <f t="shared" si="736"/>
        <v>0</v>
      </c>
      <c r="X1824" s="213" t="str">
        <f t="shared" si="737"/>
        <v>Correcto</v>
      </c>
    </row>
    <row r="1825" spans="1:24" ht="18" customHeight="1" x14ac:dyDescent="0.25">
      <c r="A1825" s="214">
        <v>1816</v>
      </c>
      <c r="B1825" s="206" t="s">
        <v>6087</v>
      </c>
      <c r="C1825" s="207">
        <v>42214</v>
      </c>
      <c r="D1825" s="208">
        <v>2</v>
      </c>
      <c r="E1825" s="209" t="s">
        <v>93</v>
      </c>
      <c r="F1825" s="206" t="s">
        <v>825</v>
      </c>
      <c r="G1825" s="209" t="s">
        <v>202</v>
      </c>
      <c r="H1825" s="210">
        <v>42214</v>
      </c>
      <c r="I1825" s="209" t="s">
        <v>187</v>
      </c>
      <c r="J1825" s="209" t="s">
        <v>103</v>
      </c>
      <c r="K1825" s="209" t="s">
        <v>6088</v>
      </c>
      <c r="L1825" s="210">
        <v>42214</v>
      </c>
      <c r="M1825" s="206" t="s">
        <v>950</v>
      </c>
      <c r="N1825" s="211" t="s">
        <v>185</v>
      </c>
      <c r="O1825" s="210">
        <v>42215</v>
      </c>
      <c r="P1825" s="212">
        <f t="shared" si="738"/>
        <v>1</v>
      </c>
      <c r="Q1825" s="209" t="s">
        <v>6089</v>
      </c>
      <c r="R1825" s="211" t="s">
        <v>17</v>
      </c>
      <c r="S1825" s="206" t="s">
        <v>101</v>
      </c>
      <c r="T1825" s="206" t="s">
        <v>101</v>
      </c>
      <c r="U1825" s="210">
        <v>42216</v>
      </c>
      <c r="V1825" s="211" t="s">
        <v>186</v>
      </c>
      <c r="W1825" s="213">
        <f t="shared" si="736"/>
        <v>0</v>
      </c>
      <c r="X1825" s="213" t="str">
        <f t="shared" si="737"/>
        <v>Correcto</v>
      </c>
    </row>
    <row r="1826" spans="1:24" ht="18" customHeight="1" x14ac:dyDescent="0.25">
      <c r="A1826" s="214">
        <v>1817</v>
      </c>
      <c r="B1826" s="206" t="s">
        <v>6090</v>
      </c>
      <c r="C1826" s="207">
        <v>42214</v>
      </c>
      <c r="D1826" s="208">
        <v>2</v>
      </c>
      <c r="E1826" s="209" t="s">
        <v>93</v>
      </c>
      <c r="F1826" s="206" t="s">
        <v>825</v>
      </c>
      <c r="G1826" s="209" t="s">
        <v>202</v>
      </c>
      <c r="H1826" s="210">
        <v>42214</v>
      </c>
      <c r="I1826" s="209" t="s">
        <v>187</v>
      </c>
      <c r="J1826" s="209" t="s">
        <v>103</v>
      </c>
      <c r="K1826" s="209" t="s">
        <v>6091</v>
      </c>
      <c r="L1826" s="210">
        <v>42214</v>
      </c>
      <c r="M1826" s="206" t="s">
        <v>950</v>
      </c>
      <c r="N1826" s="211" t="s">
        <v>185</v>
      </c>
      <c r="O1826" s="210">
        <v>42215</v>
      </c>
      <c r="P1826" s="212">
        <f t="shared" si="738"/>
        <v>1</v>
      </c>
      <c r="Q1826" s="209" t="s">
        <v>6092</v>
      </c>
      <c r="R1826" s="211" t="s">
        <v>17</v>
      </c>
      <c r="S1826" s="206" t="s">
        <v>101</v>
      </c>
      <c r="T1826" s="206" t="s">
        <v>101</v>
      </c>
      <c r="U1826" s="210">
        <v>42216</v>
      </c>
      <c r="V1826" s="211" t="s">
        <v>186</v>
      </c>
      <c r="W1826" s="213">
        <f t="shared" si="736"/>
        <v>0</v>
      </c>
      <c r="X1826" s="213" t="str">
        <f t="shared" si="737"/>
        <v>Correcto</v>
      </c>
    </row>
    <row r="1827" spans="1:24" ht="18" customHeight="1" x14ac:dyDescent="0.25">
      <c r="A1827" s="214">
        <v>1818</v>
      </c>
      <c r="B1827" s="206" t="s">
        <v>6093</v>
      </c>
      <c r="C1827" s="207">
        <v>42214</v>
      </c>
      <c r="D1827" s="208">
        <v>2</v>
      </c>
      <c r="E1827" s="209" t="s">
        <v>93</v>
      </c>
      <c r="F1827" s="206" t="s">
        <v>825</v>
      </c>
      <c r="G1827" s="209" t="s">
        <v>202</v>
      </c>
      <c r="H1827" s="210">
        <v>42214</v>
      </c>
      <c r="I1827" s="209" t="s">
        <v>187</v>
      </c>
      <c r="J1827" s="209" t="s">
        <v>103</v>
      </c>
      <c r="K1827" s="209" t="s">
        <v>6094</v>
      </c>
      <c r="L1827" s="210">
        <v>42214</v>
      </c>
      <c r="M1827" s="206" t="s">
        <v>950</v>
      </c>
      <c r="N1827" s="211" t="s">
        <v>185</v>
      </c>
      <c r="O1827" s="210">
        <v>42215</v>
      </c>
      <c r="P1827" s="212">
        <f t="shared" si="738"/>
        <v>1</v>
      </c>
      <c r="Q1827" s="209" t="s">
        <v>6095</v>
      </c>
      <c r="R1827" s="211" t="s">
        <v>17</v>
      </c>
      <c r="S1827" s="206" t="s">
        <v>104</v>
      </c>
      <c r="T1827" s="206" t="s">
        <v>104</v>
      </c>
      <c r="U1827" s="210">
        <v>42219</v>
      </c>
      <c r="V1827" s="211" t="s">
        <v>186</v>
      </c>
      <c r="W1827" s="213">
        <f t="shared" si="736"/>
        <v>0</v>
      </c>
      <c r="X1827" s="213" t="str">
        <f t="shared" si="737"/>
        <v>Correcto</v>
      </c>
    </row>
    <row r="1828" spans="1:24" ht="18" customHeight="1" x14ac:dyDescent="0.25">
      <c r="A1828" s="214">
        <v>1819</v>
      </c>
      <c r="B1828" s="206" t="s">
        <v>6096</v>
      </c>
      <c r="C1828" s="207">
        <v>42214</v>
      </c>
      <c r="D1828" s="208">
        <v>2</v>
      </c>
      <c r="E1828" s="209" t="s">
        <v>93</v>
      </c>
      <c r="F1828" s="206" t="s">
        <v>825</v>
      </c>
      <c r="G1828" s="209" t="s">
        <v>202</v>
      </c>
      <c r="H1828" s="210">
        <v>42214</v>
      </c>
      <c r="I1828" s="209" t="s">
        <v>187</v>
      </c>
      <c r="J1828" s="209" t="s">
        <v>103</v>
      </c>
      <c r="K1828" s="209" t="s">
        <v>6097</v>
      </c>
      <c r="L1828" s="210">
        <v>42214</v>
      </c>
      <c r="M1828" s="206" t="s">
        <v>950</v>
      </c>
      <c r="N1828" s="211" t="s">
        <v>185</v>
      </c>
      <c r="O1828" s="210">
        <v>42215</v>
      </c>
      <c r="P1828" s="212">
        <f t="shared" si="738"/>
        <v>1</v>
      </c>
      <c r="Q1828" s="209" t="s">
        <v>6098</v>
      </c>
      <c r="R1828" s="211" t="s">
        <v>1027</v>
      </c>
      <c r="S1828" s="206" t="s">
        <v>101</v>
      </c>
      <c r="T1828" s="206" t="s">
        <v>6851</v>
      </c>
      <c r="U1828" s="210">
        <v>42215</v>
      </c>
      <c r="V1828" s="211" t="s">
        <v>186</v>
      </c>
      <c r="W1828" s="213">
        <f t="shared" si="736"/>
        <v>0</v>
      </c>
      <c r="X1828" s="213" t="str">
        <f t="shared" si="737"/>
        <v>Correcto</v>
      </c>
    </row>
    <row r="1829" spans="1:24" ht="18" customHeight="1" x14ac:dyDescent="0.25">
      <c r="A1829" s="214">
        <v>1820</v>
      </c>
      <c r="B1829" s="206" t="s">
        <v>6099</v>
      </c>
      <c r="C1829" s="207">
        <v>42214</v>
      </c>
      <c r="D1829" s="208">
        <v>4</v>
      </c>
      <c r="E1829" s="209" t="s">
        <v>93</v>
      </c>
      <c r="F1829" s="206" t="s">
        <v>825</v>
      </c>
      <c r="G1829" s="209" t="s">
        <v>202</v>
      </c>
      <c r="H1829" s="210">
        <v>42215</v>
      </c>
      <c r="I1829" s="209" t="s">
        <v>187</v>
      </c>
      <c r="J1829" s="209" t="s">
        <v>103</v>
      </c>
      <c r="K1829" s="209" t="s">
        <v>6100</v>
      </c>
      <c r="L1829" s="210">
        <v>42215</v>
      </c>
      <c r="M1829" s="206" t="s">
        <v>5462</v>
      </c>
      <c r="N1829" s="211" t="s">
        <v>185</v>
      </c>
      <c r="O1829" s="210">
        <v>42215</v>
      </c>
      <c r="P1829" s="212">
        <f t="shared" si="738"/>
        <v>1</v>
      </c>
      <c r="Q1829" s="209" t="s">
        <v>6101</v>
      </c>
      <c r="R1829" s="211" t="s">
        <v>17</v>
      </c>
      <c r="S1829" s="206" t="s">
        <v>6102</v>
      </c>
      <c r="T1829" s="206" t="s">
        <v>6103</v>
      </c>
      <c r="U1829" s="210">
        <v>42215</v>
      </c>
      <c r="V1829" s="211" t="s">
        <v>186</v>
      </c>
      <c r="W1829" s="213">
        <f t="shared" si="736"/>
        <v>0</v>
      </c>
      <c r="X1829" s="213" t="str">
        <f t="shared" si="737"/>
        <v>Correcto</v>
      </c>
    </row>
    <row r="1830" spans="1:24" ht="18" customHeight="1" x14ac:dyDescent="0.25">
      <c r="A1830" s="214">
        <v>1821</v>
      </c>
      <c r="B1830" s="206" t="s">
        <v>6104</v>
      </c>
      <c r="C1830" s="207">
        <v>42215</v>
      </c>
      <c r="D1830" s="208">
        <v>2</v>
      </c>
      <c r="E1830" s="209" t="s">
        <v>93</v>
      </c>
      <c r="F1830" s="206" t="s">
        <v>825</v>
      </c>
      <c r="G1830" s="209" t="s">
        <v>202</v>
      </c>
      <c r="H1830" s="210">
        <v>42219</v>
      </c>
      <c r="I1830" s="209" t="s">
        <v>187</v>
      </c>
      <c r="J1830" s="209" t="s">
        <v>103</v>
      </c>
      <c r="K1830" s="209" t="s">
        <v>6137</v>
      </c>
      <c r="L1830" s="210">
        <v>42219</v>
      </c>
      <c r="M1830" s="206" t="s">
        <v>1914</v>
      </c>
      <c r="N1830" s="211" t="s">
        <v>185</v>
      </c>
      <c r="O1830" s="210">
        <v>42219</v>
      </c>
      <c r="P1830" s="212">
        <f t="shared" si="738"/>
        <v>4</v>
      </c>
      <c r="Q1830" s="209" t="s">
        <v>6137</v>
      </c>
      <c r="R1830" s="211" t="s">
        <v>17</v>
      </c>
      <c r="S1830" s="206" t="s">
        <v>6105</v>
      </c>
      <c r="T1830" s="206">
        <v>1102143664</v>
      </c>
      <c r="U1830" s="210"/>
      <c r="V1830" s="211" t="s">
        <v>186</v>
      </c>
      <c r="W1830" s="213">
        <f t="shared" si="736"/>
        <v>1</v>
      </c>
      <c r="X1830" s="213" t="str">
        <f t="shared" si="737"/>
        <v>Incorrecto</v>
      </c>
    </row>
    <row r="1831" spans="1:24" ht="18" customHeight="1" x14ac:dyDescent="0.25">
      <c r="A1831" s="214">
        <v>1822</v>
      </c>
      <c r="B1831" s="206" t="s">
        <v>6106</v>
      </c>
      <c r="C1831" s="207">
        <v>42215</v>
      </c>
      <c r="D1831" s="208">
        <v>2</v>
      </c>
      <c r="E1831" s="209" t="s">
        <v>93</v>
      </c>
      <c r="F1831" s="206" t="s">
        <v>825</v>
      </c>
      <c r="G1831" s="209" t="s">
        <v>202</v>
      </c>
      <c r="H1831" s="210">
        <v>42215</v>
      </c>
      <c r="I1831" s="209" t="s">
        <v>187</v>
      </c>
      <c r="J1831" s="209" t="s">
        <v>103</v>
      </c>
      <c r="K1831" s="209" t="s">
        <v>6107</v>
      </c>
      <c r="L1831" s="210">
        <v>42215</v>
      </c>
      <c r="M1831" s="206" t="s">
        <v>950</v>
      </c>
      <c r="N1831" s="211" t="s">
        <v>185</v>
      </c>
      <c r="O1831" s="210">
        <v>42215</v>
      </c>
      <c r="P1831" s="212">
        <f t="shared" si="738"/>
        <v>0</v>
      </c>
      <c r="Q1831" s="209" t="s">
        <v>6108</v>
      </c>
      <c r="R1831" s="211" t="s">
        <v>17</v>
      </c>
      <c r="S1831" s="206" t="s">
        <v>104</v>
      </c>
      <c r="T1831" s="206">
        <v>1750931899</v>
      </c>
      <c r="U1831" s="210">
        <v>42216</v>
      </c>
      <c r="V1831" s="211" t="s">
        <v>186</v>
      </c>
      <c r="W1831" s="213">
        <f t="shared" si="736"/>
        <v>0</v>
      </c>
      <c r="X1831" s="213" t="str">
        <f t="shared" si="737"/>
        <v>Correcto</v>
      </c>
    </row>
    <row r="1832" spans="1:24" ht="18" customHeight="1" x14ac:dyDescent="0.25">
      <c r="A1832" s="214">
        <v>1823</v>
      </c>
      <c r="B1832" s="206" t="s">
        <v>6109</v>
      </c>
      <c r="C1832" s="207">
        <v>42215</v>
      </c>
      <c r="D1832" s="208">
        <v>2</v>
      </c>
      <c r="E1832" s="209" t="s">
        <v>93</v>
      </c>
      <c r="F1832" s="206" t="s">
        <v>825</v>
      </c>
      <c r="G1832" s="209" t="s">
        <v>202</v>
      </c>
      <c r="H1832" s="210">
        <v>42215</v>
      </c>
      <c r="I1832" s="209" t="s">
        <v>187</v>
      </c>
      <c r="J1832" s="209" t="s">
        <v>103</v>
      </c>
      <c r="K1832" s="209" t="s">
        <v>6110</v>
      </c>
      <c r="L1832" s="210">
        <v>42215</v>
      </c>
      <c r="M1832" s="206" t="s">
        <v>5462</v>
      </c>
      <c r="N1832" s="211" t="s">
        <v>185</v>
      </c>
      <c r="O1832" s="210">
        <v>42216</v>
      </c>
      <c r="P1832" s="212">
        <f t="shared" si="738"/>
        <v>1</v>
      </c>
      <c r="Q1832" s="209" t="s">
        <v>6852</v>
      </c>
      <c r="R1832" s="211" t="s">
        <v>17</v>
      </c>
      <c r="S1832" s="206" t="s">
        <v>6111</v>
      </c>
      <c r="T1832" s="206">
        <v>1104472251</v>
      </c>
      <c r="U1832" s="210"/>
      <c r="V1832" s="211" t="s">
        <v>186</v>
      </c>
      <c r="W1832" s="213">
        <f t="shared" si="736"/>
        <v>1</v>
      </c>
      <c r="X1832" s="213" t="str">
        <f t="shared" si="737"/>
        <v>Incorrecto</v>
      </c>
    </row>
    <row r="1833" spans="1:24" ht="18" customHeight="1" x14ac:dyDescent="0.25">
      <c r="A1833" s="214">
        <v>1824</v>
      </c>
      <c r="B1833" s="206" t="s">
        <v>6112</v>
      </c>
      <c r="C1833" s="207">
        <v>42215</v>
      </c>
      <c r="D1833" s="208">
        <v>2</v>
      </c>
      <c r="E1833" s="209" t="s">
        <v>93</v>
      </c>
      <c r="F1833" s="206" t="s">
        <v>825</v>
      </c>
      <c r="G1833" s="209" t="s">
        <v>202</v>
      </c>
      <c r="H1833" s="210">
        <v>42215</v>
      </c>
      <c r="I1833" s="209" t="s">
        <v>187</v>
      </c>
      <c r="J1833" s="209" t="s">
        <v>103</v>
      </c>
      <c r="K1833" s="209" t="s">
        <v>6113</v>
      </c>
      <c r="L1833" s="210">
        <v>42215</v>
      </c>
      <c r="M1833" s="206" t="s">
        <v>5462</v>
      </c>
      <c r="N1833" s="211" t="s">
        <v>185</v>
      </c>
      <c r="O1833" s="210">
        <v>42216</v>
      </c>
      <c r="P1833" s="212">
        <f t="shared" si="738"/>
        <v>1</v>
      </c>
      <c r="Q1833" s="209" t="s">
        <v>6853</v>
      </c>
      <c r="R1833" s="211" t="s">
        <v>17</v>
      </c>
      <c r="S1833" s="206" t="s">
        <v>101</v>
      </c>
      <c r="T1833" s="206" t="s">
        <v>6114</v>
      </c>
      <c r="U1833" s="210"/>
      <c r="V1833" s="211" t="s">
        <v>186</v>
      </c>
      <c r="W1833" s="213">
        <f t="shared" si="736"/>
        <v>1</v>
      </c>
      <c r="X1833" s="213" t="str">
        <f t="shared" si="737"/>
        <v>Incorrecto</v>
      </c>
    </row>
    <row r="1834" spans="1:24" ht="18" customHeight="1" x14ac:dyDescent="0.25">
      <c r="A1834" s="214">
        <v>1825</v>
      </c>
      <c r="B1834" s="206" t="s">
        <v>6115</v>
      </c>
      <c r="C1834" s="207">
        <v>42215</v>
      </c>
      <c r="D1834" s="208">
        <v>2</v>
      </c>
      <c r="E1834" s="209" t="s">
        <v>93</v>
      </c>
      <c r="F1834" s="206" t="s">
        <v>825</v>
      </c>
      <c r="G1834" s="209" t="s">
        <v>202</v>
      </c>
      <c r="H1834" s="210">
        <v>42215</v>
      </c>
      <c r="I1834" s="209" t="s">
        <v>187</v>
      </c>
      <c r="J1834" s="209" t="s">
        <v>103</v>
      </c>
      <c r="K1834" s="209" t="s">
        <v>6116</v>
      </c>
      <c r="L1834" s="210">
        <v>42215</v>
      </c>
      <c r="M1834" s="206" t="s">
        <v>5462</v>
      </c>
      <c r="N1834" s="211" t="s">
        <v>185</v>
      </c>
      <c r="O1834" s="210">
        <v>42216</v>
      </c>
      <c r="P1834" s="212">
        <f t="shared" si="738"/>
        <v>1</v>
      </c>
      <c r="Q1834" s="209" t="s">
        <v>6117</v>
      </c>
      <c r="R1834" s="211" t="s">
        <v>17</v>
      </c>
      <c r="S1834" s="206" t="s">
        <v>6118</v>
      </c>
      <c r="T1834" s="206">
        <v>1712554623</v>
      </c>
      <c r="U1834" s="210">
        <v>42216</v>
      </c>
      <c r="V1834" s="211" t="s">
        <v>186</v>
      </c>
      <c r="W1834" s="213">
        <f t="shared" si="736"/>
        <v>0</v>
      </c>
      <c r="X1834" s="213" t="str">
        <f t="shared" si="737"/>
        <v>Correcto</v>
      </c>
    </row>
    <row r="1835" spans="1:24" ht="18" customHeight="1" x14ac:dyDescent="0.25">
      <c r="A1835" s="214">
        <v>1826</v>
      </c>
      <c r="B1835" s="206" t="s">
        <v>6119</v>
      </c>
      <c r="C1835" s="207">
        <v>42215</v>
      </c>
      <c r="D1835" s="208">
        <v>2</v>
      </c>
      <c r="E1835" s="209" t="s">
        <v>93</v>
      </c>
      <c r="F1835" s="206" t="s">
        <v>825</v>
      </c>
      <c r="G1835" s="209" t="s">
        <v>202</v>
      </c>
      <c r="H1835" s="210">
        <v>42215</v>
      </c>
      <c r="I1835" s="209" t="s">
        <v>187</v>
      </c>
      <c r="J1835" s="209" t="s">
        <v>103</v>
      </c>
      <c r="K1835" s="209" t="s">
        <v>6120</v>
      </c>
      <c r="L1835" s="210">
        <v>42215</v>
      </c>
      <c r="M1835" s="206" t="s">
        <v>950</v>
      </c>
      <c r="N1835" s="211" t="s">
        <v>185</v>
      </c>
      <c r="O1835" s="210">
        <v>42216</v>
      </c>
      <c r="P1835" s="212">
        <f t="shared" si="738"/>
        <v>1</v>
      </c>
      <c r="Q1835" s="209" t="s">
        <v>6854</v>
      </c>
      <c r="R1835" s="211" t="s">
        <v>17</v>
      </c>
      <c r="S1835" s="206" t="s">
        <v>101</v>
      </c>
      <c r="T1835" s="206" t="s">
        <v>1651</v>
      </c>
      <c r="U1835" s="210">
        <v>42220</v>
      </c>
      <c r="V1835" s="211" t="s">
        <v>186</v>
      </c>
      <c r="W1835" s="213">
        <f t="shared" si="736"/>
        <v>0</v>
      </c>
      <c r="X1835" s="213" t="str">
        <f t="shared" si="737"/>
        <v>Correcto</v>
      </c>
    </row>
    <row r="1836" spans="1:24" ht="18" customHeight="1" x14ac:dyDescent="0.25">
      <c r="A1836" s="214">
        <v>1827</v>
      </c>
      <c r="B1836" s="206" t="s">
        <v>6121</v>
      </c>
      <c r="C1836" s="207">
        <v>42216</v>
      </c>
      <c r="D1836" s="208">
        <v>2</v>
      </c>
      <c r="E1836" s="209" t="s">
        <v>93</v>
      </c>
      <c r="F1836" s="206" t="s">
        <v>825</v>
      </c>
      <c r="G1836" s="209" t="s">
        <v>202</v>
      </c>
      <c r="H1836" s="210">
        <v>42216</v>
      </c>
      <c r="I1836" s="209" t="s">
        <v>187</v>
      </c>
      <c r="J1836" s="209" t="s">
        <v>103</v>
      </c>
      <c r="K1836" s="209" t="s">
        <v>6122</v>
      </c>
      <c r="L1836" s="210">
        <v>42216</v>
      </c>
      <c r="M1836" s="206" t="s">
        <v>5462</v>
      </c>
      <c r="N1836" s="211" t="s">
        <v>185</v>
      </c>
      <c r="O1836" s="210">
        <v>42216</v>
      </c>
      <c r="P1836" s="212">
        <f t="shared" si="738"/>
        <v>0</v>
      </c>
      <c r="Q1836" s="209" t="s">
        <v>6855</v>
      </c>
      <c r="R1836" s="211" t="s">
        <v>17</v>
      </c>
      <c r="S1836" s="206" t="s">
        <v>101</v>
      </c>
      <c r="T1836" s="206" t="s">
        <v>1011</v>
      </c>
      <c r="U1836" s="210">
        <v>42220</v>
      </c>
      <c r="V1836" s="211" t="s">
        <v>186</v>
      </c>
      <c r="W1836" s="213">
        <f t="shared" si="736"/>
        <v>0</v>
      </c>
      <c r="X1836" s="213" t="str">
        <f t="shared" si="737"/>
        <v>Correcto</v>
      </c>
    </row>
    <row r="1837" spans="1:24" ht="18" customHeight="1" x14ac:dyDescent="0.25">
      <c r="A1837" s="214">
        <v>1828</v>
      </c>
      <c r="B1837" s="206" t="s">
        <v>6123</v>
      </c>
      <c r="C1837" s="207">
        <v>42216</v>
      </c>
      <c r="D1837" s="208">
        <v>2</v>
      </c>
      <c r="E1837" s="209" t="s">
        <v>93</v>
      </c>
      <c r="F1837" s="206" t="s">
        <v>825</v>
      </c>
      <c r="G1837" s="209" t="s">
        <v>202</v>
      </c>
      <c r="H1837" s="210">
        <v>42216</v>
      </c>
      <c r="I1837" s="209" t="s">
        <v>187</v>
      </c>
      <c r="J1837" s="209" t="s">
        <v>103</v>
      </c>
      <c r="K1837" s="209" t="s">
        <v>6124</v>
      </c>
      <c r="L1837" s="210">
        <v>42216</v>
      </c>
      <c r="M1837" s="206" t="s">
        <v>950</v>
      </c>
      <c r="N1837" s="211" t="s">
        <v>185</v>
      </c>
      <c r="O1837" s="210">
        <v>42219</v>
      </c>
      <c r="P1837" s="212">
        <f t="shared" si="738"/>
        <v>3</v>
      </c>
      <c r="Q1837" s="209" t="s">
        <v>6861</v>
      </c>
      <c r="R1837" s="211" t="s">
        <v>17</v>
      </c>
      <c r="S1837" s="206" t="s">
        <v>101</v>
      </c>
      <c r="T1837" s="206" t="s">
        <v>6856</v>
      </c>
      <c r="U1837" s="210">
        <v>42220</v>
      </c>
      <c r="V1837" s="211" t="s">
        <v>186</v>
      </c>
      <c r="W1837" s="213">
        <f t="shared" si="736"/>
        <v>0</v>
      </c>
      <c r="X1837" s="213" t="str">
        <f t="shared" si="737"/>
        <v>Correcto</v>
      </c>
    </row>
    <row r="1838" spans="1:24" ht="18" customHeight="1" x14ac:dyDescent="0.25">
      <c r="A1838" s="214">
        <v>1829</v>
      </c>
      <c r="B1838" s="206" t="s">
        <v>6125</v>
      </c>
      <c r="C1838" s="207">
        <v>42216</v>
      </c>
      <c r="D1838" s="208">
        <v>2</v>
      </c>
      <c r="E1838" s="209" t="s">
        <v>93</v>
      </c>
      <c r="F1838" s="206" t="s">
        <v>825</v>
      </c>
      <c r="G1838" s="209" t="s">
        <v>202</v>
      </c>
      <c r="H1838" s="210">
        <v>42216</v>
      </c>
      <c r="I1838" s="209" t="s">
        <v>187</v>
      </c>
      <c r="J1838" s="209" t="s">
        <v>103</v>
      </c>
      <c r="K1838" s="209" t="s">
        <v>6126</v>
      </c>
      <c r="L1838" s="210">
        <v>42216</v>
      </c>
      <c r="M1838" s="206" t="s">
        <v>5462</v>
      </c>
      <c r="N1838" s="211" t="s">
        <v>185</v>
      </c>
      <c r="O1838" s="210">
        <v>42216</v>
      </c>
      <c r="P1838" s="212">
        <f t="shared" si="738"/>
        <v>0</v>
      </c>
      <c r="Q1838" s="209" t="s">
        <v>6857</v>
      </c>
      <c r="R1838" s="211" t="s">
        <v>17</v>
      </c>
      <c r="S1838" s="206" t="s">
        <v>101</v>
      </c>
      <c r="T1838" s="206" t="s">
        <v>1391</v>
      </c>
      <c r="U1838" s="210">
        <v>42220</v>
      </c>
      <c r="V1838" s="211" t="s">
        <v>186</v>
      </c>
      <c r="W1838" s="213">
        <f t="shared" si="736"/>
        <v>0</v>
      </c>
      <c r="X1838" s="213" t="str">
        <f t="shared" si="737"/>
        <v>Correcto</v>
      </c>
    </row>
    <row r="1839" spans="1:24" ht="18" customHeight="1" x14ac:dyDescent="0.25">
      <c r="A1839" s="214">
        <v>1830</v>
      </c>
      <c r="B1839" s="206" t="s">
        <v>6127</v>
      </c>
      <c r="C1839" s="207">
        <v>42216</v>
      </c>
      <c r="D1839" s="208">
        <v>2</v>
      </c>
      <c r="E1839" s="209" t="s">
        <v>93</v>
      </c>
      <c r="F1839" s="206" t="s">
        <v>825</v>
      </c>
      <c r="G1839" s="209" t="s">
        <v>202</v>
      </c>
      <c r="H1839" s="210">
        <v>42216</v>
      </c>
      <c r="I1839" s="209" t="s">
        <v>187</v>
      </c>
      <c r="J1839" s="209" t="s">
        <v>103</v>
      </c>
      <c r="K1839" s="209" t="s">
        <v>6128</v>
      </c>
      <c r="L1839" s="210">
        <v>42216</v>
      </c>
      <c r="M1839" s="206" t="s">
        <v>950</v>
      </c>
      <c r="N1839" s="211" t="s">
        <v>185</v>
      </c>
      <c r="O1839" s="210">
        <v>42216</v>
      </c>
      <c r="P1839" s="212">
        <f t="shared" si="738"/>
        <v>0</v>
      </c>
      <c r="Q1839" s="209" t="s">
        <v>6858</v>
      </c>
      <c r="R1839" s="211" t="s">
        <v>17</v>
      </c>
      <c r="S1839" s="206" t="s">
        <v>101</v>
      </c>
      <c r="T1839" s="206" t="s">
        <v>6859</v>
      </c>
      <c r="U1839" s="210">
        <v>42220</v>
      </c>
      <c r="V1839" s="211" t="s">
        <v>186</v>
      </c>
      <c r="W1839" s="213">
        <f t="shared" si="736"/>
        <v>0</v>
      </c>
      <c r="X1839" s="213" t="str">
        <f t="shared" si="737"/>
        <v>Correcto</v>
      </c>
    </row>
    <row r="1840" spans="1:24" ht="18" customHeight="1" x14ac:dyDescent="0.25">
      <c r="A1840" s="214">
        <v>1831</v>
      </c>
      <c r="B1840" s="206" t="s">
        <v>6129</v>
      </c>
      <c r="C1840" s="207">
        <v>42216</v>
      </c>
      <c r="D1840" s="208">
        <v>2</v>
      </c>
      <c r="E1840" s="209" t="s">
        <v>93</v>
      </c>
      <c r="F1840" s="206" t="s">
        <v>825</v>
      </c>
      <c r="G1840" s="209" t="s">
        <v>202</v>
      </c>
      <c r="H1840" s="210">
        <v>42216</v>
      </c>
      <c r="I1840" s="209" t="s">
        <v>187</v>
      </c>
      <c r="J1840" s="209" t="s">
        <v>103</v>
      </c>
      <c r="K1840" s="209" t="s">
        <v>6130</v>
      </c>
      <c r="L1840" s="210">
        <v>42216</v>
      </c>
      <c r="M1840" s="206" t="s">
        <v>5462</v>
      </c>
      <c r="N1840" s="211" t="s">
        <v>185</v>
      </c>
      <c r="O1840" s="210">
        <v>42216</v>
      </c>
      <c r="P1840" s="212">
        <f t="shared" si="738"/>
        <v>0</v>
      </c>
      <c r="Q1840" s="209" t="s">
        <v>6860</v>
      </c>
      <c r="R1840" s="211" t="s">
        <v>17</v>
      </c>
      <c r="S1840" s="206" t="s">
        <v>101</v>
      </c>
      <c r="T1840" s="206" t="s">
        <v>1163</v>
      </c>
      <c r="U1840" s="210">
        <v>42220</v>
      </c>
      <c r="V1840" s="211" t="s">
        <v>186</v>
      </c>
      <c r="W1840" s="213">
        <f t="shared" si="736"/>
        <v>0</v>
      </c>
      <c r="X1840" s="213" t="str">
        <f t="shared" si="737"/>
        <v>Correcto</v>
      </c>
    </row>
    <row r="1841" spans="1:24" s="20" customFormat="1" ht="18" customHeight="1" x14ac:dyDescent="0.25">
      <c r="A1841" s="214">
        <v>1832</v>
      </c>
      <c r="B1841" s="206" t="s">
        <v>6145</v>
      </c>
      <c r="C1841" s="207">
        <v>42219</v>
      </c>
      <c r="D1841" s="216">
        <v>2</v>
      </c>
      <c r="E1841" s="216" t="s">
        <v>93</v>
      </c>
      <c r="F1841" s="209" t="s">
        <v>1201</v>
      </c>
      <c r="G1841" s="209" t="s">
        <v>202</v>
      </c>
      <c r="H1841" s="217">
        <v>42219</v>
      </c>
      <c r="I1841" s="209" t="s">
        <v>187</v>
      </c>
      <c r="J1841" s="209" t="s">
        <v>103</v>
      </c>
      <c r="K1841" s="218" t="s">
        <v>6146</v>
      </c>
      <c r="L1841" s="217">
        <v>42219</v>
      </c>
      <c r="M1841" s="218" t="s">
        <v>942</v>
      </c>
      <c r="N1841" s="219" t="s">
        <v>185</v>
      </c>
      <c r="O1841" s="217">
        <v>42220</v>
      </c>
      <c r="P1841" s="220">
        <f t="shared" si="738"/>
        <v>1</v>
      </c>
      <c r="Q1841" s="218" t="s">
        <v>6147</v>
      </c>
      <c r="R1841" s="216" t="s">
        <v>17</v>
      </c>
      <c r="S1841" s="218" t="s">
        <v>101</v>
      </c>
      <c r="T1841" s="218" t="s">
        <v>1391</v>
      </c>
      <c r="U1841" s="217">
        <v>42221</v>
      </c>
      <c r="V1841" s="221" t="s">
        <v>186</v>
      </c>
      <c r="W1841" s="213">
        <f t="shared" si="736"/>
        <v>0</v>
      </c>
      <c r="X1841" s="213" t="str">
        <f t="shared" si="737"/>
        <v>Correcto</v>
      </c>
    </row>
    <row r="1842" spans="1:24" s="20" customFormat="1" ht="18" customHeight="1" x14ac:dyDescent="0.25">
      <c r="A1842" s="214">
        <v>1833</v>
      </c>
      <c r="B1842" s="206" t="s">
        <v>6148</v>
      </c>
      <c r="C1842" s="207">
        <v>42219</v>
      </c>
      <c r="D1842" s="216">
        <v>2</v>
      </c>
      <c r="E1842" s="216" t="s">
        <v>93</v>
      </c>
      <c r="F1842" s="209" t="s">
        <v>1201</v>
      </c>
      <c r="G1842" s="209" t="s">
        <v>202</v>
      </c>
      <c r="H1842" s="217">
        <v>42219</v>
      </c>
      <c r="I1842" s="209" t="s">
        <v>187</v>
      </c>
      <c r="J1842" s="209" t="s">
        <v>103</v>
      </c>
      <c r="K1842" s="218" t="s">
        <v>6149</v>
      </c>
      <c r="L1842" s="217">
        <v>42219</v>
      </c>
      <c r="M1842" s="218" t="s">
        <v>942</v>
      </c>
      <c r="N1842" s="219" t="s">
        <v>185</v>
      </c>
      <c r="O1842" s="217">
        <v>42220</v>
      </c>
      <c r="P1842" s="220">
        <f t="shared" si="738"/>
        <v>1</v>
      </c>
      <c r="Q1842" s="218" t="s">
        <v>6150</v>
      </c>
      <c r="R1842" s="216" t="s">
        <v>17</v>
      </c>
      <c r="S1842" s="218" t="s">
        <v>104</v>
      </c>
      <c r="T1842" s="218" t="s">
        <v>6191</v>
      </c>
      <c r="U1842" s="217"/>
      <c r="V1842" s="221" t="s">
        <v>186</v>
      </c>
      <c r="W1842" s="213">
        <f t="shared" si="736"/>
        <v>1</v>
      </c>
      <c r="X1842" s="213" t="str">
        <f t="shared" si="737"/>
        <v>Incorrecto</v>
      </c>
    </row>
    <row r="1843" spans="1:24" ht="18" customHeight="1" x14ac:dyDescent="0.25">
      <c r="A1843" s="214">
        <v>1834</v>
      </c>
      <c r="B1843" s="206" t="s">
        <v>6151</v>
      </c>
      <c r="C1843" s="207">
        <v>42219</v>
      </c>
      <c r="D1843" s="216">
        <v>2</v>
      </c>
      <c r="E1843" s="216" t="s">
        <v>93</v>
      </c>
      <c r="F1843" s="209" t="s">
        <v>1201</v>
      </c>
      <c r="G1843" s="209" t="s">
        <v>202</v>
      </c>
      <c r="H1843" s="217">
        <v>42219</v>
      </c>
      <c r="I1843" s="209" t="s">
        <v>187</v>
      </c>
      <c r="J1843" s="209" t="s">
        <v>103</v>
      </c>
      <c r="K1843" s="218" t="s">
        <v>6150</v>
      </c>
      <c r="L1843" s="217">
        <v>42220</v>
      </c>
      <c r="M1843" s="218" t="s">
        <v>942</v>
      </c>
      <c r="N1843" s="219" t="s">
        <v>185</v>
      </c>
      <c r="O1843" s="217">
        <v>42220</v>
      </c>
      <c r="P1843" s="220">
        <f t="shared" si="738"/>
        <v>1</v>
      </c>
      <c r="Q1843" s="218" t="s">
        <v>6152</v>
      </c>
      <c r="R1843" s="216" t="s">
        <v>17</v>
      </c>
      <c r="S1843" s="218" t="s">
        <v>6153</v>
      </c>
      <c r="T1843" s="218">
        <v>1105210171</v>
      </c>
      <c r="U1843" s="217">
        <v>42221</v>
      </c>
      <c r="V1843" s="221" t="s">
        <v>186</v>
      </c>
      <c r="W1843" s="213">
        <f t="shared" si="736"/>
        <v>0</v>
      </c>
      <c r="X1843" s="213" t="str">
        <f t="shared" si="737"/>
        <v>Correcto</v>
      </c>
    </row>
    <row r="1844" spans="1:24" ht="18" customHeight="1" x14ac:dyDescent="0.25">
      <c r="A1844" s="214">
        <v>1835</v>
      </c>
      <c r="B1844" s="206" t="s">
        <v>6154</v>
      </c>
      <c r="C1844" s="207">
        <v>42219</v>
      </c>
      <c r="D1844" s="216">
        <v>2</v>
      </c>
      <c r="E1844" s="216" t="s">
        <v>93</v>
      </c>
      <c r="F1844" s="209" t="s">
        <v>1201</v>
      </c>
      <c r="G1844" s="209" t="s">
        <v>202</v>
      </c>
      <c r="H1844" s="217">
        <v>42219</v>
      </c>
      <c r="I1844" s="209" t="s">
        <v>187</v>
      </c>
      <c r="J1844" s="209" t="s">
        <v>103</v>
      </c>
      <c r="K1844" s="218" t="s">
        <v>6155</v>
      </c>
      <c r="L1844" s="217">
        <v>42219</v>
      </c>
      <c r="M1844" s="218" t="s">
        <v>942</v>
      </c>
      <c r="N1844" s="219" t="s">
        <v>185</v>
      </c>
      <c r="O1844" s="217">
        <v>42220</v>
      </c>
      <c r="P1844" s="220">
        <f t="shared" si="738"/>
        <v>1</v>
      </c>
      <c r="Q1844" s="218" t="s">
        <v>6156</v>
      </c>
      <c r="R1844" s="216" t="s">
        <v>17</v>
      </c>
      <c r="S1844" s="218" t="s">
        <v>101</v>
      </c>
      <c r="T1844" s="218" t="s">
        <v>6157</v>
      </c>
      <c r="U1844" s="217">
        <v>42221</v>
      </c>
      <c r="V1844" s="221" t="s">
        <v>186</v>
      </c>
      <c r="W1844" s="213">
        <f t="shared" si="736"/>
        <v>0</v>
      </c>
      <c r="X1844" s="213" t="str">
        <f t="shared" si="737"/>
        <v>Correcto</v>
      </c>
    </row>
    <row r="1845" spans="1:24" ht="18" customHeight="1" x14ac:dyDescent="0.25">
      <c r="A1845" s="214">
        <v>1836</v>
      </c>
      <c r="B1845" s="206" t="s">
        <v>6158</v>
      </c>
      <c r="C1845" s="207">
        <v>42219</v>
      </c>
      <c r="D1845" s="216">
        <v>2</v>
      </c>
      <c r="E1845" s="216" t="s">
        <v>93</v>
      </c>
      <c r="F1845" s="209" t="s">
        <v>1201</v>
      </c>
      <c r="G1845" s="209" t="s">
        <v>202</v>
      </c>
      <c r="H1845" s="217">
        <v>42219</v>
      </c>
      <c r="I1845" s="209" t="s">
        <v>187</v>
      </c>
      <c r="J1845" s="209" t="s">
        <v>103</v>
      </c>
      <c r="K1845" s="218" t="s">
        <v>6159</v>
      </c>
      <c r="L1845" s="217">
        <v>42220</v>
      </c>
      <c r="M1845" s="218" t="s">
        <v>942</v>
      </c>
      <c r="N1845" s="219" t="s">
        <v>185</v>
      </c>
      <c r="O1845" s="217">
        <v>42220</v>
      </c>
      <c r="P1845" s="220">
        <f t="shared" si="738"/>
        <v>1</v>
      </c>
      <c r="Q1845" s="218" t="s">
        <v>6159</v>
      </c>
      <c r="R1845" s="216" t="s">
        <v>17</v>
      </c>
      <c r="S1845" s="218" t="s">
        <v>6160</v>
      </c>
      <c r="T1845" s="218" t="s">
        <v>6161</v>
      </c>
      <c r="U1845" s="217">
        <v>42221</v>
      </c>
      <c r="V1845" s="221" t="s">
        <v>186</v>
      </c>
      <c r="W1845" s="213">
        <f t="shared" ref="W1845:W1909" si="739">COUNTBLANK(C1845:V1845)</f>
        <v>0</v>
      </c>
      <c r="X1845" s="213" t="str">
        <f t="shared" ref="X1845:X1909" si="740">IF(W1845=0,"Correcto","Incorrecto")</f>
        <v>Correcto</v>
      </c>
    </row>
    <row r="1846" spans="1:24" ht="18" customHeight="1" x14ac:dyDescent="0.25">
      <c r="A1846" s="214">
        <v>1837</v>
      </c>
      <c r="B1846" s="206" t="s">
        <v>6162</v>
      </c>
      <c r="C1846" s="207">
        <v>42219</v>
      </c>
      <c r="D1846" s="216">
        <v>2</v>
      </c>
      <c r="E1846" s="216" t="s">
        <v>93</v>
      </c>
      <c r="F1846" s="209" t="s">
        <v>1201</v>
      </c>
      <c r="G1846" s="209" t="s">
        <v>202</v>
      </c>
      <c r="H1846" s="217">
        <v>42219</v>
      </c>
      <c r="I1846" s="209" t="s">
        <v>187</v>
      </c>
      <c r="J1846" s="209" t="s">
        <v>103</v>
      </c>
      <c r="K1846" s="218" t="s">
        <v>6163</v>
      </c>
      <c r="L1846" s="217">
        <v>42219</v>
      </c>
      <c r="M1846" s="218" t="s">
        <v>942</v>
      </c>
      <c r="N1846" s="219" t="s">
        <v>185</v>
      </c>
      <c r="O1846" s="217">
        <v>42220</v>
      </c>
      <c r="P1846" s="220">
        <f t="shared" si="738"/>
        <v>1</v>
      </c>
      <c r="Q1846" s="218" t="s">
        <v>6164</v>
      </c>
      <c r="R1846" s="216" t="s">
        <v>17</v>
      </c>
      <c r="S1846" s="218" t="s">
        <v>101</v>
      </c>
      <c r="T1846" s="218" t="s">
        <v>6157</v>
      </c>
      <c r="U1846" s="217">
        <v>42221</v>
      </c>
      <c r="V1846" s="221" t="s">
        <v>186</v>
      </c>
      <c r="W1846" s="213">
        <f t="shared" si="739"/>
        <v>0</v>
      </c>
      <c r="X1846" s="213" t="str">
        <f t="shared" si="740"/>
        <v>Correcto</v>
      </c>
    </row>
    <row r="1847" spans="1:24" ht="18" customHeight="1" x14ac:dyDescent="0.25">
      <c r="A1847" s="214">
        <v>1838</v>
      </c>
      <c r="B1847" s="206" t="s">
        <v>6138</v>
      </c>
      <c r="C1847" s="207">
        <v>42219</v>
      </c>
      <c r="D1847" s="216">
        <v>2</v>
      </c>
      <c r="E1847" s="216" t="s">
        <v>93</v>
      </c>
      <c r="F1847" s="209" t="s">
        <v>1201</v>
      </c>
      <c r="G1847" s="209" t="s">
        <v>202</v>
      </c>
      <c r="H1847" s="217">
        <v>42219</v>
      </c>
      <c r="I1847" s="209" t="s">
        <v>187</v>
      </c>
      <c r="J1847" s="209" t="s">
        <v>103</v>
      </c>
      <c r="K1847" s="218" t="s">
        <v>6139</v>
      </c>
      <c r="L1847" s="217">
        <v>42219</v>
      </c>
      <c r="M1847" s="218" t="s">
        <v>942</v>
      </c>
      <c r="N1847" s="219" t="s">
        <v>185</v>
      </c>
      <c r="O1847" s="217">
        <v>42219</v>
      </c>
      <c r="P1847" s="220">
        <f t="shared" ref="P1847:P1912" si="741">O1847-C1847</f>
        <v>0</v>
      </c>
      <c r="Q1847" s="218" t="s">
        <v>6139</v>
      </c>
      <c r="R1847" s="216" t="s">
        <v>17</v>
      </c>
      <c r="S1847" s="218" t="s">
        <v>6165</v>
      </c>
      <c r="T1847" s="218" t="s">
        <v>6166</v>
      </c>
      <c r="U1847" s="217">
        <v>42220</v>
      </c>
      <c r="V1847" s="221" t="s">
        <v>186</v>
      </c>
      <c r="W1847" s="213">
        <f t="shared" si="739"/>
        <v>0</v>
      </c>
      <c r="X1847" s="213" t="str">
        <f t="shared" si="740"/>
        <v>Correcto</v>
      </c>
    </row>
    <row r="1848" spans="1:24" ht="18" customHeight="1" x14ac:dyDescent="0.25">
      <c r="A1848" s="214">
        <v>1839</v>
      </c>
      <c r="B1848" s="206" t="s">
        <v>6167</v>
      </c>
      <c r="C1848" s="207">
        <v>42219</v>
      </c>
      <c r="D1848" s="216">
        <v>2</v>
      </c>
      <c r="E1848" s="216" t="s">
        <v>93</v>
      </c>
      <c r="F1848" s="209" t="s">
        <v>1201</v>
      </c>
      <c r="G1848" s="209" t="s">
        <v>202</v>
      </c>
      <c r="H1848" s="217">
        <v>42219</v>
      </c>
      <c r="I1848" s="209" t="s">
        <v>187</v>
      </c>
      <c r="J1848" s="209" t="s">
        <v>103</v>
      </c>
      <c r="K1848" s="218" t="s">
        <v>6168</v>
      </c>
      <c r="L1848" s="217">
        <v>42219</v>
      </c>
      <c r="M1848" s="218" t="s">
        <v>942</v>
      </c>
      <c r="N1848" s="219" t="s">
        <v>185</v>
      </c>
      <c r="O1848" s="217">
        <v>42220</v>
      </c>
      <c r="P1848" s="220">
        <f t="shared" si="741"/>
        <v>1</v>
      </c>
      <c r="Q1848" s="218" t="s">
        <v>6169</v>
      </c>
      <c r="R1848" s="216" t="s">
        <v>17</v>
      </c>
      <c r="S1848" s="218" t="s">
        <v>101</v>
      </c>
      <c r="T1848" s="218" t="s">
        <v>1007</v>
      </c>
      <c r="U1848" s="217">
        <v>42221</v>
      </c>
      <c r="V1848" s="221" t="s">
        <v>186</v>
      </c>
      <c r="W1848" s="213">
        <f t="shared" si="739"/>
        <v>0</v>
      </c>
      <c r="X1848" s="213" t="str">
        <f t="shared" si="740"/>
        <v>Correcto</v>
      </c>
    </row>
    <row r="1849" spans="1:24" ht="18" customHeight="1" x14ac:dyDescent="0.25">
      <c r="A1849" s="214">
        <v>1840</v>
      </c>
      <c r="B1849" s="206" t="s">
        <v>6170</v>
      </c>
      <c r="C1849" s="207">
        <v>42219</v>
      </c>
      <c r="D1849" s="216">
        <v>2</v>
      </c>
      <c r="E1849" s="216" t="s">
        <v>93</v>
      </c>
      <c r="F1849" s="209" t="s">
        <v>1201</v>
      </c>
      <c r="G1849" s="209" t="s">
        <v>202</v>
      </c>
      <c r="H1849" s="217">
        <v>42219</v>
      </c>
      <c r="I1849" s="209" t="s">
        <v>187</v>
      </c>
      <c r="J1849" s="209" t="s">
        <v>103</v>
      </c>
      <c r="K1849" s="218" t="s">
        <v>6171</v>
      </c>
      <c r="L1849" s="217">
        <v>42219</v>
      </c>
      <c r="M1849" s="218" t="s">
        <v>942</v>
      </c>
      <c r="N1849" s="219" t="s">
        <v>185</v>
      </c>
      <c r="O1849" s="217">
        <v>42220</v>
      </c>
      <c r="P1849" s="220">
        <f t="shared" si="741"/>
        <v>1</v>
      </c>
      <c r="Q1849" s="218" t="s">
        <v>6172</v>
      </c>
      <c r="R1849" s="216" t="s">
        <v>17</v>
      </c>
      <c r="S1849" s="218" t="s">
        <v>101</v>
      </c>
      <c r="T1849" s="218" t="s">
        <v>1007</v>
      </c>
      <c r="U1849" s="217">
        <v>42221</v>
      </c>
      <c r="V1849" s="221" t="s">
        <v>186</v>
      </c>
      <c r="W1849" s="213">
        <f t="shared" si="739"/>
        <v>0</v>
      </c>
      <c r="X1849" s="213" t="str">
        <f t="shared" si="740"/>
        <v>Correcto</v>
      </c>
    </row>
    <row r="1850" spans="1:24" ht="18" customHeight="1" x14ac:dyDescent="0.25">
      <c r="A1850" s="214">
        <v>1841</v>
      </c>
      <c r="B1850" s="206" t="s">
        <v>6140</v>
      </c>
      <c r="C1850" s="207">
        <v>42219</v>
      </c>
      <c r="D1850" s="216">
        <v>3</v>
      </c>
      <c r="E1850" s="216" t="s">
        <v>93</v>
      </c>
      <c r="F1850" s="209" t="s">
        <v>1654</v>
      </c>
      <c r="G1850" s="209" t="s">
        <v>202</v>
      </c>
      <c r="H1850" s="217">
        <v>42219</v>
      </c>
      <c r="I1850" s="209" t="s">
        <v>187</v>
      </c>
      <c r="J1850" s="209" t="s">
        <v>103</v>
      </c>
      <c r="K1850" s="218" t="s">
        <v>6141</v>
      </c>
      <c r="L1850" s="217">
        <v>42219</v>
      </c>
      <c r="M1850" s="218" t="s">
        <v>1654</v>
      </c>
      <c r="N1850" s="219" t="s">
        <v>185</v>
      </c>
      <c r="O1850" s="217">
        <v>42219</v>
      </c>
      <c r="P1850" s="220">
        <f t="shared" si="741"/>
        <v>0</v>
      </c>
      <c r="Q1850" s="218" t="s">
        <v>6141</v>
      </c>
      <c r="R1850" s="216" t="s">
        <v>17</v>
      </c>
      <c r="S1850" s="218" t="s">
        <v>101</v>
      </c>
      <c r="T1850" s="218" t="s">
        <v>6114</v>
      </c>
      <c r="U1850" s="217">
        <v>42221</v>
      </c>
      <c r="V1850" s="221" t="s">
        <v>186</v>
      </c>
      <c r="W1850" s="213">
        <f t="shared" si="739"/>
        <v>0</v>
      </c>
      <c r="X1850" s="213" t="str">
        <f t="shared" si="740"/>
        <v>Correcto</v>
      </c>
    </row>
    <row r="1851" spans="1:24" ht="18" customHeight="1" x14ac:dyDescent="0.25">
      <c r="A1851" s="214">
        <v>1842</v>
      </c>
      <c r="B1851" s="206" t="s">
        <v>6173</v>
      </c>
      <c r="C1851" s="207">
        <v>42219</v>
      </c>
      <c r="D1851" s="216">
        <v>3</v>
      </c>
      <c r="E1851" s="216" t="s">
        <v>93</v>
      </c>
      <c r="F1851" s="209" t="s">
        <v>1654</v>
      </c>
      <c r="G1851" s="209" t="s">
        <v>202</v>
      </c>
      <c r="H1851" s="217">
        <v>42220</v>
      </c>
      <c r="I1851" s="209" t="s">
        <v>187</v>
      </c>
      <c r="J1851" s="209" t="s">
        <v>103</v>
      </c>
      <c r="K1851" s="218" t="s">
        <v>6174</v>
      </c>
      <c r="L1851" s="217">
        <v>42220</v>
      </c>
      <c r="M1851" s="218" t="s">
        <v>1654</v>
      </c>
      <c r="N1851" s="219" t="s">
        <v>185</v>
      </c>
      <c r="O1851" s="217">
        <v>42220</v>
      </c>
      <c r="P1851" s="220">
        <f t="shared" si="741"/>
        <v>1</v>
      </c>
      <c r="Q1851" s="218" t="s">
        <v>6174</v>
      </c>
      <c r="R1851" s="216" t="s">
        <v>3109</v>
      </c>
      <c r="S1851" s="218" t="s">
        <v>101</v>
      </c>
      <c r="T1851" s="218" t="s">
        <v>6862</v>
      </c>
      <c r="U1851" s="217">
        <v>42220</v>
      </c>
      <c r="V1851" s="221" t="s">
        <v>186</v>
      </c>
      <c r="W1851" s="213">
        <f t="shared" si="739"/>
        <v>0</v>
      </c>
      <c r="X1851" s="213" t="str">
        <f t="shared" si="740"/>
        <v>Correcto</v>
      </c>
    </row>
    <row r="1852" spans="1:24" ht="18" customHeight="1" x14ac:dyDescent="0.25">
      <c r="A1852" s="214">
        <v>1843</v>
      </c>
      <c r="B1852" s="206" t="s">
        <v>6175</v>
      </c>
      <c r="C1852" s="207">
        <v>42219</v>
      </c>
      <c r="D1852" s="216">
        <v>2</v>
      </c>
      <c r="E1852" s="216" t="s">
        <v>93</v>
      </c>
      <c r="F1852" s="209" t="s">
        <v>1654</v>
      </c>
      <c r="G1852" s="209" t="s">
        <v>202</v>
      </c>
      <c r="H1852" s="217">
        <v>42227</v>
      </c>
      <c r="I1852" s="209" t="s">
        <v>187</v>
      </c>
      <c r="J1852" s="209" t="s">
        <v>103</v>
      </c>
      <c r="K1852" s="218" t="s">
        <v>6176</v>
      </c>
      <c r="L1852" s="217">
        <v>42227</v>
      </c>
      <c r="M1852" s="218" t="s">
        <v>6177</v>
      </c>
      <c r="N1852" s="219" t="s">
        <v>99</v>
      </c>
      <c r="O1852" s="217">
        <v>42228</v>
      </c>
      <c r="P1852" s="220">
        <f t="shared" si="741"/>
        <v>9</v>
      </c>
      <c r="Q1852" s="218" t="s">
        <v>6178</v>
      </c>
      <c r="R1852" s="216" t="s">
        <v>729</v>
      </c>
      <c r="S1852" s="218" t="s">
        <v>101</v>
      </c>
      <c r="T1852" s="218" t="s">
        <v>6179</v>
      </c>
      <c r="U1852" s="217">
        <v>42228</v>
      </c>
      <c r="V1852" s="221" t="s">
        <v>186</v>
      </c>
      <c r="W1852" s="213">
        <f t="shared" si="739"/>
        <v>0</v>
      </c>
      <c r="X1852" s="213"/>
    </row>
    <row r="1853" spans="1:24" ht="18" customHeight="1" x14ac:dyDescent="0.25">
      <c r="A1853" s="214">
        <v>1844</v>
      </c>
      <c r="B1853" s="206" t="s">
        <v>6142</v>
      </c>
      <c r="C1853" s="207">
        <v>42219</v>
      </c>
      <c r="D1853" s="216">
        <v>2</v>
      </c>
      <c r="E1853" s="216" t="s">
        <v>93</v>
      </c>
      <c r="F1853" s="209" t="s">
        <v>1654</v>
      </c>
      <c r="G1853" s="209" t="s">
        <v>202</v>
      </c>
      <c r="H1853" s="217">
        <v>42219</v>
      </c>
      <c r="I1853" s="209" t="s">
        <v>187</v>
      </c>
      <c r="J1853" s="209" t="s">
        <v>103</v>
      </c>
      <c r="K1853" s="218" t="s">
        <v>6180</v>
      </c>
      <c r="L1853" s="217">
        <v>42219</v>
      </c>
      <c r="M1853" s="218" t="s">
        <v>1654</v>
      </c>
      <c r="N1853" s="219" t="s">
        <v>185</v>
      </c>
      <c r="O1853" s="217">
        <v>42219</v>
      </c>
      <c r="P1853" s="220">
        <f t="shared" si="741"/>
        <v>0</v>
      </c>
      <c r="Q1853" s="218" t="s">
        <v>6180</v>
      </c>
      <c r="R1853" s="216" t="s">
        <v>17</v>
      </c>
      <c r="S1853" s="218" t="s">
        <v>101</v>
      </c>
      <c r="T1853" s="218" t="s">
        <v>1391</v>
      </c>
      <c r="U1853" s="217">
        <v>42221</v>
      </c>
      <c r="V1853" s="221" t="s">
        <v>186</v>
      </c>
      <c r="W1853" s="213">
        <f t="shared" si="739"/>
        <v>0</v>
      </c>
      <c r="X1853" s="213" t="str">
        <f t="shared" si="740"/>
        <v>Correcto</v>
      </c>
    </row>
    <row r="1854" spans="1:24" ht="18" customHeight="1" x14ac:dyDescent="0.25">
      <c r="A1854" s="214">
        <v>1845</v>
      </c>
      <c r="B1854" s="206" t="s">
        <v>6143</v>
      </c>
      <c r="C1854" s="207">
        <v>42219</v>
      </c>
      <c r="D1854" s="216">
        <v>8</v>
      </c>
      <c r="E1854" s="216" t="s">
        <v>93</v>
      </c>
      <c r="F1854" s="209" t="s">
        <v>1654</v>
      </c>
      <c r="G1854" s="209" t="s">
        <v>202</v>
      </c>
      <c r="H1854" s="217">
        <v>42219</v>
      </c>
      <c r="I1854" s="209" t="s">
        <v>187</v>
      </c>
      <c r="J1854" s="209" t="s">
        <v>103</v>
      </c>
      <c r="K1854" s="218" t="s">
        <v>6144</v>
      </c>
      <c r="L1854" s="217">
        <v>42219</v>
      </c>
      <c r="M1854" s="218" t="s">
        <v>1654</v>
      </c>
      <c r="N1854" s="219" t="s">
        <v>185</v>
      </c>
      <c r="O1854" s="217">
        <v>42219</v>
      </c>
      <c r="P1854" s="220">
        <f t="shared" si="741"/>
        <v>0</v>
      </c>
      <c r="Q1854" s="218" t="s">
        <v>6144</v>
      </c>
      <c r="R1854" s="216" t="s">
        <v>17</v>
      </c>
      <c r="S1854" s="218" t="s">
        <v>6181</v>
      </c>
      <c r="T1854" s="218">
        <v>1104952690</v>
      </c>
      <c r="U1854" s="217">
        <v>42222</v>
      </c>
      <c r="V1854" s="221" t="s">
        <v>186</v>
      </c>
      <c r="W1854" s="213">
        <f t="shared" si="739"/>
        <v>0</v>
      </c>
      <c r="X1854" s="213" t="str">
        <f t="shared" si="740"/>
        <v>Correcto</v>
      </c>
    </row>
    <row r="1855" spans="1:24" ht="18" customHeight="1" x14ac:dyDescent="0.25">
      <c r="A1855" s="214">
        <v>1846</v>
      </c>
      <c r="B1855" s="206" t="s">
        <v>6182</v>
      </c>
      <c r="C1855" s="207">
        <v>42219</v>
      </c>
      <c r="D1855" s="216">
        <v>2</v>
      </c>
      <c r="E1855" s="216" t="s">
        <v>93</v>
      </c>
      <c r="F1855" s="209" t="s">
        <v>1654</v>
      </c>
      <c r="G1855" s="209" t="s">
        <v>202</v>
      </c>
      <c r="H1855" s="217">
        <v>42220</v>
      </c>
      <c r="I1855" s="209" t="s">
        <v>187</v>
      </c>
      <c r="J1855" s="209" t="s">
        <v>103</v>
      </c>
      <c r="K1855" s="218" t="s">
        <v>6183</v>
      </c>
      <c r="L1855" s="217">
        <v>42220</v>
      </c>
      <c r="M1855" s="218" t="s">
        <v>1654</v>
      </c>
      <c r="N1855" s="219" t="s">
        <v>185</v>
      </c>
      <c r="O1855" s="217">
        <v>42220</v>
      </c>
      <c r="P1855" s="220">
        <f t="shared" si="741"/>
        <v>1</v>
      </c>
      <c r="Q1855" s="218" t="s">
        <v>6183</v>
      </c>
      <c r="R1855" s="216" t="s">
        <v>17</v>
      </c>
      <c r="S1855" s="218" t="s">
        <v>6184</v>
      </c>
      <c r="T1855" s="218" t="s">
        <v>6185</v>
      </c>
      <c r="U1855" s="217">
        <v>42221</v>
      </c>
      <c r="V1855" s="221" t="s">
        <v>186</v>
      </c>
      <c r="W1855" s="213">
        <f t="shared" si="739"/>
        <v>0</v>
      </c>
      <c r="X1855" s="213" t="str">
        <f t="shared" si="740"/>
        <v>Correcto</v>
      </c>
    </row>
    <row r="1856" spans="1:24" ht="18" customHeight="1" x14ac:dyDescent="0.25">
      <c r="A1856" s="214">
        <v>1847</v>
      </c>
      <c r="B1856" s="206" t="s">
        <v>6186</v>
      </c>
      <c r="C1856" s="207">
        <v>42219</v>
      </c>
      <c r="D1856" s="216">
        <v>4</v>
      </c>
      <c r="E1856" s="216" t="s">
        <v>93</v>
      </c>
      <c r="F1856" s="209" t="s">
        <v>1654</v>
      </c>
      <c r="G1856" s="209" t="s">
        <v>202</v>
      </c>
      <c r="H1856" s="217">
        <v>42219</v>
      </c>
      <c r="I1856" s="209" t="s">
        <v>187</v>
      </c>
      <c r="J1856" s="209" t="s">
        <v>103</v>
      </c>
      <c r="K1856" s="218" t="s">
        <v>6187</v>
      </c>
      <c r="L1856" s="217">
        <v>42219</v>
      </c>
      <c r="M1856" s="218" t="s">
        <v>1654</v>
      </c>
      <c r="N1856" s="219" t="s">
        <v>185</v>
      </c>
      <c r="O1856" s="217">
        <v>42219</v>
      </c>
      <c r="P1856" s="220">
        <f t="shared" si="741"/>
        <v>0</v>
      </c>
      <c r="Q1856" s="218" t="s">
        <v>6187</v>
      </c>
      <c r="R1856" s="216" t="s">
        <v>17</v>
      </c>
      <c r="S1856" s="218" t="s">
        <v>6188</v>
      </c>
      <c r="T1856" s="218" t="s">
        <v>6189</v>
      </c>
      <c r="U1856" s="217">
        <v>42220</v>
      </c>
      <c r="V1856" s="221" t="s">
        <v>186</v>
      </c>
      <c r="W1856" s="213">
        <f t="shared" si="739"/>
        <v>0</v>
      </c>
      <c r="X1856" s="213" t="str">
        <f t="shared" si="740"/>
        <v>Correcto</v>
      </c>
    </row>
    <row r="1857" spans="1:24" ht="18" customHeight="1" x14ac:dyDescent="0.25">
      <c r="A1857" s="214">
        <v>1848</v>
      </c>
      <c r="B1857" s="206" t="s">
        <v>6190</v>
      </c>
      <c r="C1857" s="207">
        <v>42219</v>
      </c>
      <c r="D1857" s="216">
        <v>2</v>
      </c>
      <c r="E1857" s="216" t="s">
        <v>93</v>
      </c>
      <c r="F1857" s="209" t="s">
        <v>1654</v>
      </c>
      <c r="G1857" s="209" t="s">
        <v>202</v>
      </c>
      <c r="H1857" s="217">
        <v>42220</v>
      </c>
      <c r="I1857" s="209" t="s">
        <v>187</v>
      </c>
      <c r="J1857" s="209" t="s">
        <v>103</v>
      </c>
      <c r="K1857" s="218" t="s">
        <v>6150</v>
      </c>
      <c r="L1857" s="217">
        <v>42220</v>
      </c>
      <c r="M1857" s="218" t="s">
        <v>1654</v>
      </c>
      <c r="N1857" s="219" t="s">
        <v>185</v>
      </c>
      <c r="O1857" s="217">
        <v>42220</v>
      </c>
      <c r="P1857" s="220">
        <f t="shared" si="741"/>
        <v>1</v>
      </c>
      <c r="Q1857" s="218" t="s">
        <v>6150</v>
      </c>
      <c r="R1857" s="216" t="s">
        <v>17</v>
      </c>
      <c r="S1857" s="218" t="s">
        <v>6191</v>
      </c>
      <c r="T1857" s="218" t="s">
        <v>6192</v>
      </c>
      <c r="U1857" s="217">
        <v>42221</v>
      </c>
      <c r="V1857" s="221" t="s">
        <v>186</v>
      </c>
      <c r="W1857" s="213">
        <f t="shared" si="739"/>
        <v>0</v>
      </c>
      <c r="X1857" s="213" t="str">
        <f t="shared" si="740"/>
        <v>Correcto</v>
      </c>
    </row>
    <row r="1858" spans="1:24" ht="18" customHeight="1" x14ac:dyDescent="0.25">
      <c r="A1858" s="214">
        <v>1849</v>
      </c>
      <c r="B1858" s="206" t="s">
        <v>6193</v>
      </c>
      <c r="C1858" s="207">
        <v>42219</v>
      </c>
      <c r="D1858" s="216">
        <v>2</v>
      </c>
      <c r="E1858" s="216" t="s">
        <v>93</v>
      </c>
      <c r="F1858" s="209" t="s">
        <v>1654</v>
      </c>
      <c r="G1858" s="209" t="s">
        <v>202</v>
      </c>
      <c r="H1858" s="217">
        <v>42220</v>
      </c>
      <c r="I1858" s="209" t="s">
        <v>187</v>
      </c>
      <c r="J1858" s="209" t="s">
        <v>103</v>
      </c>
      <c r="K1858" s="218" t="s">
        <v>6194</v>
      </c>
      <c r="L1858" s="217">
        <v>42220</v>
      </c>
      <c r="M1858" s="218" t="s">
        <v>1654</v>
      </c>
      <c r="N1858" s="219" t="s">
        <v>185</v>
      </c>
      <c r="O1858" s="217">
        <v>42220</v>
      </c>
      <c r="P1858" s="220">
        <f t="shared" si="741"/>
        <v>1</v>
      </c>
      <c r="Q1858" s="218" t="s">
        <v>6194</v>
      </c>
      <c r="R1858" s="216" t="s">
        <v>17</v>
      </c>
      <c r="S1858" s="218" t="s">
        <v>101</v>
      </c>
      <c r="T1858" s="218" t="s">
        <v>6157</v>
      </c>
      <c r="U1858" s="217">
        <v>42223</v>
      </c>
      <c r="V1858" s="221" t="s">
        <v>186</v>
      </c>
      <c r="W1858" s="213">
        <f t="shared" si="739"/>
        <v>0</v>
      </c>
      <c r="X1858" s="213" t="str">
        <f t="shared" si="740"/>
        <v>Correcto</v>
      </c>
    </row>
    <row r="1859" spans="1:24" ht="18" customHeight="1" x14ac:dyDescent="0.25">
      <c r="A1859" s="214">
        <v>1850</v>
      </c>
      <c r="B1859" s="206" t="s">
        <v>6195</v>
      </c>
      <c r="C1859" s="207">
        <v>42219</v>
      </c>
      <c r="D1859" s="216">
        <v>16</v>
      </c>
      <c r="E1859" s="216" t="s">
        <v>93</v>
      </c>
      <c r="F1859" s="209" t="s">
        <v>1201</v>
      </c>
      <c r="G1859" s="209" t="s">
        <v>202</v>
      </c>
      <c r="H1859" s="217">
        <v>42221</v>
      </c>
      <c r="I1859" s="209" t="s">
        <v>187</v>
      </c>
      <c r="J1859" s="209" t="s">
        <v>103</v>
      </c>
      <c r="K1859" s="218" t="s">
        <v>6196</v>
      </c>
      <c r="L1859" s="217">
        <v>42221</v>
      </c>
      <c r="M1859" s="218" t="s">
        <v>1654</v>
      </c>
      <c r="N1859" s="219" t="s">
        <v>6197</v>
      </c>
      <c r="O1859" s="217">
        <v>42222</v>
      </c>
      <c r="P1859" s="220">
        <f t="shared" si="741"/>
        <v>3</v>
      </c>
      <c r="Q1859" s="218" t="s">
        <v>6198</v>
      </c>
      <c r="R1859" s="216" t="s">
        <v>16</v>
      </c>
      <c r="S1859" s="218" t="s">
        <v>101</v>
      </c>
      <c r="T1859" s="218" t="s">
        <v>6863</v>
      </c>
      <c r="U1859" s="217">
        <v>42222</v>
      </c>
      <c r="V1859" s="221" t="s">
        <v>186</v>
      </c>
      <c r="W1859" s="213">
        <f t="shared" si="739"/>
        <v>0</v>
      </c>
      <c r="X1859" s="213" t="str">
        <f t="shared" si="740"/>
        <v>Correcto</v>
      </c>
    </row>
    <row r="1860" spans="1:24" ht="18" customHeight="1" x14ac:dyDescent="0.25">
      <c r="A1860" s="214">
        <v>1851</v>
      </c>
      <c r="B1860" s="206" t="s">
        <v>6199</v>
      </c>
      <c r="C1860" s="207">
        <v>42219</v>
      </c>
      <c r="D1860" s="216">
        <v>2</v>
      </c>
      <c r="E1860" s="216" t="s">
        <v>93</v>
      </c>
      <c r="F1860" s="209" t="s">
        <v>1201</v>
      </c>
      <c r="G1860" s="209" t="s">
        <v>202</v>
      </c>
      <c r="H1860" s="217">
        <v>42220</v>
      </c>
      <c r="I1860" s="209" t="s">
        <v>187</v>
      </c>
      <c r="J1860" s="209" t="s">
        <v>103</v>
      </c>
      <c r="K1860" s="218" t="s">
        <v>6200</v>
      </c>
      <c r="L1860" s="217">
        <v>42220</v>
      </c>
      <c r="M1860" s="218" t="s">
        <v>1654</v>
      </c>
      <c r="N1860" s="219" t="s">
        <v>185</v>
      </c>
      <c r="O1860" s="217">
        <v>42220</v>
      </c>
      <c r="P1860" s="220">
        <f t="shared" si="741"/>
        <v>1</v>
      </c>
      <c r="Q1860" s="218" t="s">
        <v>6200</v>
      </c>
      <c r="R1860" s="216" t="s">
        <v>16</v>
      </c>
      <c r="S1860" s="218" t="s">
        <v>101</v>
      </c>
      <c r="T1860" s="218" t="s">
        <v>6864</v>
      </c>
      <c r="U1860" s="217">
        <v>42220</v>
      </c>
      <c r="V1860" s="221" t="s">
        <v>186</v>
      </c>
      <c r="W1860" s="213">
        <f t="shared" si="739"/>
        <v>0</v>
      </c>
      <c r="X1860" s="213" t="str">
        <f t="shared" si="740"/>
        <v>Correcto</v>
      </c>
    </row>
    <row r="1861" spans="1:24" ht="18" customHeight="1" x14ac:dyDescent="0.25">
      <c r="A1861" s="214">
        <v>1852</v>
      </c>
      <c r="B1861" s="206" t="s">
        <v>6201</v>
      </c>
      <c r="C1861" s="207">
        <v>42219</v>
      </c>
      <c r="D1861" s="216">
        <v>28</v>
      </c>
      <c r="E1861" s="216" t="s">
        <v>93</v>
      </c>
      <c r="F1861" s="209" t="s">
        <v>1654</v>
      </c>
      <c r="G1861" s="209" t="s">
        <v>202</v>
      </c>
      <c r="H1861" s="217">
        <v>42221</v>
      </c>
      <c r="I1861" s="209" t="s">
        <v>187</v>
      </c>
      <c r="J1861" s="209" t="s">
        <v>103</v>
      </c>
      <c r="K1861" s="218" t="s">
        <v>6202</v>
      </c>
      <c r="L1861" s="217">
        <v>42221</v>
      </c>
      <c r="M1861" s="218" t="s">
        <v>1654</v>
      </c>
      <c r="N1861" s="219" t="s">
        <v>185</v>
      </c>
      <c r="O1861" s="217">
        <v>42221</v>
      </c>
      <c r="P1861" s="220">
        <f t="shared" si="741"/>
        <v>2</v>
      </c>
      <c r="Q1861" s="218" t="s">
        <v>6202</v>
      </c>
      <c r="R1861" s="216" t="s">
        <v>17</v>
      </c>
      <c r="S1861" s="218" t="s">
        <v>6203</v>
      </c>
      <c r="T1861" s="218" t="s">
        <v>6204</v>
      </c>
      <c r="U1861" s="217">
        <v>42221</v>
      </c>
      <c r="V1861" s="221" t="s">
        <v>186</v>
      </c>
      <c r="W1861" s="213">
        <f t="shared" si="739"/>
        <v>0</v>
      </c>
      <c r="X1861" s="213" t="str">
        <f t="shared" si="740"/>
        <v>Correcto</v>
      </c>
    </row>
    <row r="1862" spans="1:24" ht="18" customHeight="1" x14ac:dyDescent="0.25">
      <c r="A1862" s="214">
        <v>1853</v>
      </c>
      <c r="B1862" s="206" t="s">
        <v>6205</v>
      </c>
      <c r="C1862" s="207">
        <v>42219</v>
      </c>
      <c r="D1862" s="216">
        <v>7</v>
      </c>
      <c r="E1862" s="216" t="s">
        <v>93</v>
      </c>
      <c r="F1862" s="209" t="s">
        <v>1654</v>
      </c>
      <c r="G1862" s="209" t="s">
        <v>202</v>
      </c>
      <c r="H1862" s="217">
        <v>42219</v>
      </c>
      <c r="I1862" s="209" t="s">
        <v>187</v>
      </c>
      <c r="J1862" s="209" t="s">
        <v>103</v>
      </c>
      <c r="K1862" s="218" t="s">
        <v>6206</v>
      </c>
      <c r="L1862" s="217">
        <v>42219</v>
      </c>
      <c r="M1862" s="218" t="s">
        <v>1654</v>
      </c>
      <c r="N1862" s="219" t="s">
        <v>188</v>
      </c>
      <c r="O1862" s="217">
        <v>42219</v>
      </c>
      <c r="P1862" s="220">
        <f t="shared" si="741"/>
        <v>0</v>
      </c>
      <c r="Q1862" s="218" t="s">
        <v>6206</v>
      </c>
      <c r="R1862" s="216" t="s">
        <v>17</v>
      </c>
      <c r="S1862" s="218" t="s">
        <v>6207</v>
      </c>
      <c r="T1862" s="218" t="s">
        <v>6208</v>
      </c>
      <c r="U1862" s="217">
        <v>42219</v>
      </c>
      <c r="V1862" s="221" t="s">
        <v>186</v>
      </c>
      <c r="W1862" s="213">
        <f t="shared" si="739"/>
        <v>0</v>
      </c>
      <c r="X1862" s="213" t="str">
        <f t="shared" si="740"/>
        <v>Correcto</v>
      </c>
    </row>
    <row r="1863" spans="1:24" ht="18" customHeight="1" x14ac:dyDescent="0.25">
      <c r="A1863" s="214">
        <v>1854</v>
      </c>
      <c r="B1863" s="206" t="s">
        <v>6209</v>
      </c>
      <c r="C1863" s="207">
        <v>42220</v>
      </c>
      <c r="D1863" s="216">
        <v>2</v>
      </c>
      <c r="E1863" s="216" t="s">
        <v>93</v>
      </c>
      <c r="F1863" s="209" t="s">
        <v>1654</v>
      </c>
      <c r="G1863" s="209" t="s">
        <v>202</v>
      </c>
      <c r="H1863" s="217">
        <v>42220</v>
      </c>
      <c r="I1863" s="209" t="s">
        <v>187</v>
      </c>
      <c r="J1863" s="209" t="s">
        <v>103</v>
      </c>
      <c r="K1863" s="218" t="s">
        <v>6210</v>
      </c>
      <c r="L1863" s="217">
        <v>42220</v>
      </c>
      <c r="M1863" s="218" t="s">
        <v>1654</v>
      </c>
      <c r="N1863" s="219" t="s">
        <v>185</v>
      </c>
      <c r="O1863" s="217">
        <v>42220</v>
      </c>
      <c r="P1863" s="220">
        <f t="shared" si="741"/>
        <v>0</v>
      </c>
      <c r="Q1863" s="218" t="s">
        <v>6210</v>
      </c>
      <c r="R1863" s="216" t="s">
        <v>17</v>
      </c>
      <c r="S1863" s="218" t="s">
        <v>6211</v>
      </c>
      <c r="T1863" s="218" t="s">
        <v>6212</v>
      </c>
      <c r="U1863" s="217">
        <v>42222</v>
      </c>
      <c r="V1863" s="221" t="s">
        <v>186</v>
      </c>
      <c r="W1863" s="213">
        <f t="shared" si="739"/>
        <v>0</v>
      </c>
      <c r="X1863" s="213" t="str">
        <f t="shared" si="740"/>
        <v>Correcto</v>
      </c>
    </row>
    <row r="1864" spans="1:24" ht="18" customHeight="1" x14ac:dyDescent="0.25">
      <c r="A1864" s="214">
        <v>1855</v>
      </c>
      <c r="B1864" s="206" t="s">
        <v>6213</v>
      </c>
      <c r="C1864" s="207">
        <v>42220</v>
      </c>
      <c r="D1864" s="216">
        <v>2</v>
      </c>
      <c r="E1864" s="216" t="s">
        <v>93</v>
      </c>
      <c r="F1864" s="209" t="s">
        <v>1654</v>
      </c>
      <c r="G1864" s="209" t="s">
        <v>202</v>
      </c>
      <c r="H1864" s="217">
        <v>42220</v>
      </c>
      <c r="I1864" s="209" t="s">
        <v>187</v>
      </c>
      <c r="J1864" s="209" t="s">
        <v>103</v>
      </c>
      <c r="K1864" s="218" t="s">
        <v>6214</v>
      </c>
      <c r="L1864" s="217">
        <v>42220</v>
      </c>
      <c r="M1864" s="218" t="s">
        <v>1654</v>
      </c>
      <c r="N1864" s="219" t="s">
        <v>185</v>
      </c>
      <c r="O1864" s="217">
        <v>42220</v>
      </c>
      <c r="P1864" s="220">
        <f t="shared" si="741"/>
        <v>0</v>
      </c>
      <c r="Q1864" s="218" t="s">
        <v>6214</v>
      </c>
      <c r="R1864" s="216" t="s">
        <v>17</v>
      </c>
      <c r="S1864" s="218" t="s">
        <v>101</v>
      </c>
      <c r="T1864" s="218" t="s">
        <v>6157</v>
      </c>
      <c r="U1864" s="217">
        <v>42221</v>
      </c>
      <c r="V1864" s="221" t="s">
        <v>186</v>
      </c>
      <c r="W1864" s="213">
        <f t="shared" si="739"/>
        <v>0</v>
      </c>
      <c r="X1864" s="213" t="str">
        <f t="shared" si="740"/>
        <v>Correcto</v>
      </c>
    </row>
    <row r="1865" spans="1:24" ht="18" customHeight="1" x14ac:dyDescent="0.25">
      <c r="A1865" s="214">
        <v>1856</v>
      </c>
      <c r="B1865" s="206" t="s">
        <v>6215</v>
      </c>
      <c r="C1865" s="207">
        <v>42220</v>
      </c>
      <c r="D1865" s="216">
        <v>2</v>
      </c>
      <c r="E1865" s="216" t="s">
        <v>93</v>
      </c>
      <c r="F1865" s="209" t="s">
        <v>1654</v>
      </c>
      <c r="G1865" s="209" t="s">
        <v>202</v>
      </c>
      <c r="H1865" s="217">
        <v>42220</v>
      </c>
      <c r="I1865" s="209" t="s">
        <v>187</v>
      </c>
      <c r="J1865" s="209" t="s">
        <v>103</v>
      </c>
      <c r="K1865" s="218" t="s">
        <v>6216</v>
      </c>
      <c r="L1865" s="217">
        <v>42220</v>
      </c>
      <c r="M1865" s="218" t="s">
        <v>1654</v>
      </c>
      <c r="N1865" s="219" t="s">
        <v>185</v>
      </c>
      <c r="O1865" s="217">
        <v>42220</v>
      </c>
      <c r="P1865" s="220">
        <f t="shared" si="741"/>
        <v>0</v>
      </c>
      <c r="Q1865" s="218" t="s">
        <v>6216</v>
      </c>
      <c r="R1865" s="216" t="s">
        <v>17</v>
      </c>
      <c r="S1865" s="218" t="s">
        <v>101</v>
      </c>
      <c r="T1865" s="218" t="s">
        <v>1012</v>
      </c>
      <c r="U1865" s="217">
        <v>42221</v>
      </c>
      <c r="V1865" s="221" t="s">
        <v>186</v>
      </c>
      <c r="W1865" s="213">
        <f t="shared" si="739"/>
        <v>0</v>
      </c>
      <c r="X1865" s="213" t="str">
        <f t="shared" si="740"/>
        <v>Correcto</v>
      </c>
    </row>
    <row r="1866" spans="1:24" ht="18" customHeight="1" x14ac:dyDescent="0.25">
      <c r="A1866" s="214">
        <v>1857</v>
      </c>
      <c r="B1866" s="206" t="s">
        <v>6217</v>
      </c>
      <c r="C1866" s="207">
        <v>42220</v>
      </c>
      <c r="D1866" s="216">
        <v>17</v>
      </c>
      <c r="E1866" s="216" t="s">
        <v>93</v>
      </c>
      <c r="F1866" s="209" t="s">
        <v>1654</v>
      </c>
      <c r="G1866" s="209" t="s">
        <v>202</v>
      </c>
      <c r="H1866" s="217">
        <v>42221</v>
      </c>
      <c r="I1866" s="209" t="s">
        <v>187</v>
      </c>
      <c r="J1866" s="209" t="s">
        <v>103</v>
      </c>
      <c r="K1866" s="218" t="s">
        <v>6218</v>
      </c>
      <c r="L1866" s="217">
        <v>42221</v>
      </c>
      <c r="M1866" s="218" t="s">
        <v>1654</v>
      </c>
      <c r="N1866" s="219" t="s">
        <v>188</v>
      </c>
      <c r="O1866" s="217">
        <v>42221</v>
      </c>
      <c r="P1866" s="220">
        <f t="shared" si="741"/>
        <v>1</v>
      </c>
      <c r="Q1866" s="218" t="s">
        <v>6218</v>
      </c>
      <c r="R1866" s="216" t="s">
        <v>17</v>
      </c>
      <c r="S1866" s="218" t="s">
        <v>6219</v>
      </c>
      <c r="T1866" s="218" t="s">
        <v>6220</v>
      </c>
      <c r="U1866" s="217">
        <v>42222</v>
      </c>
      <c r="V1866" s="221" t="s">
        <v>186</v>
      </c>
      <c r="W1866" s="213">
        <f t="shared" si="739"/>
        <v>0</v>
      </c>
      <c r="X1866" s="213" t="str">
        <f t="shared" si="740"/>
        <v>Correcto</v>
      </c>
    </row>
    <row r="1867" spans="1:24" ht="18" customHeight="1" x14ac:dyDescent="0.25">
      <c r="A1867" s="214">
        <v>1858</v>
      </c>
      <c r="B1867" s="206" t="s">
        <v>6221</v>
      </c>
      <c r="C1867" s="207">
        <v>42220</v>
      </c>
      <c r="D1867" s="216">
        <v>2</v>
      </c>
      <c r="E1867" s="216" t="s">
        <v>93</v>
      </c>
      <c r="F1867" s="209" t="s">
        <v>1654</v>
      </c>
      <c r="G1867" s="209" t="s">
        <v>202</v>
      </c>
      <c r="H1867" s="217">
        <v>42221</v>
      </c>
      <c r="I1867" s="209" t="s">
        <v>187</v>
      </c>
      <c r="J1867" s="209" t="s">
        <v>103</v>
      </c>
      <c r="K1867" s="218" t="s">
        <v>6222</v>
      </c>
      <c r="L1867" s="217">
        <v>42221</v>
      </c>
      <c r="M1867" s="218" t="s">
        <v>1654</v>
      </c>
      <c r="N1867" s="219" t="s">
        <v>185</v>
      </c>
      <c r="O1867" s="217">
        <v>42221</v>
      </c>
      <c r="P1867" s="220">
        <f t="shared" si="741"/>
        <v>1</v>
      </c>
      <c r="Q1867" s="218" t="s">
        <v>6222</v>
      </c>
      <c r="R1867" s="216" t="s">
        <v>17</v>
      </c>
      <c r="S1867" s="218" t="s">
        <v>6223</v>
      </c>
      <c r="T1867" s="218" t="s">
        <v>6224</v>
      </c>
      <c r="U1867" s="217">
        <v>42222</v>
      </c>
      <c r="V1867" s="221" t="s">
        <v>186</v>
      </c>
      <c r="W1867" s="213">
        <f t="shared" si="739"/>
        <v>0</v>
      </c>
      <c r="X1867" s="213" t="str">
        <f t="shared" si="740"/>
        <v>Correcto</v>
      </c>
    </row>
    <row r="1868" spans="1:24" ht="18" customHeight="1" x14ac:dyDescent="0.25">
      <c r="A1868" s="214">
        <v>1859</v>
      </c>
      <c r="B1868" s="206" t="s">
        <v>6225</v>
      </c>
      <c r="C1868" s="207">
        <v>42220</v>
      </c>
      <c r="D1868" s="216">
        <v>2</v>
      </c>
      <c r="E1868" s="216" t="s">
        <v>93</v>
      </c>
      <c r="F1868" s="209" t="s">
        <v>1654</v>
      </c>
      <c r="G1868" s="209" t="s">
        <v>202</v>
      </c>
      <c r="H1868" s="217">
        <v>42221</v>
      </c>
      <c r="I1868" s="209" t="s">
        <v>187</v>
      </c>
      <c r="J1868" s="209" t="s">
        <v>103</v>
      </c>
      <c r="K1868" s="218" t="s">
        <v>6226</v>
      </c>
      <c r="L1868" s="217">
        <v>42221</v>
      </c>
      <c r="M1868" s="218" t="s">
        <v>1654</v>
      </c>
      <c r="N1868" s="219" t="s">
        <v>185</v>
      </c>
      <c r="O1868" s="217">
        <v>42221</v>
      </c>
      <c r="P1868" s="220">
        <f t="shared" si="741"/>
        <v>1</v>
      </c>
      <c r="Q1868" s="218" t="s">
        <v>6226</v>
      </c>
      <c r="R1868" s="216" t="s">
        <v>17</v>
      </c>
      <c r="S1868" s="218" t="s">
        <v>6227</v>
      </c>
      <c r="T1868" s="218" t="s">
        <v>6228</v>
      </c>
      <c r="U1868" s="217">
        <v>42222</v>
      </c>
      <c r="V1868" s="221" t="s">
        <v>186</v>
      </c>
      <c r="W1868" s="213">
        <f t="shared" si="739"/>
        <v>0</v>
      </c>
      <c r="X1868" s="213" t="str">
        <f t="shared" si="740"/>
        <v>Correcto</v>
      </c>
    </row>
    <row r="1869" spans="1:24" ht="18" customHeight="1" x14ac:dyDescent="0.25">
      <c r="A1869" s="214">
        <v>1860</v>
      </c>
      <c r="B1869" s="206" t="s">
        <v>6229</v>
      </c>
      <c r="C1869" s="207">
        <v>42220</v>
      </c>
      <c r="D1869" s="216">
        <v>8</v>
      </c>
      <c r="E1869" s="216" t="s">
        <v>93</v>
      </c>
      <c r="F1869" s="209" t="s">
        <v>1654</v>
      </c>
      <c r="G1869" s="209" t="s">
        <v>202</v>
      </c>
      <c r="H1869" s="217">
        <v>42221</v>
      </c>
      <c r="I1869" s="209" t="s">
        <v>187</v>
      </c>
      <c r="J1869" s="209" t="s">
        <v>103</v>
      </c>
      <c r="K1869" s="218" t="s">
        <v>6230</v>
      </c>
      <c r="L1869" s="217">
        <v>42221</v>
      </c>
      <c r="M1869" s="218" t="s">
        <v>1654</v>
      </c>
      <c r="N1869" s="219" t="s">
        <v>188</v>
      </c>
      <c r="O1869" s="217">
        <v>42221</v>
      </c>
      <c r="P1869" s="220">
        <f t="shared" si="741"/>
        <v>1</v>
      </c>
      <c r="Q1869" s="218" t="s">
        <v>6230</v>
      </c>
      <c r="R1869" s="216" t="s">
        <v>17</v>
      </c>
      <c r="S1869" s="218" t="s">
        <v>6231</v>
      </c>
      <c r="T1869" s="218" t="s">
        <v>6232</v>
      </c>
      <c r="U1869" s="217">
        <v>42222</v>
      </c>
      <c r="V1869" s="221" t="s">
        <v>186</v>
      </c>
      <c r="W1869" s="213">
        <f t="shared" si="739"/>
        <v>0</v>
      </c>
      <c r="X1869" s="213" t="str">
        <f t="shared" si="740"/>
        <v>Correcto</v>
      </c>
    </row>
    <row r="1870" spans="1:24" ht="18" customHeight="1" x14ac:dyDescent="0.25">
      <c r="A1870" s="214">
        <v>1861</v>
      </c>
      <c r="B1870" s="206" t="s">
        <v>6233</v>
      </c>
      <c r="C1870" s="207">
        <v>42220</v>
      </c>
      <c r="D1870" s="216">
        <v>5</v>
      </c>
      <c r="E1870" s="216" t="s">
        <v>93</v>
      </c>
      <c r="F1870" s="209" t="s">
        <v>1654</v>
      </c>
      <c r="G1870" s="209" t="s">
        <v>202</v>
      </c>
      <c r="H1870" s="217">
        <v>42221</v>
      </c>
      <c r="I1870" s="209" t="s">
        <v>187</v>
      </c>
      <c r="J1870" s="209" t="s">
        <v>103</v>
      </c>
      <c r="K1870" s="218" t="s">
        <v>6234</v>
      </c>
      <c r="L1870" s="217">
        <v>42221</v>
      </c>
      <c r="M1870" s="218" t="s">
        <v>1654</v>
      </c>
      <c r="N1870" s="219" t="s">
        <v>185</v>
      </c>
      <c r="O1870" s="217">
        <v>42221</v>
      </c>
      <c r="P1870" s="220">
        <f t="shared" si="741"/>
        <v>1</v>
      </c>
      <c r="Q1870" s="218" t="s">
        <v>6234</v>
      </c>
      <c r="R1870" s="216" t="s">
        <v>17</v>
      </c>
      <c r="S1870" s="218" t="s">
        <v>6235</v>
      </c>
      <c r="T1870" s="218" t="s">
        <v>6236</v>
      </c>
      <c r="U1870" s="217">
        <v>42222</v>
      </c>
      <c r="V1870" s="221" t="s">
        <v>186</v>
      </c>
      <c r="W1870" s="213">
        <f t="shared" si="739"/>
        <v>0</v>
      </c>
      <c r="X1870" s="213" t="str">
        <f t="shared" si="740"/>
        <v>Correcto</v>
      </c>
    </row>
    <row r="1871" spans="1:24" ht="18" customHeight="1" x14ac:dyDescent="0.25">
      <c r="A1871" s="214">
        <v>1862</v>
      </c>
      <c r="B1871" s="206" t="s">
        <v>6237</v>
      </c>
      <c r="C1871" s="207">
        <v>42221</v>
      </c>
      <c r="D1871" s="216">
        <v>12</v>
      </c>
      <c r="E1871" s="216" t="s">
        <v>93</v>
      </c>
      <c r="F1871" s="209" t="s">
        <v>1654</v>
      </c>
      <c r="G1871" s="209" t="s">
        <v>202</v>
      </c>
      <c r="H1871" s="217">
        <v>42223</v>
      </c>
      <c r="I1871" s="209" t="s">
        <v>187</v>
      </c>
      <c r="J1871" s="209" t="s">
        <v>103</v>
      </c>
      <c r="K1871" s="218" t="s">
        <v>6238</v>
      </c>
      <c r="L1871" s="217">
        <v>42223</v>
      </c>
      <c r="M1871" s="218" t="s">
        <v>1654</v>
      </c>
      <c r="N1871" s="219" t="s">
        <v>185</v>
      </c>
      <c r="O1871" s="217">
        <v>42223</v>
      </c>
      <c r="P1871" s="220">
        <f t="shared" si="741"/>
        <v>2</v>
      </c>
      <c r="Q1871" s="218" t="s">
        <v>6238</v>
      </c>
      <c r="R1871" s="216" t="s">
        <v>17</v>
      </c>
      <c r="S1871" s="218" t="s">
        <v>6239</v>
      </c>
      <c r="T1871" s="218" t="s">
        <v>6240</v>
      </c>
      <c r="U1871" s="217">
        <v>42223</v>
      </c>
      <c r="V1871" s="221" t="s">
        <v>186</v>
      </c>
      <c r="W1871" s="213">
        <f t="shared" si="739"/>
        <v>0</v>
      </c>
      <c r="X1871" s="213" t="str">
        <f t="shared" si="740"/>
        <v>Correcto</v>
      </c>
    </row>
    <row r="1872" spans="1:24" ht="18" customHeight="1" x14ac:dyDescent="0.25">
      <c r="A1872" s="214">
        <v>1863</v>
      </c>
      <c r="B1872" s="206" t="s">
        <v>6241</v>
      </c>
      <c r="C1872" s="207">
        <v>42221</v>
      </c>
      <c r="D1872" s="216">
        <v>2</v>
      </c>
      <c r="E1872" s="216" t="s">
        <v>93</v>
      </c>
      <c r="F1872" s="209" t="s">
        <v>1654</v>
      </c>
      <c r="G1872" s="209" t="s">
        <v>202</v>
      </c>
      <c r="H1872" s="217">
        <v>42221</v>
      </c>
      <c r="I1872" s="209" t="s">
        <v>187</v>
      </c>
      <c r="J1872" s="209" t="s">
        <v>103</v>
      </c>
      <c r="K1872" s="218" t="s">
        <v>6242</v>
      </c>
      <c r="L1872" s="217">
        <v>42221</v>
      </c>
      <c r="M1872" s="218" t="s">
        <v>1654</v>
      </c>
      <c r="N1872" s="219" t="s">
        <v>185</v>
      </c>
      <c r="O1872" s="217">
        <v>42221</v>
      </c>
      <c r="P1872" s="220">
        <f t="shared" si="741"/>
        <v>0</v>
      </c>
      <c r="Q1872" s="218" t="s">
        <v>6242</v>
      </c>
      <c r="R1872" s="216" t="s">
        <v>17</v>
      </c>
      <c r="S1872" s="218" t="s">
        <v>101</v>
      </c>
      <c r="T1872" s="218" t="s">
        <v>953</v>
      </c>
      <c r="U1872" s="217">
        <v>42223</v>
      </c>
      <c r="V1872" s="221" t="s">
        <v>186</v>
      </c>
      <c r="W1872" s="213">
        <f t="shared" si="739"/>
        <v>0</v>
      </c>
      <c r="X1872" s="213" t="str">
        <f t="shared" si="740"/>
        <v>Correcto</v>
      </c>
    </row>
    <row r="1873" spans="1:24" ht="18" customHeight="1" x14ac:dyDescent="0.25">
      <c r="A1873" s="214">
        <v>1864</v>
      </c>
      <c r="B1873" s="206" t="s">
        <v>6243</v>
      </c>
      <c r="C1873" s="207">
        <v>42221</v>
      </c>
      <c r="D1873" s="216">
        <v>2</v>
      </c>
      <c r="E1873" s="216" t="s">
        <v>93</v>
      </c>
      <c r="F1873" s="209" t="s">
        <v>1654</v>
      </c>
      <c r="G1873" s="209" t="s">
        <v>202</v>
      </c>
      <c r="H1873" s="217">
        <v>42221</v>
      </c>
      <c r="I1873" s="209" t="s">
        <v>187</v>
      </c>
      <c r="J1873" s="209" t="s">
        <v>103</v>
      </c>
      <c r="K1873" s="218" t="s">
        <v>6244</v>
      </c>
      <c r="L1873" s="217">
        <v>42221</v>
      </c>
      <c r="M1873" s="218" t="s">
        <v>1654</v>
      </c>
      <c r="N1873" s="219" t="s">
        <v>185</v>
      </c>
      <c r="O1873" s="217">
        <v>42221</v>
      </c>
      <c r="P1873" s="220">
        <f t="shared" si="741"/>
        <v>0</v>
      </c>
      <c r="Q1873" s="218" t="s">
        <v>6244</v>
      </c>
      <c r="R1873" s="216" t="s">
        <v>17</v>
      </c>
      <c r="S1873" s="218" t="s">
        <v>101</v>
      </c>
      <c r="T1873" s="218" t="s">
        <v>2730</v>
      </c>
      <c r="U1873" s="217">
        <v>42223</v>
      </c>
      <c r="V1873" s="221" t="s">
        <v>186</v>
      </c>
      <c r="W1873" s="213">
        <f t="shared" si="739"/>
        <v>0</v>
      </c>
      <c r="X1873" s="213" t="str">
        <f t="shared" si="740"/>
        <v>Correcto</v>
      </c>
    </row>
    <row r="1874" spans="1:24" ht="18" customHeight="1" x14ac:dyDescent="0.25">
      <c r="A1874" s="214">
        <v>1865</v>
      </c>
      <c r="B1874" s="206" t="s">
        <v>6245</v>
      </c>
      <c r="C1874" s="207">
        <v>42221</v>
      </c>
      <c r="D1874" s="216">
        <v>2</v>
      </c>
      <c r="E1874" s="216" t="s">
        <v>93</v>
      </c>
      <c r="F1874" s="209" t="s">
        <v>1654</v>
      </c>
      <c r="G1874" s="209" t="s">
        <v>202</v>
      </c>
      <c r="H1874" s="217">
        <v>42221</v>
      </c>
      <c r="I1874" s="209" t="s">
        <v>187</v>
      </c>
      <c r="J1874" s="209" t="s">
        <v>103</v>
      </c>
      <c r="K1874" s="218" t="s">
        <v>6246</v>
      </c>
      <c r="L1874" s="217">
        <v>42221</v>
      </c>
      <c r="M1874" s="218" t="s">
        <v>1654</v>
      </c>
      <c r="N1874" s="219" t="s">
        <v>185</v>
      </c>
      <c r="O1874" s="217">
        <v>42221</v>
      </c>
      <c r="P1874" s="220">
        <f t="shared" si="741"/>
        <v>0</v>
      </c>
      <c r="Q1874" s="218" t="s">
        <v>6246</v>
      </c>
      <c r="R1874" s="216" t="s">
        <v>17</v>
      </c>
      <c r="S1874" s="218" t="s">
        <v>101</v>
      </c>
      <c r="T1874" s="218" t="s">
        <v>6247</v>
      </c>
      <c r="U1874" s="217">
        <v>42223</v>
      </c>
      <c r="V1874" s="221" t="s">
        <v>186</v>
      </c>
      <c r="W1874" s="213">
        <f t="shared" si="739"/>
        <v>0</v>
      </c>
      <c r="X1874" s="213" t="str">
        <f t="shared" si="740"/>
        <v>Correcto</v>
      </c>
    </row>
    <row r="1875" spans="1:24" ht="18" customHeight="1" x14ac:dyDescent="0.25">
      <c r="A1875" s="214">
        <v>1866</v>
      </c>
      <c r="B1875" s="206" t="s">
        <v>6248</v>
      </c>
      <c r="C1875" s="207">
        <v>42221</v>
      </c>
      <c r="D1875" s="216">
        <v>2</v>
      </c>
      <c r="E1875" s="216" t="s">
        <v>93</v>
      </c>
      <c r="F1875" s="209" t="s">
        <v>1654</v>
      </c>
      <c r="G1875" s="209" t="s">
        <v>202</v>
      </c>
      <c r="H1875" s="217">
        <v>42222</v>
      </c>
      <c r="I1875" s="209" t="s">
        <v>187</v>
      </c>
      <c r="J1875" s="209" t="s">
        <v>103</v>
      </c>
      <c r="K1875" s="218" t="s">
        <v>6249</v>
      </c>
      <c r="L1875" s="217">
        <v>42222</v>
      </c>
      <c r="M1875" s="218" t="s">
        <v>1654</v>
      </c>
      <c r="N1875" s="219" t="s">
        <v>185</v>
      </c>
      <c r="O1875" s="217">
        <v>42222</v>
      </c>
      <c r="P1875" s="220">
        <f t="shared" si="741"/>
        <v>1</v>
      </c>
      <c r="Q1875" s="218" t="s">
        <v>6249</v>
      </c>
      <c r="R1875" s="216" t="s">
        <v>17</v>
      </c>
      <c r="S1875" s="218" t="s">
        <v>101</v>
      </c>
      <c r="T1875" s="218" t="s">
        <v>6247</v>
      </c>
      <c r="U1875" s="217">
        <v>42223</v>
      </c>
      <c r="V1875" s="221" t="s">
        <v>186</v>
      </c>
      <c r="W1875" s="213">
        <f t="shared" si="739"/>
        <v>0</v>
      </c>
      <c r="X1875" s="213" t="str">
        <f t="shared" si="740"/>
        <v>Correcto</v>
      </c>
    </row>
    <row r="1876" spans="1:24" ht="18" customHeight="1" x14ac:dyDescent="0.25">
      <c r="A1876" s="214">
        <v>1867</v>
      </c>
      <c r="B1876" s="206" t="s">
        <v>6250</v>
      </c>
      <c r="C1876" s="207">
        <v>42221</v>
      </c>
      <c r="D1876" s="216">
        <v>4</v>
      </c>
      <c r="E1876" s="216" t="s">
        <v>93</v>
      </c>
      <c r="F1876" s="209" t="s">
        <v>1654</v>
      </c>
      <c r="G1876" s="209" t="s">
        <v>202</v>
      </c>
      <c r="H1876" s="217">
        <v>42222</v>
      </c>
      <c r="I1876" s="209" t="s">
        <v>187</v>
      </c>
      <c r="J1876" s="209" t="s">
        <v>103</v>
      </c>
      <c r="K1876" s="218" t="s">
        <v>6251</v>
      </c>
      <c r="L1876" s="217">
        <v>42222</v>
      </c>
      <c r="M1876" s="218" t="s">
        <v>1654</v>
      </c>
      <c r="N1876" s="219" t="s">
        <v>185</v>
      </c>
      <c r="O1876" s="217">
        <v>42222</v>
      </c>
      <c r="P1876" s="220">
        <f t="shared" si="741"/>
        <v>1</v>
      </c>
      <c r="Q1876" s="218" t="s">
        <v>6251</v>
      </c>
      <c r="R1876" s="216" t="s">
        <v>17</v>
      </c>
      <c r="S1876" s="218" t="s">
        <v>101</v>
      </c>
      <c r="T1876" s="218" t="s">
        <v>1211</v>
      </c>
      <c r="U1876" s="217">
        <v>42223</v>
      </c>
      <c r="V1876" s="221" t="s">
        <v>186</v>
      </c>
      <c r="W1876" s="213">
        <f t="shared" si="739"/>
        <v>0</v>
      </c>
      <c r="X1876" s="213" t="str">
        <f t="shared" si="740"/>
        <v>Correcto</v>
      </c>
    </row>
    <row r="1877" spans="1:24" ht="18" customHeight="1" x14ac:dyDescent="0.25">
      <c r="A1877" s="214">
        <v>1868</v>
      </c>
      <c r="B1877" s="206" t="s">
        <v>6252</v>
      </c>
      <c r="C1877" s="207">
        <v>42221</v>
      </c>
      <c r="D1877" s="216">
        <v>16</v>
      </c>
      <c r="E1877" s="216" t="s">
        <v>93</v>
      </c>
      <c r="F1877" s="209" t="s">
        <v>1654</v>
      </c>
      <c r="G1877" s="209" t="s">
        <v>202</v>
      </c>
      <c r="H1877" s="217">
        <v>42222</v>
      </c>
      <c r="I1877" s="209" t="s">
        <v>187</v>
      </c>
      <c r="J1877" s="209" t="s">
        <v>103</v>
      </c>
      <c r="K1877" s="218" t="s">
        <v>6253</v>
      </c>
      <c r="L1877" s="217">
        <v>42222</v>
      </c>
      <c r="M1877" s="218" t="s">
        <v>1654</v>
      </c>
      <c r="N1877" s="219" t="s">
        <v>188</v>
      </c>
      <c r="O1877" s="217">
        <v>42222</v>
      </c>
      <c r="P1877" s="220">
        <f t="shared" si="741"/>
        <v>1</v>
      </c>
      <c r="Q1877" s="218" t="s">
        <v>6253</v>
      </c>
      <c r="R1877" s="216" t="s">
        <v>17</v>
      </c>
      <c r="S1877" s="218" t="s">
        <v>6254</v>
      </c>
      <c r="T1877" s="218" t="s">
        <v>6255</v>
      </c>
      <c r="U1877" s="217">
        <v>42223</v>
      </c>
      <c r="V1877" s="221" t="s">
        <v>186</v>
      </c>
      <c r="W1877" s="213">
        <f t="shared" si="739"/>
        <v>0</v>
      </c>
      <c r="X1877" s="213" t="str">
        <f t="shared" si="740"/>
        <v>Correcto</v>
      </c>
    </row>
    <row r="1878" spans="1:24" ht="18" customHeight="1" x14ac:dyDescent="0.25">
      <c r="A1878" s="214">
        <v>1869</v>
      </c>
      <c r="B1878" s="206" t="s">
        <v>6256</v>
      </c>
      <c r="C1878" s="207">
        <v>42221</v>
      </c>
      <c r="D1878" s="216">
        <v>4</v>
      </c>
      <c r="E1878" s="216" t="s">
        <v>93</v>
      </c>
      <c r="F1878" s="209" t="s">
        <v>1654</v>
      </c>
      <c r="G1878" s="209" t="s">
        <v>202</v>
      </c>
      <c r="H1878" s="217">
        <v>42222</v>
      </c>
      <c r="I1878" s="209" t="s">
        <v>187</v>
      </c>
      <c r="J1878" s="209" t="s">
        <v>103</v>
      </c>
      <c r="K1878" s="218" t="s">
        <v>6257</v>
      </c>
      <c r="L1878" s="217">
        <v>42222</v>
      </c>
      <c r="M1878" s="218" t="s">
        <v>1654</v>
      </c>
      <c r="N1878" s="219" t="s">
        <v>185</v>
      </c>
      <c r="O1878" s="217">
        <v>42222</v>
      </c>
      <c r="P1878" s="220">
        <f t="shared" si="741"/>
        <v>1</v>
      </c>
      <c r="Q1878" s="218" t="s">
        <v>6257</v>
      </c>
      <c r="R1878" s="216" t="s">
        <v>17</v>
      </c>
      <c r="S1878" s="218" t="s">
        <v>6258</v>
      </c>
      <c r="T1878" s="218" t="s">
        <v>6259</v>
      </c>
      <c r="U1878" s="217">
        <v>42230</v>
      </c>
      <c r="V1878" s="221" t="s">
        <v>186</v>
      </c>
      <c r="W1878" s="213">
        <f t="shared" si="739"/>
        <v>0</v>
      </c>
      <c r="X1878" s="213" t="str">
        <f t="shared" si="740"/>
        <v>Correcto</v>
      </c>
    </row>
    <row r="1879" spans="1:24" ht="18" customHeight="1" x14ac:dyDescent="0.25">
      <c r="A1879" s="214">
        <v>1870</v>
      </c>
      <c r="B1879" s="206" t="s">
        <v>6260</v>
      </c>
      <c r="C1879" s="207">
        <v>42221</v>
      </c>
      <c r="D1879" s="216">
        <v>2</v>
      </c>
      <c r="E1879" s="216" t="s">
        <v>93</v>
      </c>
      <c r="F1879" s="209" t="s">
        <v>1654</v>
      </c>
      <c r="G1879" s="209" t="s">
        <v>202</v>
      </c>
      <c r="H1879" s="217">
        <v>42222</v>
      </c>
      <c r="I1879" s="209" t="s">
        <v>187</v>
      </c>
      <c r="J1879" s="209" t="s">
        <v>103</v>
      </c>
      <c r="K1879" s="218" t="s">
        <v>6261</v>
      </c>
      <c r="L1879" s="217">
        <v>42222</v>
      </c>
      <c r="M1879" s="218" t="s">
        <v>1654</v>
      </c>
      <c r="N1879" s="219" t="s">
        <v>185</v>
      </c>
      <c r="O1879" s="217">
        <v>42222</v>
      </c>
      <c r="P1879" s="220">
        <f t="shared" si="741"/>
        <v>1</v>
      </c>
      <c r="Q1879" s="218" t="s">
        <v>6261</v>
      </c>
      <c r="R1879" s="216" t="s">
        <v>17</v>
      </c>
      <c r="S1879" s="218" t="s">
        <v>6262</v>
      </c>
      <c r="T1879" s="218" t="s">
        <v>6263</v>
      </c>
      <c r="U1879" s="217">
        <v>42234</v>
      </c>
      <c r="V1879" s="221" t="s">
        <v>186</v>
      </c>
      <c r="W1879" s="213">
        <f t="shared" si="739"/>
        <v>0</v>
      </c>
      <c r="X1879" s="213" t="str">
        <f t="shared" si="740"/>
        <v>Correcto</v>
      </c>
    </row>
    <row r="1880" spans="1:24" ht="18" customHeight="1" x14ac:dyDescent="0.25">
      <c r="A1880" s="214">
        <v>1871</v>
      </c>
      <c r="B1880" s="206" t="s">
        <v>6264</v>
      </c>
      <c r="C1880" s="207">
        <v>42221</v>
      </c>
      <c r="D1880" s="216">
        <v>2</v>
      </c>
      <c r="E1880" s="216" t="s">
        <v>93</v>
      </c>
      <c r="F1880" s="209" t="s">
        <v>1654</v>
      </c>
      <c r="G1880" s="209" t="s">
        <v>202</v>
      </c>
      <c r="H1880" s="217">
        <v>42221</v>
      </c>
      <c r="I1880" s="209" t="s">
        <v>187</v>
      </c>
      <c r="J1880" s="209" t="s">
        <v>103</v>
      </c>
      <c r="K1880" s="218" t="s">
        <v>6265</v>
      </c>
      <c r="L1880" s="217">
        <v>42221</v>
      </c>
      <c r="M1880" s="218" t="s">
        <v>1654</v>
      </c>
      <c r="N1880" s="219" t="s">
        <v>185</v>
      </c>
      <c r="O1880" s="217">
        <v>42221</v>
      </c>
      <c r="P1880" s="220">
        <f t="shared" si="741"/>
        <v>0</v>
      </c>
      <c r="Q1880" s="218" t="s">
        <v>6265</v>
      </c>
      <c r="R1880" s="216" t="s">
        <v>17</v>
      </c>
      <c r="S1880" s="218" t="s">
        <v>6266</v>
      </c>
      <c r="T1880" s="218" t="s">
        <v>6267</v>
      </c>
      <c r="U1880" s="217">
        <v>42221</v>
      </c>
      <c r="V1880" s="221" t="s">
        <v>186</v>
      </c>
      <c r="W1880" s="213">
        <f t="shared" si="739"/>
        <v>0</v>
      </c>
      <c r="X1880" s="213" t="str">
        <f t="shared" si="740"/>
        <v>Correcto</v>
      </c>
    </row>
    <row r="1881" spans="1:24" ht="18" customHeight="1" x14ac:dyDescent="0.25">
      <c r="A1881" s="214">
        <v>1872</v>
      </c>
      <c r="B1881" s="206" t="s">
        <v>6268</v>
      </c>
      <c r="C1881" s="207">
        <v>42221</v>
      </c>
      <c r="D1881" s="216">
        <v>2</v>
      </c>
      <c r="E1881" s="216" t="s">
        <v>93</v>
      </c>
      <c r="F1881" s="209" t="s">
        <v>1654</v>
      </c>
      <c r="G1881" s="209" t="s">
        <v>202</v>
      </c>
      <c r="H1881" s="217">
        <v>42222</v>
      </c>
      <c r="I1881" s="209" t="s">
        <v>187</v>
      </c>
      <c r="J1881" s="209" t="s">
        <v>103</v>
      </c>
      <c r="K1881" s="218" t="s">
        <v>6269</v>
      </c>
      <c r="L1881" s="217">
        <v>42222</v>
      </c>
      <c r="M1881" s="218" t="s">
        <v>1654</v>
      </c>
      <c r="N1881" s="219" t="s">
        <v>185</v>
      </c>
      <c r="O1881" s="217">
        <v>42222</v>
      </c>
      <c r="P1881" s="220">
        <f t="shared" si="741"/>
        <v>1</v>
      </c>
      <c r="Q1881" s="218" t="s">
        <v>6269</v>
      </c>
      <c r="R1881" s="216" t="s">
        <v>17</v>
      </c>
      <c r="S1881" s="218" t="s">
        <v>6270</v>
      </c>
      <c r="T1881" s="218" t="s">
        <v>6271</v>
      </c>
      <c r="U1881" s="217">
        <v>42222</v>
      </c>
      <c r="V1881" s="221" t="s">
        <v>6131</v>
      </c>
      <c r="W1881" s="213">
        <f t="shared" si="739"/>
        <v>0</v>
      </c>
      <c r="X1881" s="213" t="str">
        <f t="shared" si="740"/>
        <v>Correcto</v>
      </c>
    </row>
    <row r="1882" spans="1:24" ht="18" customHeight="1" x14ac:dyDescent="0.25">
      <c r="A1882" s="214">
        <v>1873</v>
      </c>
      <c r="B1882" s="206" t="s">
        <v>6272</v>
      </c>
      <c r="C1882" s="207">
        <v>42222</v>
      </c>
      <c r="D1882" s="216">
        <v>2</v>
      </c>
      <c r="E1882" s="216" t="s">
        <v>93</v>
      </c>
      <c r="F1882" s="209" t="s">
        <v>1654</v>
      </c>
      <c r="G1882" s="209" t="s">
        <v>202</v>
      </c>
      <c r="H1882" s="217">
        <v>42222</v>
      </c>
      <c r="I1882" s="209" t="s">
        <v>187</v>
      </c>
      <c r="J1882" s="209" t="s">
        <v>103</v>
      </c>
      <c r="K1882" s="218" t="s">
        <v>6273</v>
      </c>
      <c r="L1882" s="217">
        <v>42222</v>
      </c>
      <c r="M1882" s="218" t="s">
        <v>1654</v>
      </c>
      <c r="N1882" s="219" t="s">
        <v>185</v>
      </c>
      <c r="O1882" s="217">
        <v>42222</v>
      </c>
      <c r="P1882" s="220">
        <f t="shared" si="741"/>
        <v>0</v>
      </c>
      <c r="Q1882" s="218" t="s">
        <v>6273</v>
      </c>
      <c r="R1882" s="216" t="s">
        <v>17</v>
      </c>
      <c r="S1882" s="218" t="s">
        <v>101</v>
      </c>
      <c r="T1882" s="218" t="s">
        <v>6157</v>
      </c>
      <c r="U1882" s="217">
        <v>42227</v>
      </c>
      <c r="V1882" s="221" t="s">
        <v>186</v>
      </c>
      <c r="W1882" s="213">
        <f t="shared" si="739"/>
        <v>0</v>
      </c>
      <c r="X1882" s="213" t="str">
        <f t="shared" si="740"/>
        <v>Correcto</v>
      </c>
    </row>
    <row r="1883" spans="1:24" ht="18" customHeight="1" x14ac:dyDescent="0.25">
      <c r="A1883" s="214">
        <v>1874</v>
      </c>
      <c r="B1883" s="206" t="s">
        <v>6274</v>
      </c>
      <c r="C1883" s="207">
        <v>42222</v>
      </c>
      <c r="D1883" s="216">
        <v>9</v>
      </c>
      <c r="E1883" s="216" t="s">
        <v>93</v>
      </c>
      <c r="F1883" s="209" t="s">
        <v>1654</v>
      </c>
      <c r="G1883" s="209" t="s">
        <v>202</v>
      </c>
      <c r="H1883" s="217">
        <v>42222</v>
      </c>
      <c r="I1883" s="209" t="s">
        <v>187</v>
      </c>
      <c r="J1883" s="209" t="s">
        <v>103</v>
      </c>
      <c r="K1883" s="218" t="s">
        <v>6275</v>
      </c>
      <c r="L1883" s="217">
        <v>42222</v>
      </c>
      <c r="M1883" s="218" t="s">
        <v>1654</v>
      </c>
      <c r="N1883" s="219" t="s">
        <v>185</v>
      </c>
      <c r="O1883" s="217">
        <v>42222</v>
      </c>
      <c r="P1883" s="220">
        <f t="shared" si="741"/>
        <v>0</v>
      </c>
      <c r="Q1883" s="218" t="s">
        <v>6275</v>
      </c>
      <c r="R1883" s="216" t="s">
        <v>17</v>
      </c>
      <c r="S1883" s="218" t="s">
        <v>6276</v>
      </c>
      <c r="T1883" s="218" t="s">
        <v>6277</v>
      </c>
      <c r="U1883" s="217">
        <v>42223</v>
      </c>
      <c r="V1883" s="221" t="s">
        <v>186</v>
      </c>
      <c r="W1883" s="213">
        <f t="shared" si="739"/>
        <v>0</v>
      </c>
      <c r="X1883" s="213" t="str">
        <f t="shared" si="740"/>
        <v>Correcto</v>
      </c>
    </row>
    <row r="1884" spans="1:24" ht="18" customHeight="1" x14ac:dyDescent="0.25">
      <c r="A1884" s="214">
        <v>1875</v>
      </c>
      <c r="B1884" s="206" t="s">
        <v>6278</v>
      </c>
      <c r="C1884" s="207">
        <v>42222</v>
      </c>
      <c r="D1884" s="216">
        <v>9</v>
      </c>
      <c r="E1884" s="216" t="s">
        <v>93</v>
      </c>
      <c r="F1884" s="209" t="s">
        <v>1654</v>
      </c>
      <c r="G1884" s="209" t="s">
        <v>202</v>
      </c>
      <c r="H1884" s="217">
        <v>42223</v>
      </c>
      <c r="I1884" s="209" t="s">
        <v>187</v>
      </c>
      <c r="J1884" s="209" t="s">
        <v>103</v>
      </c>
      <c r="K1884" s="218" t="s">
        <v>6279</v>
      </c>
      <c r="L1884" s="217">
        <v>42223</v>
      </c>
      <c r="M1884" s="218" t="s">
        <v>1654</v>
      </c>
      <c r="N1884" s="219" t="s">
        <v>185</v>
      </c>
      <c r="O1884" s="217">
        <v>42223</v>
      </c>
      <c r="P1884" s="220">
        <f t="shared" si="741"/>
        <v>1</v>
      </c>
      <c r="Q1884" s="218" t="s">
        <v>6279</v>
      </c>
      <c r="R1884" s="216" t="s">
        <v>17</v>
      </c>
      <c r="S1884" s="218" t="s">
        <v>6280</v>
      </c>
      <c r="T1884" s="218" t="s">
        <v>6281</v>
      </c>
      <c r="U1884" s="217">
        <v>42227</v>
      </c>
      <c r="V1884" s="221" t="s">
        <v>186</v>
      </c>
      <c r="W1884" s="213">
        <f t="shared" si="739"/>
        <v>0</v>
      </c>
      <c r="X1884" s="213" t="str">
        <f t="shared" si="740"/>
        <v>Correcto</v>
      </c>
    </row>
    <row r="1885" spans="1:24" ht="18" customHeight="1" x14ac:dyDescent="0.25">
      <c r="A1885" s="214">
        <v>1876</v>
      </c>
      <c r="B1885" s="206" t="s">
        <v>6282</v>
      </c>
      <c r="C1885" s="207">
        <v>42222</v>
      </c>
      <c r="D1885" s="216">
        <v>2</v>
      </c>
      <c r="E1885" s="216" t="s">
        <v>93</v>
      </c>
      <c r="F1885" s="209" t="s">
        <v>1654</v>
      </c>
      <c r="G1885" s="209" t="s">
        <v>202</v>
      </c>
      <c r="H1885" s="217">
        <v>42222</v>
      </c>
      <c r="I1885" s="209" t="s">
        <v>187</v>
      </c>
      <c r="J1885" s="209" t="s">
        <v>103</v>
      </c>
      <c r="K1885" s="218" t="s">
        <v>6283</v>
      </c>
      <c r="L1885" s="217">
        <v>42222</v>
      </c>
      <c r="M1885" s="218" t="s">
        <v>1654</v>
      </c>
      <c r="N1885" s="219" t="s">
        <v>185</v>
      </c>
      <c r="O1885" s="217">
        <v>42222</v>
      </c>
      <c r="P1885" s="220">
        <f t="shared" si="741"/>
        <v>0</v>
      </c>
      <c r="Q1885" s="218" t="s">
        <v>6283</v>
      </c>
      <c r="R1885" s="216" t="s">
        <v>17</v>
      </c>
      <c r="S1885" s="218" t="s">
        <v>101</v>
      </c>
      <c r="T1885" s="218" t="s">
        <v>1500</v>
      </c>
      <c r="U1885" s="217">
        <v>42227</v>
      </c>
      <c r="V1885" s="221" t="s">
        <v>186</v>
      </c>
      <c r="W1885" s="213">
        <f t="shared" si="739"/>
        <v>0</v>
      </c>
      <c r="X1885" s="213" t="str">
        <f t="shared" si="740"/>
        <v>Correcto</v>
      </c>
    </row>
    <row r="1886" spans="1:24" ht="18" customHeight="1" x14ac:dyDescent="0.25">
      <c r="A1886" s="214">
        <v>1877</v>
      </c>
      <c r="B1886" s="206" t="s">
        <v>6284</v>
      </c>
      <c r="C1886" s="207">
        <v>42222</v>
      </c>
      <c r="D1886" s="216">
        <v>2</v>
      </c>
      <c r="E1886" s="216" t="s">
        <v>93</v>
      </c>
      <c r="F1886" s="209" t="s">
        <v>1654</v>
      </c>
      <c r="G1886" s="209" t="s">
        <v>202</v>
      </c>
      <c r="H1886" s="217">
        <v>42222</v>
      </c>
      <c r="I1886" s="209" t="s">
        <v>187</v>
      </c>
      <c r="J1886" s="209" t="s">
        <v>103</v>
      </c>
      <c r="K1886" s="218" t="s">
        <v>6285</v>
      </c>
      <c r="L1886" s="217">
        <v>42222</v>
      </c>
      <c r="M1886" s="218" t="s">
        <v>1654</v>
      </c>
      <c r="N1886" s="219" t="s">
        <v>185</v>
      </c>
      <c r="O1886" s="217">
        <v>42222</v>
      </c>
      <c r="P1886" s="220">
        <f t="shared" si="741"/>
        <v>0</v>
      </c>
      <c r="Q1886" s="218" t="s">
        <v>6285</v>
      </c>
      <c r="R1886" s="216" t="s">
        <v>17</v>
      </c>
      <c r="S1886" s="218" t="s">
        <v>101</v>
      </c>
      <c r="T1886" s="218" t="s">
        <v>3938</v>
      </c>
      <c r="U1886" s="217">
        <v>42227</v>
      </c>
      <c r="V1886" s="221" t="s">
        <v>186</v>
      </c>
      <c r="W1886" s="213">
        <f t="shared" si="739"/>
        <v>0</v>
      </c>
      <c r="X1886" s="213" t="str">
        <f t="shared" si="740"/>
        <v>Correcto</v>
      </c>
    </row>
    <row r="1887" spans="1:24" ht="18" customHeight="1" x14ac:dyDescent="0.25">
      <c r="A1887" s="214">
        <v>1878</v>
      </c>
      <c r="B1887" s="206" t="s">
        <v>6286</v>
      </c>
      <c r="C1887" s="207">
        <v>42222</v>
      </c>
      <c r="D1887" s="216">
        <v>2</v>
      </c>
      <c r="E1887" s="216" t="s">
        <v>93</v>
      </c>
      <c r="F1887" s="209" t="s">
        <v>1654</v>
      </c>
      <c r="G1887" s="209" t="s">
        <v>202</v>
      </c>
      <c r="H1887" s="217">
        <v>42222</v>
      </c>
      <c r="I1887" s="209" t="s">
        <v>187</v>
      </c>
      <c r="J1887" s="209" t="s">
        <v>103</v>
      </c>
      <c r="K1887" s="218" t="s">
        <v>6287</v>
      </c>
      <c r="L1887" s="217">
        <v>42222</v>
      </c>
      <c r="M1887" s="218" t="s">
        <v>1654</v>
      </c>
      <c r="N1887" s="219" t="s">
        <v>185</v>
      </c>
      <c r="O1887" s="217">
        <v>42222</v>
      </c>
      <c r="P1887" s="220">
        <f t="shared" si="741"/>
        <v>0</v>
      </c>
      <c r="Q1887" s="218" t="s">
        <v>6287</v>
      </c>
      <c r="R1887" s="216" t="s">
        <v>17</v>
      </c>
      <c r="S1887" s="218" t="s">
        <v>101</v>
      </c>
      <c r="T1887" s="218" t="s">
        <v>1186</v>
      </c>
      <c r="U1887" s="217">
        <v>42227</v>
      </c>
      <c r="V1887" s="221" t="s">
        <v>186</v>
      </c>
      <c r="W1887" s="213">
        <f t="shared" si="739"/>
        <v>0</v>
      </c>
      <c r="X1887" s="213" t="str">
        <f t="shared" si="740"/>
        <v>Correcto</v>
      </c>
    </row>
    <row r="1888" spans="1:24" ht="18" customHeight="1" x14ac:dyDescent="0.25">
      <c r="A1888" s="214">
        <v>1879</v>
      </c>
      <c r="B1888" s="206" t="s">
        <v>6288</v>
      </c>
      <c r="C1888" s="207">
        <v>42222</v>
      </c>
      <c r="D1888" s="216">
        <v>11</v>
      </c>
      <c r="E1888" s="216" t="s">
        <v>93</v>
      </c>
      <c r="F1888" s="209" t="s">
        <v>1654</v>
      </c>
      <c r="G1888" s="209" t="s">
        <v>202</v>
      </c>
      <c r="H1888" s="217">
        <v>42222</v>
      </c>
      <c r="I1888" s="209" t="s">
        <v>187</v>
      </c>
      <c r="J1888" s="209" t="s">
        <v>103</v>
      </c>
      <c r="K1888" s="218" t="s">
        <v>6289</v>
      </c>
      <c r="L1888" s="217">
        <v>42222</v>
      </c>
      <c r="M1888" s="218" t="s">
        <v>1654</v>
      </c>
      <c r="N1888" s="219" t="s">
        <v>185</v>
      </c>
      <c r="O1888" s="217">
        <v>42222</v>
      </c>
      <c r="P1888" s="220">
        <f t="shared" si="741"/>
        <v>0</v>
      </c>
      <c r="Q1888" s="218" t="s">
        <v>6289</v>
      </c>
      <c r="R1888" s="216" t="s">
        <v>17</v>
      </c>
      <c r="S1888" s="218" t="s">
        <v>101</v>
      </c>
      <c r="T1888" s="218" t="s">
        <v>2258</v>
      </c>
      <c r="U1888" s="217">
        <v>42227</v>
      </c>
      <c r="V1888" s="221" t="s">
        <v>186</v>
      </c>
      <c r="W1888" s="213">
        <f t="shared" si="739"/>
        <v>0</v>
      </c>
      <c r="X1888" s="213" t="str">
        <f t="shared" si="740"/>
        <v>Correcto</v>
      </c>
    </row>
    <row r="1889" spans="1:24" ht="18" customHeight="1" x14ac:dyDescent="0.25">
      <c r="A1889" s="214">
        <v>1880</v>
      </c>
      <c r="B1889" s="206" t="s">
        <v>6290</v>
      </c>
      <c r="C1889" s="207">
        <v>42222</v>
      </c>
      <c r="D1889" s="216">
        <v>2</v>
      </c>
      <c r="E1889" s="216" t="s">
        <v>93</v>
      </c>
      <c r="F1889" s="209" t="s">
        <v>1654</v>
      </c>
      <c r="G1889" s="209" t="s">
        <v>202</v>
      </c>
      <c r="H1889" s="217">
        <v>42222</v>
      </c>
      <c r="I1889" s="209" t="s">
        <v>187</v>
      </c>
      <c r="J1889" s="209" t="s">
        <v>103</v>
      </c>
      <c r="K1889" s="218" t="s">
        <v>6291</v>
      </c>
      <c r="L1889" s="217">
        <v>42222</v>
      </c>
      <c r="M1889" s="218" t="s">
        <v>1654</v>
      </c>
      <c r="N1889" s="219" t="s">
        <v>185</v>
      </c>
      <c r="O1889" s="217">
        <v>42222</v>
      </c>
      <c r="P1889" s="220">
        <f t="shared" si="741"/>
        <v>0</v>
      </c>
      <c r="Q1889" s="218" t="s">
        <v>6291</v>
      </c>
      <c r="R1889" s="216" t="s">
        <v>17</v>
      </c>
      <c r="S1889" s="218" t="s">
        <v>101</v>
      </c>
      <c r="T1889" s="218" t="s">
        <v>2258</v>
      </c>
      <c r="U1889" s="217">
        <v>42227</v>
      </c>
      <c r="V1889" s="221" t="s">
        <v>186</v>
      </c>
      <c r="W1889" s="213">
        <f t="shared" si="739"/>
        <v>0</v>
      </c>
      <c r="X1889" s="213" t="str">
        <f t="shared" si="740"/>
        <v>Correcto</v>
      </c>
    </row>
    <row r="1890" spans="1:24" ht="18" customHeight="1" x14ac:dyDescent="0.25">
      <c r="A1890" s="214">
        <v>1881</v>
      </c>
      <c r="B1890" s="206" t="s">
        <v>6292</v>
      </c>
      <c r="C1890" s="207">
        <v>42222</v>
      </c>
      <c r="D1890" s="216">
        <v>3</v>
      </c>
      <c r="E1890" s="216" t="s">
        <v>93</v>
      </c>
      <c r="F1890" s="209" t="s">
        <v>1654</v>
      </c>
      <c r="G1890" s="209" t="s">
        <v>202</v>
      </c>
      <c r="H1890" s="217">
        <v>42222</v>
      </c>
      <c r="I1890" s="209" t="s">
        <v>187</v>
      </c>
      <c r="J1890" s="209" t="s">
        <v>103</v>
      </c>
      <c r="K1890" s="218" t="s">
        <v>6293</v>
      </c>
      <c r="L1890" s="217">
        <v>42222</v>
      </c>
      <c r="M1890" s="218" t="s">
        <v>1654</v>
      </c>
      <c r="N1890" s="219" t="s">
        <v>185</v>
      </c>
      <c r="O1890" s="217">
        <v>42222</v>
      </c>
      <c r="P1890" s="220">
        <f t="shared" si="741"/>
        <v>0</v>
      </c>
      <c r="Q1890" s="218" t="s">
        <v>6293</v>
      </c>
      <c r="R1890" s="216" t="s">
        <v>17</v>
      </c>
      <c r="S1890" s="218" t="s">
        <v>101</v>
      </c>
      <c r="T1890" s="218" t="s">
        <v>6157</v>
      </c>
      <c r="U1890" s="217">
        <v>42227</v>
      </c>
      <c r="V1890" s="221" t="s">
        <v>186</v>
      </c>
      <c r="W1890" s="213">
        <f t="shared" si="739"/>
        <v>0</v>
      </c>
      <c r="X1890" s="213" t="str">
        <f t="shared" si="740"/>
        <v>Correcto</v>
      </c>
    </row>
    <row r="1891" spans="1:24" ht="18" customHeight="1" x14ac:dyDescent="0.25">
      <c r="A1891" s="214">
        <v>1882</v>
      </c>
      <c r="B1891" s="206" t="s">
        <v>6294</v>
      </c>
      <c r="C1891" s="207">
        <v>42222</v>
      </c>
      <c r="D1891" s="216">
        <v>2</v>
      </c>
      <c r="E1891" s="216" t="s">
        <v>93</v>
      </c>
      <c r="F1891" s="209" t="s">
        <v>6295</v>
      </c>
      <c r="G1891" s="209" t="s">
        <v>202</v>
      </c>
      <c r="H1891" s="217">
        <v>42233</v>
      </c>
      <c r="I1891" s="209" t="s">
        <v>5776</v>
      </c>
      <c r="J1891" s="209" t="s">
        <v>103</v>
      </c>
      <c r="K1891" s="218" t="s">
        <v>6296</v>
      </c>
      <c r="L1891" s="217">
        <v>42234</v>
      </c>
      <c r="M1891" s="218" t="s">
        <v>6297</v>
      </c>
      <c r="N1891" s="219" t="s">
        <v>6298</v>
      </c>
      <c r="O1891" s="217">
        <v>42243</v>
      </c>
      <c r="P1891" s="220">
        <f t="shared" si="741"/>
        <v>21</v>
      </c>
      <c r="Q1891" s="218" t="s">
        <v>6299</v>
      </c>
      <c r="R1891" s="216" t="s">
        <v>17</v>
      </c>
      <c r="S1891" s="218" t="s">
        <v>6300</v>
      </c>
      <c r="T1891" s="218" t="s">
        <v>101</v>
      </c>
      <c r="U1891" s="217"/>
      <c r="V1891" s="221"/>
      <c r="W1891" s="213">
        <f t="shared" si="739"/>
        <v>2</v>
      </c>
      <c r="X1891" s="213" t="str">
        <f t="shared" si="740"/>
        <v>Incorrecto</v>
      </c>
    </row>
    <row r="1892" spans="1:24" ht="18" customHeight="1" x14ac:dyDescent="0.25">
      <c r="A1892" s="214">
        <v>1883</v>
      </c>
      <c r="B1892" s="206" t="s">
        <v>6301</v>
      </c>
      <c r="C1892" s="207">
        <v>42222</v>
      </c>
      <c r="D1892" s="216">
        <v>2</v>
      </c>
      <c r="E1892" s="216" t="s">
        <v>93</v>
      </c>
      <c r="F1892" s="209" t="s">
        <v>1654</v>
      </c>
      <c r="G1892" s="209" t="s">
        <v>202</v>
      </c>
      <c r="H1892" s="217">
        <v>42222</v>
      </c>
      <c r="I1892" s="209" t="s">
        <v>187</v>
      </c>
      <c r="J1892" s="209" t="s">
        <v>103</v>
      </c>
      <c r="K1892" s="218" t="s">
        <v>6302</v>
      </c>
      <c r="L1892" s="217">
        <v>42222</v>
      </c>
      <c r="M1892" s="218" t="s">
        <v>1654</v>
      </c>
      <c r="N1892" s="219" t="s">
        <v>185</v>
      </c>
      <c r="O1892" s="217">
        <v>42222</v>
      </c>
      <c r="P1892" s="220">
        <f t="shared" si="741"/>
        <v>0</v>
      </c>
      <c r="Q1892" s="218" t="s">
        <v>6302</v>
      </c>
      <c r="R1892" s="216" t="s">
        <v>17</v>
      </c>
      <c r="S1892" s="218" t="s">
        <v>6303</v>
      </c>
      <c r="T1892" s="218" t="s">
        <v>6304</v>
      </c>
      <c r="U1892" s="217">
        <v>42227</v>
      </c>
      <c r="V1892" s="221" t="s">
        <v>186</v>
      </c>
      <c r="W1892" s="213">
        <f t="shared" si="739"/>
        <v>0</v>
      </c>
      <c r="X1892" s="213" t="str">
        <f t="shared" si="740"/>
        <v>Correcto</v>
      </c>
    </row>
    <row r="1893" spans="1:24" ht="18" customHeight="1" x14ac:dyDescent="0.25">
      <c r="A1893" s="214">
        <v>1884</v>
      </c>
      <c r="B1893" s="206" t="s">
        <v>6305</v>
      </c>
      <c r="C1893" s="207">
        <v>42222</v>
      </c>
      <c r="D1893" s="216">
        <v>4</v>
      </c>
      <c r="E1893" s="216" t="s">
        <v>93</v>
      </c>
      <c r="F1893" s="209" t="s">
        <v>1654</v>
      </c>
      <c r="G1893" s="209" t="s">
        <v>202</v>
      </c>
      <c r="H1893" s="217">
        <v>42222</v>
      </c>
      <c r="I1893" s="209" t="s">
        <v>187</v>
      </c>
      <c r="J1893" s="209" t="s">
        <v>103</v>
      </c>
      <c r="K1893" s="218" t="s">
        <v>6306</v>
      </c>
      <c r="L1893" s="217">
        <v>42222</v>
      </c>
      <c r="M1893" s="218" t="s">
        <v>1654</v>
      </c>
      <c r="N1893" s="219" t="s">
        <v>185</v>
      </c>
      <c r="O1893" s="217">
        <v>42222</v>
      </c>
      <c r="P1893" s="220">
        <f t="shared" si="741"/>
        <v>0</v>
      </c>
      <c r="Q1893" s="218" t="s">
        <v>6306</v>
      </c>
      <c r="R1893" s="216" t="s">
        <v>17</v>
      </c>
      <c r="S1893" s="218" t="s">
        <v>101</v>
      </c>
      <c r="T1893" s="218" t="s">
        <v>6300</v>
      </c>
      <c r="U1893" s="217">
        <v>42227</v>
      </c>
      <c r="V1893" s="221" t="s">
        <v>186</v>
      </c>
      <c r="W1893" s="213">
        <f t="shared" si="739"/>
        <v>0</v>
      </c>
      <c r="X1893" s="213" t="str">
        <f t="shared" si="740"/>
        <v>Correcto</v>
      </c>
    </row>
    <row r="1894" spans="1:24" ht="18" customHeight="1" x14ac:dyDescent="0.25">
      <c r="A1894" s="214">
        <v>1885</v>
      </c>
      <c r="B1894" s="206" t="s">
        <v>6307</v>
      </c>
      <c r="C1894" s="207">
        <v>42222</v>
      </c>
      <c r="D1894" s="216">
        <v>4</v>
      </c>
      <c r="E1894" s="216" t="s">
        <v>93</v>
      </c>
      <c r="F1894" s="209" t="s">
        <v>1654</v>
      </c>
      <c r="G1894" s="209" t="s">
        <v>202</v>
      </c>
      <c r="H1894" s="217">
        <v>42222</v>
      </c>
      <c r="I1894" s="209" t="s">
        <v>187</v>
      </c>
      <c r="J1894" s="209" t="s">
        <v>103</v>
      </c>
      <c r="K1894" s="218" t="s">
        <v>6308</v>
      </c>
      <c r="L1894" s="217">
        <v>42222</v>
      </c>
      <c r="M1894" s="218" t="s">
        <v>1654</v>
      </c>
      <c r="N1894" s="219" t="s">
        <v>185</v>
      </c>
      <c r="O1894" s="217">
        <v>42222</v>
      </c>
      <c r="P1894" s="220">
        <f t="shared" si="741"/>
        <v>0</v>
      </c>
      <c r="Q1894" s="218" t="s">
        <v>6308</v>
      </c>
      <c r="R1894" s="216" t="s">
        <v>17</v>
      </c>
      <c r="S1894" s="218" t="s">
        <v>6309</v>
      </c>
      <c r="T1894" s="218" t="s">
        <v>6310</v>
      </c>
      <c r="U1894" s="217">
        <v>42223</v>
      </c>
      <c r="V1894" s="221" t="s">
        <v>186</v>
      </c>
      <c r="W1894" s="213">
        <f t="shared" si="739"/>
        <v>0</v>
      </c>
      <c r="X1894" s="213" t="str">
        <f t="shared" si="740"/>
        <v>Correcto</v>
      </c>
    </row>
    <row r="1895" spans="1:24" ht="18" customHeight="1" x14ac:dyDescent="0.25">
      <c r="A1895" s="214">
        <v>1886</v>
      </c>
      <c r="B1895" s="206" t="s">
        <v>6311</v>
      </c>
      <c r="C1895" s="207">
        <v>42222</v>
      </c>
      <c r="D1895" s="216">
        <v>2</v>
      </c>
      <c r="E1895" s="216" t="s">
        <v>93</v>
      </c>
      <c r="F1895" s="209" t="s">
        <v>1654</v>
      </c>
      <c r="G1895" s="209" t="s">
        <v>202</v>
      </c>
      <c r="H1895" s="217">
        <v>42223</v>
      </c>
      <c r="I1895" s="209" t="s">
        <v>187</v>
      </c>
      <c r="J1895" s="209" t="s">
        <v>103</v>
      </c>
      <c r="K1895" s="218" t="s">
        <v>6312</v>
      </c>
      <c r="L1895" s="217">
        <v>42223</v>
      </c>
      <c r="M1895" s="218" t="s">
        <v>1654</v>
      </c>
      <c r="N1895" s="219" t="s">
        <v>185</v>
      </c>
      <c r="O1895" s="217">
        <v>42223</v>
      </c>
      <c r="P1895" s="220">
        <f t="shared" si="741"/>
        <v>1</v>
      </c>
      <c r="Q1895" s="218" t="s">
        <v>6312</v>
      </c>
      <c r="R1895" s="216" t="s">
        <v>17</v>
      </c>
      <c r="S1895" s="218" t="s">
        <v>101</v>
      </c>
      <c r="T1895" s="218" t="s">
        <v>6157</v>
      </c>
      <c r="U1895" s="217">
        <v>42228</v>
      </c>
      <c r="V1895" s="221" t="s">
        <v>186</v>
      </c>
      <c r="W1895" s="213">
        <f t="shared" si="739"/>
        <v>0</v>
      </c>
      <c r="X1895" s="213" t="str">
        <f t="shared" si="740"/>
        <v>Correcto</v>
      </c>
    </row>
    <row r="1896" spans="1:24" ht="18" customHeight="1" x14ac:dyDescent="0.25">
      <c r="A1896" s="214">
        <v>1887</v>
      </c>
      <c r="B1896" s="206" t="s">
        <v>6313</v>
      </c>
      <c r="C1896" s="207">
        <v>42222</v>
      </c>
      <c r="D1896" s="216">
        <v>2</v>
      </c>
      <c r="E1896" s="216" t="s">
        <v>93</v>
      </c>
      <c r="F1896" s="209" t="s">
        <v>1654</v>
      </c>
      <c r="G1896" s="209" t="s">
        <v>202</v>
      </c>
      <c r="H1896" s="217">
        <v>42223</v>
      </c>
      <c r="I1896" s="209" t="s">
        <v>187</v>
      </c>
      <c r="J1896" s="209" t="s">
        <v>103</v>
      </c>
      <c r="K1896" s="218" t="s">
        <v>6314</v>
      </c>
      <c r="L1896" s="217">
        <v>42223</v>
      </c>
      <c r="M1896" s="218" t="s">
        <v>1654</v>
      </c>
      <c r="N1896" s="219" t="s">
        <v>185</v>
      </c>
      <c r="O1896" s="217">
        <v>42223</v>
      </c>
      <c r="P1896" s="220">
        <f t="shared" si="741"/>
        <v>1</v>
      </c>
      <c r="Q1896" s="218" t="s">
        <v>6314</v>
      </c>
      <c r="R1896" s="216" t="s">
        <v>17</v>
      </c>
      <c r="S1896" s="218" t="s">
        <v>101</v>
      </c>
      <c r="T1896" s="218" t="s">
        <v>6157</v>
      </c>
      <c r="U1896" s="217">
        <v>42228</v>
      </c>
      <c r="V1896" s="221" t="s">
        <v>186</v>
      </c>
      <c r="W1896" s="213">
        <f t="shared" si="739"/>
        <v>0</v>
      </c>
      <c r="X1896" s="213" t="str">
        <f t="shared" si="740"/>
        <v>Correcto</v>
      </c>
    </row>
    <row r="1897" spans="1:24" ht="18" customHeight="1" x14ac:dyDescent="0.25">
      <c r="A1897" s="214">
        <v>1888</v>
      </c>
      <c r="B1897" s="206" t="s">
        <v>6315</v>
      </c>
      <c r="C1897" s="207">
        <v>42222</v>
      </c>
      <c r="D1897" s="216">
        <v>2</v>
      </c>
      <c r="E1897" s="216" t="s">
        <v>93</v>
      </c>
      <c r="F1897" s="209" t="s">
        <v>1654</v>
      </c>
      <c r="G1897" s="209" t="s">
        <v>202</v>
      </c>
      <c r="H1897" s="217">
        <v>42223</v>
      </c>
      <c r="I1897" s="209" t="s">
        <v>187</v>
      </c>
      <c r="J1897" s="209" t="s">
        <v>103</v>
      </c>
      <c r="K1897" s="218" t="s">
        <v>6316</v>
      </c>
      <c r="L1897" s="217">
        <v>42223</v>
      </c>
      <c r="M1897" s="218" t="s">
        <v>1654</v>
      </c>
      <c r="N1897" s="219" t="s">
        <v>185</v>
      </c>
      <c r="O1897" s="217">
        <v>42223</v>
      </c>
      <c r="P1897" s="220">
        <f t="shared" si="741"/>
        <v>1</v>
      </c>
      <c r="Q1897" s="218" t="s">
        <v>6316</v>
      </c>
      <c r="R1897" s="216" t="s">
        <v>17</v>
      </c>
      <c r="S1897" s="218" t="s">
        <v>6317</v>
      </c>
      <c r="T1897" s="218" t="s">
        <v>6318</v>
      </c>
      <c r="U1897" s="217">
        <v>42227</v>
      </c>
      <c r="V1897" s="221" t="s">
        <v>186</v>
      </c>
      <c r="W1897" s="213">
        <f t="shared" si="739"/>
        <v>0</v>
      </c>
      <c r="X1897" s="213" t="str">
        <f t="shared" si="740"/>
        <v>Correcto</v>
      </c>
    </row>
    <row r="1898" spans="1:24" ht="18" customHeight="1" x14ac:dyDescent="0.25">
      <c r="A1898" s="214">
        <v>1889</v>
      </c>
      <c r="B1898" s="206" t="s">
        <v>6319</v>
      </c>
      <c r="C1898" s="207">
        <v>42223</v>
      </c>
      <c r="D1898" s="216">
        <v>2</v>
      </c>
      <c r="E1898" s="216" t="s">
        <v>93</v>
      </c>
      <c r="F1898" s="209" t="s">
        <v>1654</v>
      </c>
      <c r="G1898" s="209" t="s">
        <v>202</v>
      </c>
      <c r="H1898" s="217">
        <v>42227</v>
      </c>
      <c r="I1898" s="209" t="s">
        <v>187</v>
      </c>
      <c r="J1898" s="209" t="s">
        <v>103</v>
      </c>
      <c r="K1898" s="218" t="s">
        <v>6320</v>
      </c>
      <c r="L1898" s="217">
        <v>42227</v>
      </c>
      <c r="M1898" s="218" t="s">
        <v>1654</v>
      </c>
      <c r="N1898" s="219" t="s">
        <v>185</v>
      </c>
      <c r="O1898" s="217">
        <v>42227</v>
      </c>
      <c r="P1898" s="220">
        <f t="shared" si="741"/>
        <v>4</v>
      </c>
      <c r="Q1898" s="218" t="s">
        <v>6320</v>
      </c>
      <c r="R1898" s="216" t="s">
        <v>17</v>
      </c>
      <c r="S1898" s="218" t="s">
        <v>101</v>
      </c>
      <c r="T1898" s="218" t="s">
        <v>1012</v>
      </c>
      <c r="U1898" s="217">
        <v>42228</v>
      </c>
      <c r="V1898" s="221" t="s">
        <v>186</v>
      </c>
      <c r="W1898" s="213">
        <f t="shared" si="739"/>
        <v>0</v>
      </c>
      <c r="X1898" s="213" t="str">
        <f t="shared" si="740"/>
        <v>Correcto</v>
      </c>
    </row>
    <row r="1899" spans="1:24" ht="18" customHeight="1" x14ac:dyDescent="0.25">
      <c r="A1899" s="214">
        <v>1890</v>
      </c>
      <c r="B1899" s="206" t="s">
        <v>6321</v>
      </c>
      <c r="C1899" s="207">
        <v>42223</v>
      </c>
      <c r="D1899" s="216">
        <v>2</v>
      </c>
      <c r="E1899" s="216" t="s">
        <v>93</v>
      </c>
      <c r="F1899" s="209" t="s">
        <v>1654</v>
      </c>
      <c r="G1899" s="209" t="s">
        <v>202</v>
      </c>
      <c r="H1899" s="217">
        <v>42227</v>
      </c>
      <c r="I1899" s="209" t="s">
        <v>187</v>
      </c>
      <c r="J1899" s="209" t="s">
        <v>103</v>
      </c>
      <c r="K1899" s="218" t="s">
        <v>6322</v>
      </c>
      <c r="L1899" s="217">
        <v>42227</v>
      </c>
      <c r="M1899" s="218" t="s">
        <v>1654</v>
      </c>
      <c r="N1899" s="219" t="s">
        <v>185</v>
      </c>
      <c r="O1899" s="217">
        <v>42227</v>
      </c>
      <c r="P1899" s="220">
        <f t="shared" si="741"/>
        <v>4</v>
      </c>
      <c r="Q1899" s="218" t="s">
        <v>6322</v>
      </c>
      <c r="R1899" s="216" t="s">
        <v>17</v>
      </c>
      <c r="S1899" s="218" t="s">
        <v>101</v>
      </c>
      <c r="T1899" s="218" t="s">
        <v>6157</v>
      </c>
      <c r="U1899" s="217">
        <v>42228</v>
      </c>
      <c r="V1899" s="221" t="s">
        <v>186</v>
      </c>
      <c r="W1899" s="213">
        <f t="shared" si="739"/>
        <v>0</v>
      </c>
      <c r="X1899" s="213" t="str">
        <f t="shared" si="740"/>
        <v>Correcto</v>
      </c>
    </row>
    <row r="1900" spans="1:24" ht="18" customHeight="1" x14ac:dyDescent="0.25">
      <c r="A1900" s="214">
        <v>1891</v>
      </c>
      <c r="B1900" s="206" t="s">
        <v>6323</v>
      </c>
      <c r="C1900" s="207">
        <v>42223</v>
      </c>
      <c r="D1900" s="216">
        <v>50</v>
      </c>
      <c r="E1900" s="216" t="s">
        <v>93</v>
      </c>
      <c r="F1900" s="209" t="s">
        <v>1654</v>
      </c>
      <c r="G1900" s="209" t="s">
        <v>202</v>
      </c>
      <c r="H1900" s="217">
        <v>42223</v>
      </c>
      <c r="I1900" s="209" t="s">
        <v>187</v>
      </c>
      <c r="J1900" s="209" t="s">
        <v>103</v>
      </c>
      <c r="K1900" s="218" t="s">
        <v>6324</v>
      </c>
      <c r="L1900" s="217">
        <v>42223</v>
      </c>
      <c r="M1900" s="218" t="s">
        <v>1654</v>
      </c>
      <c r="N1900" s="219" t="s">
        <v>188</v>
      </c>
      <c r="O1900" s="217">
        <v>42223</v>
      </c>
      <c r="P1900" s="220">
        <f t="shared" si="741"/>
        <v>0</v>
      </c>
      <c r="Q1900" s="218" t="s">
        <v>6324</v>
      </c>
      <c r="R1900" s="216" t="s">
        <v>17</v>
      </c>
      <c r="S1900" s="218" t="s">
        <v>6325</v>
      </c>
      <c r="T1900" s="218" t="s">
        <v>6326</v>
      </c>
      <c r="U1900" s="217">
        <v>42223</v>
      </c>
      <c r="V1900" s="221" t="s">
        <v>186</v>
      </c>
      <c r="W1900" s="213">
        <f t="shared" si="739"/>
        <v>0</v>
      </c>
      <c r="X1900" s="213" t="str">
        <f t="shared" si="740"/>
        <v>Correcto</v>
      </c>
    </row>
    <row r="1901" spans="1:24" ht="18" customHeight="1" x14ac:dyDescent="0.25">
      <c r="A1901" s="214">
        <v>1892</v>
      </c>
      <c r="B1901" s="206" t="s">
        <v>6327</v>
      </c>
      <c r="C1901" s="207">
        <v>42223</v>
      </c>
      <c r="D1901" s="216">
        <v>2</v>
      </c>
      <c r="E1901" s="216" t="s">
        <v>93</v>
      </c>
      <c r="F1901" s="209" t="s">
        <v>1654</v>
      </c>
      <c r="G1901" s="209" t="s">
        <v>202</v>
      </c>
      <c r="H1901" s="217">
        <v>42227</v>
      </c>
      <c r="I1901" s="209" t="s">
        <v>187</v>
      </c>
      <c r="J1901" s="209" t="s">
        <v>103</v>
      </c>
      <c r="K1901" s="218" t="s">
        <v>6328</v>
      </c>
      <c r="L1901" s="217">
        <v>42227</v>
      </c>
      <c r="M1901" s="218" t="s">
        <v>1654</v>
      </c>
      <c r="N1901" s="219" t="s">
        <v>185</v>
      </c>
      <c r="O1901" s="217">
        <v>42227</v>
      </c>
      <c r="P1901" s="220">
        <f t="shared" si="741"/>
        <v>4</v>
      </c>
      <c r="Q1901" s="218" t="s">
        <v>6328</v>
      </c>
      <c r="R1901" s="216" t="s">
        <v>17</v>
      </c>
      <c r="S1901" s="218" t="s">
        <v>6329</v>
      </c>
      <c r="T1901" s="218" t="s">
        <v>6330</v>
      </c>
      <c r="U1901" s="217">
        <v>42227</v>
      </c>
      <c r="V1901" s="221" t="s">
        <v>6131</v>
      </c>
      <c r="W1901" s="213">
        <f t="shared" si="739"/>
        <v>0</v>
      </c>
      <c r="X1901" s="213" t="str">
        <f t="shared" si="740"/>
        <v>Correcto</v>
      </c>
    </row>
    <row r="1902" spans="1:24" ht="18" customHeight="1" x14ac:dyDescent="0.25">
      <c r="A1902" s="214">
        <v>1893</v>
      </c>
      <c r="B1902" s="206" t="s">
        <v>6331</v>
      </c>
      <c r="C1902" s="207">
        <v>42223</v>
      </c>
      <c r="D1902" s="216">
        <v>5</v>
      </c>
      <c r="E1902" s="216" t="s">
        <v>93</v>
      </c>
      <c r="F1902" s="209" t="s">
        <v>1654</v>
      </c>
      <c r="G1902" s="209" t="s">
        <v>202</v>
      </c>
      <c r="H1902" s="217">
        <v>42227</v>
      </c>
      <c r="I1902" s="209" t="s">
        <v>187</v>
      </c>
      <c r="J1902" s="209" t="s">
        <v>103</v>
      </c>
      <c r="K1902" s="218" t="s">
        <v>6332</v>
      </c>
      <c r="L1902" s="217">
        <v>42227</v>
      </c>
      <c r="M1902" s="218" t="s">
        <v>1654</v>
      </c>
      <c r="N1902" s="219" t="s">
        <v>185</v>
      </c>
      <c r="O1902" s="217">
        <v>42227</v>
      </c>
      <c r="P1902" s="220">
        <f t="shared" si="741"/>
        <v>4</v>
      </c>
      <c r="Q1902" s="218" t="s">
        <v>6332</v>
      </c>
      <c r="R1902" s="216" t="s">
        <v>729</v>
      </c>
      <c r="S1902" s="218" t="s">
        <v>101</v>
      </c>
      <c r="T1902" s="218" t="s">
        <v>3113</v>
      </c>
      <c r="U1902" s="217">
        <v>42228</v>
      </c>
      <c r="V1902" s="221" t="s">
        <v>186</v>
      </c>
      <c r="W1902" s="213">
        <f t="shared" si="739"/>
        <v>0</v>
      </c>
      <c r="X1902" s="213" t="str">
        <f t="shared" si="740"/>
        <v>Correcto</v>
      </c>
    </row>
    <row r="1903" spans="1:24" ht="18" customHeight="1" x14ac:dyDescent="0.25">
      <c r="A1903" s="214">
        <v>1894</v>
      </c>
      <c r="B1903" s="206" t="s">
        <v>6333</v>
      </c>
      <c r="C1903" s="207">
        <v>42223</v>
      </c>
      <c r="D1903" s="216">
        <v>2</v>
      </c>
      <c r="E1903" s="216" t="s">
        <v>93</v>
      </c>
      <c r="F1903" s="209" t="s">
        <v>1654</v>
      </c>
      <c r="G1903" s="209" t="s">
        <v>202</v>
      </c>
      <c r="H1903" s="217">
        <v>42227</v>
      </c>
      <c r="I1903" s="209" t="s">
        <v>187</v>
      </c>
      <c r="J1903" s="209" t="s">
        <v>103</v>
      </c>
      <c r="K1903" s="218" t="s">
        <v>6334</v>
      </c>
      <c r="L1903" s="217">
        <v>42227</v>
      </c>
      <c r="M1903" s="218" t="s">
        <v>1654</v>
      </c>
      <c r="N1903" s="219" t="s">
        <v>185</v>
      </c>
      <c r="O1903" s="217">
        <v>42227</v>
      </c>
      <c r="P1903" s="220">
        <f t="shared" si="741"/>
        <v>4</v>
      </c>
      <c r="Q1903" s="218" t="s">
        <v>6334</v>
      </c>
      <c r="R1903" s="216" t="s">
        <v>17</v>
      </c>
      <c r="S1903" s="218" t="s">
        <v>6335</v>
      </c>
      <c r="T1903" s="218" t="s">
        <v>6336</v>
      </c>
      <c r="U1903" s="217">
        <v>42228</v>
      </c>
      <c r="V1903" s="221" t="s">
        <v>186</v>
      </c>
      <c r="W1903" s="213">
        <f t="shared" si="739"/>
        <v>0</v>
      </c>
      <c r="X1903" s="213" t="str">
        <f t="shared" si="740"/>
        <v>Correcto</v>
      </c>
    </row>
    <row r="1904" spans="1:24" ht="18" customHeight="1" x14ac:dyDescent="0.25">
      <c r="A1904" s="214">
        <v>1895</v>
      </c>
      <c r="B1904" s="206" t="s">
        <v>6337</v>
      </c>
      <c r="C1904" s="207">
        <v>42223</v>
      </c>
      <c r="D1904" s="216">
        <v>2</v>
      </c>
      <c r="E1904" s="216" t="s">
        <v>93</v>
      </c>
      <c r="F1904" s="209" t="s">
        <v>1654</v>
      </c>
      <c r="G1904" s="209" t="s">
        <v>202</v>
      </c>
      <c r="H1904" s="217">
        <v>42227</v>
      </c>
      <c r="I1904" s="209" t="s">
        <v>187</v>
      </c>
      <c r="J1904" s="209" t="s">
        <v>103</v>
      </c>
      <c r="K1904" s="218" t="s">
        <v>6338</v>
      </c>
      <c r="L1904" s="217">
        <v>42227</v>
      </c>
      <c r="M1904" s="218" t="s">
        <v>1654</v>
      </c>
      <c r="N1904" s="219" t="s">
        <v>185</v>
      </c>
      <c r="O1904" s="217">
        <v>42227</v>
      </c>
      <c r="P1904" s="220">
        <f t="shared" si="741"/>
        <v>4</v>
      </c>
      <c r="Q1904" s="218" t="s">
        <v>6338</v>
      </c>
      <c r="R1904" s="216" t="s">
        <v>17</v>
      </c>
      <c r="S1904" s="218" t="s">
        <v>6339</v>
      </c>
      <c r="T1904" s="218" t="s">
        <v>6340</v>
      </c>
      <c r="U1904" s="217">
        <v>42227</v>
      </c>
      <c r="V1904" s="221" t="s">
        <v>186</v>
      </c>
      <c r="W1904" s="213">
        <f t="shared" si="739"/>
        <v>0</v>
      </c>
      <c r="X1904" s="213" t="str">
        <f t="shared" si="740"/>
        <v>Correcto</v>
      </c>
    </row>
    <row r="1905" spans="1:24" ht="18" customHeight="1" x14ac:dyDescent="0.25">
      <c r="A1905" s="214">
        <v>1896</v>
      </c>
      <c r="B1905" s="206" t="s">
        <v>6341</v>
      </c>
      <c r="C1905" s="207">
        <v>42223</v>
      </c>
      <c r="D1905" s="216">
        <v>2</v>
      </c>
      <c r="E1905" s="216" t="s">
        <v>93</v>
      </c>
      <c r="F1905" s="209" t="s">
        <v>1654</v>
      </c>
      <c r="G1905" s="209" t="s">
        <v>202</v>
      </c>
      <c r="H1905" s="217">
        <v>42223</v>
      </c>
      <c r="I1905" s="209" t="s">
        <v>187</v>
      </c>
      <c r="J1905" s="209" t="s">
        <v>103</v>
      </c>
      <c r="K1905" s="218" t="s">
        <v>6342</v>
      </c>
      <c r="L1905" s="217">
        <v>42223</v>
      </c>
      <c r="M1905" s="218" t="s">
        <v>1654</v>
      </c>
      <c r="N1905" s="219" t="s">
        <v>185</v>
      </c>
      <c r="O1905" s="217">
        <v>42223</v>
      </c>
      <c r="P1905" s="220">
        <f t="shared" si="741"/>
        <v>0</v>
      </c>
      <c r="Q1905" s="218" t="s">
        <v>6342</v>
      </c>
      <c r="R1905" s="216" t="s">
        <v>17</v>
      </c>
      <c r="S1905" s="218" t="s">
        <v>6343</v>
      </c>
      <c r="T1905" s="218" t="s">
        <v>6344</v>
      </c>
      <c r="U1905" s="217">
        <v>42223</v>
      </c>
      <c r="V1905" s="221" t="s">
        <v>186</v>
      </c>
      <c r="W1905" s="213">
        <f t="shared" si="739"/>
        <v>0</v>
      </c>
      <c r="X1905" s="213" t="str">
        <f t="shared" si="740"/>
        <v>Correcto</v>
      </c>
    </row>
    <row r="1906" spans="1:24" ht="18" customHeight="1" x14ac:dyDescent="0.25">
      <c r="A1906" s="214">
        <v>1897</v>
      </c>
      <c r="B1906" s="206" t="s">
        <v>6345</v>
      </c>
      <c r="C1906" s="207">
        <v>42223</v>
      </c>
      <c r="D1906" s="216">
        <v>3</v>
      </c>
      <c r="E1906" s="216" t="s">
        <v>93</v>
      </c>
      <c r="F1906" s="209" t="s">
        <v>1654</v>
      </c>
      <c r="G1906" s="209" t="s">
        <v>202</v>
      </c>
      <c r="H1906" s="217">
        <v>42227</v>
      </c>
      <c r="I1906" s="209" t="s">
        <v>187</v>
      </c>
      <c r="J1906" s="209" t="s">
        <v>103</v>
      </c>
      <c r="K1906" s="218" t="s">
        <v>6346</v>
      </c>
      <c r="L1906" s="217">
        <v>42227</v>
      </c>
      <c r="M1906" s="218" t="s">
        <v>1654</v>
      </c>
      <c r="N1906" s="219" t="s">
        <v>185</v>
      </c>
      <c r="O1906" s="217">
        <v>42227</v>
      </c>
      <c r="P1906" s="220">
        <f t="shared" si="741"/>
        <v>4</v>
      </c>
      <c r="Q1906" s="218" t="s">
        <v>6346</v>
      </c>
      <c r="R1906" s="216" t="s">
        <v>17</v>
      </c>
      <c r="S1906" s="218" t="s">
        <v>101</v>
      </c>
      <c r="T1906" s="218" t="s">
        <v>6157</v>
      </c>
      <c r="U1906" s="217">
        <v>42228</v>
      </c>
      <c r="V1906" s="221" t="s">
        <v>186</v>
      </c>
      <c r="W1906" s="213">
        <f t="shared" si="739"/>
        <v>0</v>
      </c>
      <c r="X1906" s="213" t="str">
        <f t="shared" si="740"/>
        <v>Correcto</v>
      </c>
    </row>
    <row r="1907" spans="1:24" ht="18" customHeight="1" x14ac:dyDescent="0.25">
      <c r="A1907" s="214">
        <v>1898</v>
      </c>
      <c r="B1907" s="206" t="s">
        <v>6347</v>
      </c>
      <c r="C1907" s="207">
        <v>42223</v>
      </c>
      <c r="D1907" s="216">
        <v>3</v>
      </c>
      <c r="E1907" s="216" t="s">
        <v>93</v>
      </c>
      <c r="F1907" s="209" t="s">
        <v>1654</v>
      </c>
      <c r="G1907" s="209" t="s">
        <v>202</v>
      </c>
      <c r="H1907" s="217">
        <v>42227</v>
      </c>
      <c r="I1907" s="209" t="s">
        <v>187</v>
      </c>
      <c r="J1907" s="209" t="s">
        <v>103</v>
      </c>
      <c r="K1907" s="218" t="s">
        <v>6348</v>
      </c>
      <c r="L1907" s="217">
        <v>42227</v>
      </c>
      <c r="M1907" s="218" t="s">
        <v>1654</v>
      </c>
      <c r="N1907" s="219" t="s">
        <v>185</v>
      </c>
      <c r="O1907" s="217">
        <v>42227</v>
      </c>
      <c r="P1907" s="220">
        <f t="shared" si="741"/>
        <v>4</v>
      </c>
      <c r="Q1907" s="218" t="s">
        <v>6348</v>
      </c>
      <c r="R1907" s="216" t="s">
        <v>17</v>
      </c>
      <c r="S1907" s="218" t="s">
        <v>101</v>
      </c>
      <c r="T1907" s="218" t="s">
        <v>2314</v>
      </c>
      <c r="U1907" s="217">
        <v>42228</v>
      </c>
      <c r="V1907" s="221" t="s">
        <v>186</v>
      </c>
      <c r="W1907" s="213">
        <f t="shared" si="739"/>
        <v>0</v>
      </c>
      <c r="X1907" s="213" t="str">
        <f t="shared" si="740"/>
        <v>Correcto</v>
      </c>
    </row>
    <row r="1908" spans="1:24" ht="18" customHeight="1" x14ac:dyDescent="0.25">
      <c r="A1908" s="214">
        <v>1899</v>
      </c>
      <c r="B1908" s="206" t="s">
        <v>6349</v>
      </c>
      <c r="C1908" s="207">
        <v>42223</v>
      </c>
      <c r="D1908" s="216">
        <v>3</v>
      </c>
      <c r="E1908" s="216" t="s">
        <v>93</v>
      </c>
      <c r="F1908" s="209" t="s">
        <v>1654</v>
      </c>
      <c r="G1908" s="209" t="s">
        <v>202</v>
      </c>
      <c r="H1908" s="217">
        <v>42227</v>
      </c>
      <c r="I1908" s="209" t="s">
        <v>187</v>
      </c>
      <c r="J1908" s="209" t="s">
        <v>103</v>
      </c>
      <c r="K1908" s="218" t="s">
        <v>6350</v>
      </c>
      <c r="L1908" s="217">
        <v>42227</v>
      </c>
      <c r="M1908" s="218" t="s">
        <v>1654</v>
      </c>
      <c r="N1908" s="219" t="s">
        <v>185</v>
      </c>
      <c r="O1908" s="217">
        <v>42227</v>
      </c>
      <c r="P1908" s="220">
        <f t="shared" si="741"/>
        <v>4</v>
      </c>
      <c r="Q1908" s="218" t="s">
        <v>6350</v>
      </c>
      <c r="R1908" s="216" t="s">
        <v>17</v>
      </c>
      <c r="S1908" s="218" t="s">
        <v>101</v>
      </c>
      <c r="T1908" s="218" t="s">
        <v>2258</v>
      </c>
      <c r="U1908" s="217">
        <v>42228</v>
      </c>
      <c r="V1908" s="221" t="s">
        <v>186</v>
      </c>
      <c r="W1908" s="213">
        <f t="shared" si="739"/>
        <v>0</v>
      </c>
      <c r="X1908" s="213" t="str">
        <f t="shared" si="740"/>
        <v>Correcto</v>
      </c>
    </row>
    <row r="1909" spans="1:24" ht="18" customHeight="1" x14ac:dyDescent="0.25">
      <c r="A1909" s="214">
        <v>1900</v>
      </c>
      <c r="B1909" s="206" t="s">
        <v>6351</v>
      </c>
      <c r="C1909" s="207">
        <v>42223</v>
      </c>
      <c r="D1909" s="216">
        <v>3</v>
      </c>
      <c r="E1909" s="216" t="s">
        <v>93</v>
      </c>
      <c r="F1909" s="209" t="s">
        <v>1654</v>
      </c>
      <c r="G1909" s="209" t="s">
        <v>202</v>
      </c>
      <c r="H1909" s="217">
        <v>42230</v>
      </c>
      <c r="I1909" s="209" t="s">
        <v>187</v>
      </c>
      <c r="J1909" s="209" t="s">
        <v>103</v>
      </c>
      <c r="K1909" s="218" t="s">
        <v>6352</v>
      </c>
      <c r="L1909" s="217">
        <v>42230</v>
      </c>
      <c r="M1909" s="218" t="s">
        <v>1654</v>
      </c>
      <c r="N1909" s="219" t="s">
        <v>185</v>
      </c>
      <c r="O1909" s="217">
        <v>42230</v>
      </c>
      <c r="P1909" s="220">
        <f t="shared" si="741"/>
        <v>7</v>
      </c>
      <c r="Q1909" s="218" t="s">
        <v>6352</v>
      </c>
      <c r="R1909" s="216" t="s">
        <v>17</v>
      </c>
      <c r="S1909" s="218" t="s">
        <v>101</v>
      </c>
      <c r="T1909" s="218" t="s">
        <v>2258</v>
      </c>
      <c r="U1909" s="217">
        <v>42230</v>
      </c>
      <c r="V1909" s="221" t="s">
        <v>186</v>
      </c>
      <c r="W1909" s="213">
        <f t="shared" si="739"/>
        <v>0</v>
      </c>
      <c r="X1909" s="213" t="str">
        <f t="shared" si="740"/>
        <v>Correcto</v>
      </c>
    </row>
    <row r="1910" spans="1:24" ht="18" customHeight="1" x14ac:dyDescent="0.25">
      <c r="A1910" s="214">
        <v>1901</v>
      </c>
      <c r="B1910" s="206" t="s">
        <v>6353</v>
      </c>
      <c r="C1910" s="207">
        <v>42223</v>
      </c>
      <c r="D1910" s="216">
        <v>2</v>
      </c>
      <c r="E1910" s="216" t="s">
        <v>93</v>
      </c>
      <c r="F1910" s="209" t="s">
        <v>1654</v>
      </c>
      <c r="G1910" s="209" t="s">
        <v>202</v>
      </c>
      <c r="H1910" s="217">
        <v>42223</v>
      </c>
      <c r="I1910" s="209" t="s">
        <v>187</v>
      </c>
      <c r="J1910" s="209" t="s">
        <v>103</v>
      </c>
      <c r="K1910" s="218" t="s">
        <v>6354</v>
      </c>
      <c r="L1910" s="217">
        <v>42223</v>
      </c>
      <c r="M1910" s="218" t="s">
        <v>1654</v>
      </c>
      <c r="N1910" s="219" t="s">
        <v>185</v>
      </c>
      <c r="O1910" s="217">
        <v>42223</v>
      </c>
      <c r="P1910" s="220">
        <f t="shared" si="741"/>
        <v>0</v>
      </c>
      <c r="Q1910" s="218" t="s">
        <v>6354</v>
      </c>
      <c r="R1910" s="216" t="s">
        <v>17</v>
      </c>
      <c r="S1910" s="218" t="s">
        <v>6355</v>
      </c>
      <c r="T1910" s="218" t="s">
        <v>6356</v>
      </c>
      <c r="U1910" s="217">
        <v>42223</v>
      </c>
      <c r="V1910" s="221" t="s">
        <v>186</v>
      </c>
      <c r="W1910" s="213">
        <f t="shared" ref="W1910:W1973" si="742">COUNTBLANK(C1910:V1910)</f>
        <v>0</v>
      </c>
      <c r="X1910" s="213" t="str">
        <f t="shared" ref="X1910:X1973" si="743">IF(W1910=0,"Correcto","Incorrecto")</f>
        <v>Correcto</v>
      </c>
    </row>
    <row r="1911" spans="1:24" ht="18" customHeight="1" x14ac:dyDescent="0.25">
      <c r="A1911" s="214">
        <v>1902</v>
      </c>
      <c r="B1911" s="206" t="s">
        <v>6357</v>
      </c>
      <c r="C1911" s="207">
        <v>42223</v>
      </c>
      <c r="D1911" s="216">
        <v>2</v>
      </c>
      <c r="E1911" s="216" t="s">
        <v>93</v>
      </c>
      <c r="F1911" s="209" t="s">
        <v>1654</v>
      </c>
      <c r="G1911" s="209" t="s">
        <v>202</v>
      </c>
      <c r="H1911" s="217">
        <v>42228</v>
      </c>
      <c r="I1911" s="209" t="s">
        <v>187</v>
      </c>
      <c r="J1911" s="209" t="s">
        <v>103</v>
      </c>
      <c r="K1911" s="218" t="s">
        <v>6358</v>
      </c>
      <c r="L1911" s="217">
        <v>42228</v>
      </c>
      <c r="M1911" s="218" t="s">
        <v>1654</v>
      </c>
      <c r="N1911" s="219" t="s">
        <v>185</v>
      </c>
      <c r="O1911" s="217">
        <v>42228</v>
      </c>
      <c r="P1911" s="220">
        <f t="shared" si="741"/>
        <v>5</v>
      </c>
      <c r="Q1911" s="218" t="s">
        <v>6358</v>
      </c>
      <c r="R1911" s="216" t="s">
        <v>17</v>
      </c>
      <c r="S1911" s="218" t="s">
        <v>101</v>
      </c>
      <c r="T1911" s="218" t="s">
        <v>1391</v>
      </c>
      <c r="U1911" s="217">
        <v>42228</v>
      </c>
      <c r="V1911" s="221" t="s">
        <v>186</v>
      </c>
      <c r="W1911" s="213">
        <f t="shared" si="742"/>
        <v>0</v>
      </c>
      <c r="X1911" s="213" t="str">
        <f t="shared" si="743"/>
        <v>Correcto</v>
      </c>
    </row>
    <row r="1912" spans="1:24" ht="18" customHeight="1" x14ac:dyDescent="0.25">
      <c r="A1912" s="214">
        <v>1903</v>
      </c>
      <c r="B1912" s="206" t="s">
        <v>6359</v>
      </c>
      <c r="C1912" s="207">
        <v>42223</v>
      </c>
      <c r="D1912" s="216">
        <v>2</v>
      </c>
      <c r="E1912" s="216" t="s">
        <v>93</v>
      </c>
      <c r="F1912" s="209" t="s">
        <v>1654</v>
      </c>
      <c r="G1912" s="209" t="s">
        <v>202</v>
      </c>
      <c r="H1912" s="217">
        <v>42227</v>
      </c>
      <c r="I1912" s="209" t="s">
        <v>187</v>
      </c>
      <c r="J1912" s="209" t="s">
        <v>103</v>
      </c>
      <c r="K1912" s="218" t="s">
        <v>6360</v>
      </c>
      <c r="L1912" s="217">
        <v>42227</v>
      </c>
      <c r="M1912" s="218" t="s">
        <v>1654</v>
      </c>
      <c r="N1912" s="219" t="s">
        <v>185</v>
      </c>
      <c r="O1912" s="217">
        <v>42227</v>
      </c>
      <c r="P1912" s="220">
        <f t="shared" si="741"/>
        <v>4</v>
      </c>
      <c r="Q1912" s="218" t="s">
        <v>6360</v>
      </c>
      <c r="R1912" s="216" t="s">
        <v>17</v>
      </c>
      <c r="S1912" s="218" t="s">
        <v>101</v>
      </c>
      <c r="T1912" s="218" t="s">
        <v>1391</v>
      </c>
      <c r="U1912" s="217">
        <v>42228</v>
      </c>
      <c r="V1912" s="221" t="s">
        <v>186</v>
      </c>
      <c r="W1912" s="213">
        <f t="shared" si="742"/>
        <v>0</v>
      </c>
      <c r="X1912" s="213" t="str">
        <f t="shared" si="743"/>
        <v>Correcto</v>
      </c>
    </row>
    <row r="1913" spans="1:24" ht="18" customHeight="1" x14ac:dyDescent="0.25">
      <c r="A1913" s="214">
        <v>1904</v>
      </c>
      <c r="B1913" s="206" t="s">
        <v>6361</v>
      </c>
      <c r="C1913" s="207">
        <v>42223</v>
      </c>
      <c r="D1913" s="216">
        <v>2</v>
      </c>
      <c r="E1913" s="216" t="s">
        <v>93</v>
      </c>
      <c r="F1913" s="209" t="s">
        <v>1654</v>
      </c>
      <c r="G1913" s="209" t="s">
        <v>202</v>
      </c>
      <c r="H1913" s="217">
        <v>42227</v>
      </c>
      <c r="I1913" s="209" t="s">
        <v>187</v>
      </c>
      <c r="J1913" s="209" t="s">
        <v>103</v>
      </c>
      <c r="K1913" s="218" t="s">
        <v>6362</v>
      </c>
      <c r="L1913" s="217">
        <v>42227</v>
      </c>
      <c r="M1913" s="218" t="s">
        <v>1654</v>
      </c>
      <c r="N1913" s="219" t="s">
        <v>185</v>
      </c>
      <c r="O1913" s="217">
        <v>42227</v>
      </c>
      <c r="P1913" s="220">
        <f t="shared" ref="P1913:P1976" si="744">O1913-C1913</f>
        <v>4</v>
      </c>
      <c r="Q1913" s="218" t="s">
        <v>6362</v>
      </c>
      <c r="R1913" s="216" t="s">
        <v>17</v>
      </c>
      <c r="S1913" s="218" t="s">
        <v>101</v>
      </c>
      <c r="T1913" s="218" t="s">
        <v>1007</v>
      </c>
      <c r="U1913" s="217">
        <v>42228</v>
      </c>
      <c r="V1913" s="221" t="s">
        <v>186</v>
      </c>
      <c r="W1913" s="213">
        <f t="shared" si="742"/>
        <v>0</v>
      </c>
      <c r="X1913" s="213" t="str">
        <f t="shared" si="743"/>
        <v>Correcto</v>
      </c>
    </row>
    <row r="1914" spans="1:24" ht="18" customHeight="1" x14ac:dyDescent="0.25">
      <c r="A1914" s="214">
        <v>1905</v>
      </c>
      <c r="B1914" s="206" t="s">
        <v>6363</v>
      </c>
      <c r="C1914" s="207">
        <v>42223</v>
      </c>
      <c r="D1914" s="216">
        <v>2</v>
      </c>
      <c r="E1914" s="216" t="s">
        <v>93</v>
      </c>
      <c r="F1914" s="209" t="s">
        <v>1654</v>
      </c>
      <c r="G1914" s="209" t="s">
        <v>202</v>
      </c>
      <c r="H1914" s="217">
        <v>42227</v>
      </c>
      <c r="I1914" s="209" t="s">
        <v>187</v>
      </c>
      <c r="J1914" s="209" t="s">
        <v>103</v>
      </c>
      <c r="K1914" s="218" t="s">
        <v>6364</v>
      </c>
      <c r="L1914" s="217">
        <v>42227</v>
      </c>
      <c r="M1914" s="218" t="s">
        <v>1654</v>
      </c>
      <c r="N1914" s="219" t="s">
        <v>185</v>
      </c>
      <c r="O1914" s="217">
        <v>42227</v>
      </c>
      <c r="P1914" s="220">
        <f t="shared" si="744"/>
        <v>4</v>
      </c>
      <c r="Q1914" s="218" t="s">
        <v>6364</v>
      </c>
      <c r="R1914" s="216" t="s">
        <v>17</v>
      </c>
      <c r="S1914" s="218" t="s">
        <v>101</v>
      </c>
      <c r="T1914" s="218" t="s">
        <v>6365</v>
      </c>
      <c r="U1914" s="217">
        <v>42228</v>
      </c>
      <c r="V1914" s="221" t="s">
        <v>186</v>
      </c>
      <c r="W1914" s="213">
        <f t="shared" si="742"/>
        <v>0</v>
      </c>
      <c r="X1914" s="213" t="str">
        <f t="shared" si="743"/>
        <v>Correcto</v>
      </c>
    </row>
    <row r="1915" spans="1:24" ht="18" customHeight="1" x14ac:dyDescent="0.25">
      <c r="A1915" s="214">
        <v>1906</v>
      </c>
      <c r="B1915" s="206" t="s">
        <v>6366</v>
      </c>
      <c r="C1915" s="207">
        <v>42223</v>
      </c>
      <c r="D1915" s="216">
        <v>34</v>
      </c>
      <c r="E1915" s="216" t="s">
        <v>93</v>
      </c>
      <c r="F1915" s="209" t="s">
        <v>1654</v>
      </c>
      <c r="G1915" s="209" t="s">
        <v>202</v>
      </c>
      <c r="H1915" s="217">
        <v>42227</v>
      </c>
      <c r="I1915" s="209" t="s">
        <v>187</v>
      </c>
      <c r="J1915" s="209" t="s">
        <v>103</v>
      </c>
      <c r="K1915" s="218" t="s">
        <v>6367</v>
      </c>
      <c r="L1915" s="217">
        <v>42227</v>
      </c>
      <c r="M1915" s="218" t="s">
        <v>1654</v>
      </c>
      <c r="N1915" s="219" t="s">
        <v>188</v>
      </c>
      <c r="O1915" s="217">
        <v>42227</v>
      </c>
      <c r="P1915" s="220">
        <f t="shared" si="744"/>
        <v>4</v>
      </c>
      <c r="Q1915" s="218" t="s">
        <v>6367</v>
      </c>
      <c r="R1915" s="216" t="s">
        <v>977</v>
      </c>
      <c r="S1915" s="218" t="s">
        <v>101</v>
      </c>
      <c r="T1915" s="218" t="s">
        <v>6368</v>
      </c>
      <c r="U1915" s="217">
        <v>42228</v>
      </c>
      <c r="V1915" s="221" t="s">
        <v>186</v>
      </c>
      <c r="W1915" s="213">
        <f t="shared" si="742"/>
        <v>0</v>
      </c>
      <c r="X1915" s="213" t="str">
        <f t="shared" si="743"/>
        <v>Correcto</v>
      </c>
    </row>
    <row r="1916" spans="1:24" ht="18" customHeight="1" x14ac:dyDescent="0.25">
      <c r="A1916" s="214">
        <v>1907</v>
      </c>
      <c r="B1916" s="206" t="s">
        <v>6369</v>
      </c>
      <c r="C1916" s="207">
        <v>42227</v>
      </c>
      <c r="D1916" s="216">
        <v>37</v>
      </c>
      <c r="E1916" s="216" t="s">
        <v>93</v>
      </c>
      <c r="F1916" s="209" t="s">
        <v>1654</v>
      </c>
      <c r="G1916" s="209" t="s">
        <v>202</v>
      </c>
      <c r="H1916" s="217">
        <v>42228</v>
      </c>
      <c r="I1916" s="209" t="s">
        <v>187</v>
      </c>
      <c r="J1916" s="209" t="s">
        <v>103</v>
      </c>
      <c r="K1916" s="218" t="s">
        <v>6370</v>
      </c>
      <c r="L1916" s="217">
        <v>42228</v>
      </c>
      <c r="M1916" s="218" t="s">
        <v>1654</v>
      </c>
      <c r="N1916" s="219" t="s">
        <v>185</v>
      </c>
      <c r="O1916" s="217">
        <v>42228</v>
      </c>
      <c r="P1916" s="220">
        <f t="shared" si="744"/>
        <v>1</v>
      </c>
      <c r="Q1916" s="218" t="s">
        <v>6370</v>
      </c>
      <c r="R1916" s="216" t="s">
        <v>17</v>
      </c>
      <c r="S1916" s="218" t="s">
        <v>6371</v>
      </c>
      <c r="T1916" s="218" t="s">
        <v>6372</v>
      </c>
      <c r="U1916" s="217">
        <v>42229</v>
      </c>
      <c r="V1916" s="221" t="s">
        <v>186</v>
      </c>
      <c r="W1916" s="213">
        <f t="shared" si="742"/>
        <v>0</v>
      </c>
      <c r="X1916" s="213" t="str">
        <f t="shared" si="743"/>
        <v>Correcto</v>
      </c>
    </row>
    <row r="1917" spans="1:24" ht="18" customHeight="1" x14ac:dyDescent="0.25">
      <c r="A1917" s="214">
        <v>1908</v>
      </c>
      <c r="B1917" s="206" t="s">
        <v>6373</v>
      </c>
      <c r="C1917" s="207">
        <v>42227</v>
      </c>
      <c r="D1917" s="216">
        <v>2</v>
      </c>
      <c r="E1917" s="216" t="s">
        <v>93</v>
      </c>
      <c r="F1917" s="209" t="s">
        <v>1654</v>
      </c>
      <c r="G1917" s="209" t="s">
        <v>202</v>
      </c>
      <c r="H1917" s="217">
        <v>42228</v>
      </c>
      <c r="I1917" s="209" t="s">
        <v>187</v>
      </c>
      <c r="J1917" s="209" t="s">
        <v>103</v>
      </c>
      <c r="K1917" s="218" t="s">
        <v>6374</v>
      </c>
      <c r="L1917" s="217">
        <v>42228</v>
      </c>
      <c r="M1917" s="218" t="s">
        <v>1654</v>
      </c>
      <c r="N1917" s="219" t="s">
        <v>185</v>
      </c>
      <c r="O1917" s="217">
        <v>42228</v>
      </c>
      <c r="P1917" s="220">
        <f t="shared" si="744"/>
        <v>1</v>
      </c>
      <c r="Q1917" s="218" t="s">
        <v>6374</v>
      </c>
      <c r="R1917" s="216" t="s">
        <v>17</v>
      </c>
      <c r="S1917" s="218" t="s">
        <v>6375</v>
      </c>
      <c r="T1917" s="218" t="s">
        <v>6376</v>
      </c>
      <c r="U1917" s="217">
        <v>42229</v>
      </c>
      <c r="V1917" s="221" t="s">
        <v>186</v>
      </c>
      <c r="W1917" s="213">
        <f t="shared" si="742"/>
        <v>0</v>
      </c>
      <c r="X1917" s="213" t="str">
        <f t="shared" si="743"/>
        <v>Correcto</v>
      </c>
    </row>
    <row r="1918" spans="1:24" ht="18" customHeight="1" x14ac:dyDescent="0.25">
      <c r="A1918" s="214">
        <v>1909</v>
      </c>
      <c r="B1918" s="206" t="s">
        <v>6377</v>
      </c>
      <c r="C1918" s="207">
        <v>42227</v>
      </c>
      <c r="D1918" s="216">
        <v>3</v>
      </c>
      <c r="E1918" s="216" t="s">
        <v>93</v>
      </c>
      <c r="F1918" s="209" t="s">
        <v>1654</v>
      </c>
      <c r="G1918" s="209" t="s">
        <v>202</v>
      </c>
      <c r="H1918" s="217">
        <v>42229</v>
      </c>
      <c r="I1918" s="209" t="s">
        <v>187</v>
      </c>
      <c r="J1918" s="209" t="s">
        <v>103</v>
      </c>
      <c r="K1918" s="218" t="s">
        <v>6378</v>
      </c>
      <c r="L1918" s="217">
        <v>42229</v>
      </c>
      <c r="M1918" s="218" t="s">
        <v>1654</v>
      </c>
      <c r="N1918" s="219" t="s">
        <v>185</v>
      </c>
      <c r="O1918" s="217">
        <v>42229</v>
      </c>
      <c r="P1918" s="220">
        <f t="shared" si="744"/>
        <v>2</v>
      </c>
      <c r="Q1918" s="218" t="s">
        <v>6378</v>
      </c>
      <c r="R1918" s="216" t="s">
        <v>17</v>
      </c>
      <c r="S1918" s="218" t="s">
        <v>101</v>
      </c>
      <c r="T1918" s="218" t="s">
        <v>6379</v>
      </c>
      <c r="U1918" s="217">
        <v>42229</v>
      </c>
      <c r="V1918" s="221" t="s">
        <v>186</v>
      </c>
      <c r="W1918" s="213">
        <f t="shared" si="742"/>
        <v>0</v>
      </c>
      <c r="X1918" s="213" t="str">
        <f t="shared" si="743"/>
        <v>Correcto</v>
      </c>
    </row>
    <row r="1919" spans="1:24" ht="18" customHeight="1" x14ac:dyDescent="0.25">
      <c r="A1919" s="214">
        <v>1910</v>
      </c>
      <c r="B1919" s="206" t="s">
        <v>6380</v>
      </c>
      <c r="C1919" s="207">
        <v>42227</v>
      </c>
      <c r="D1919" s="216">
        <v>2</v>
      </c>
      <c r="E1919" s="216" t="s">
        <v>93</v>
      </c>
      <c r="F1919" s="209" t="s">
        <v>1654</v>
      </c>
      <c r="G1919" s="209" t="s">
        <v>202</v>
      </c>
      <c r="H1919" s="217">
        <v>42228</v>
      </c>
      <c r="I1919" s="209" t="s">
        <v>187</v>
      </c>
      <c r="J1919" s="209" t="s">
        <v>103</v>
      </c>
      <c r="K1919" s="218" t="s">
        <v>6381</v>
      </c>
      <c r="L1919" s="217">
        <v>42228</v>
      </c>
      <c r="M1919" s="218" t="s">
        <v>1654</v>
      </c>
      <c r="N1919" s="219" t="s">
        <v>185</v>
      </c>
      <c r="O1919" s="217">
        <v>42228</v>
      </c>
      <c r="P1919" s="220">
        <f t="shared" si="744"/>
        <v>1</v>
      </c>
      <c r="Q1919" s="218" t="s">
        <v>6381</v>
      </c>
      <c r="R1919" s="216" t="s">
        <v>17</v>
      </c>
      <c r="S1919" s="218" t="s">
        <v>101</v>
      </c>
      <c r="T1919" s="218" t="s">
        <v>1012</v>
      </c>
      <c r="U1919" s="217">
        <v>42229</v>
      </c>
      <c r="V1919" s="221" t="s">
        <v>186</v>
      </c>
      <c r="W1919" s="213">
        <f t="shared" si="742"/>
        <v>0</v>
      </c>
      <c r="X1919" s="213" t="str">
        <f t="shared" si="743"/>
        <v>Correcto</v>
      </c>
    </row>
    <row r="1920" spans="1:24" ht="18" customHeight="1" x14ac:dyDescent="0.25">
      <c r="A1920" s="214">
        <v>1911</v>
      </c>
      <c r="B1920" s="206" t="s">
        <v>6382</v>
      </c>
      <c r="C1920" s="207">
        <v>42227</v>
      </c>
      <c r="D1920" s="216">
        <v>2</v>
      </c>
      <c r="E1920" s="216" t="s">
        <v>93</v>
      </c>
      <c r="F1920" s="209" t="s">
        <v>1654</v>
      </c>
      <c r="G1920" s="209" t="s">
        <v>202</v>
      </c>
      <c r="H1920" s="217">
        <v>42228</v>
      </c>
      <c r="I1920" s="209" t="s">
        <v>187</v>
      </c>
      <c r="J1920" s="209" t="s">
        <v>103</v>
      </c>
      <c r="K1920" s="218" t="s">
        <v>6383</v>
      </c>
      <c r="L1920" s="217">
        <v>42228</v>
      </c>
      <c r="M1920" s="218" t="s">
        <v>1654</v>
      </c>
      <c r="N1920" s="219" t="s">
        <v>185</v>
      </c>
      <c r="O1920" s="217">
        <v>42228</v>
      </c>
      <c r="P1920" s="220">
        <f t="shared" si="744"/>
        <v>1</v>
      </c>
      <c r="Q1920" s="218" t="s">
        <v>6383</v>
      </c>
      <c r="R1920" s="216" t="s">
        <v>17</v>
      </c>
      <c r="S1920" s="218" t="s">
        <v>101</v>
      </c>
      <c r="T1920" s="218" t="s">
        <v>6384</v>
      </c>
      <c r="U1920" s="217">
        <v>42229</v>
      </c>
      <c r="V1920" s="221" t="s">
        <v>186</v>
      </c>
      <c r="W1920" s="213">
        <f t="shared" si="742"/>
        <v>0</v>
      </c>
      <c r="X1920" s="213" t="str">
        <f t="shared" si="743"/>
        <v>Correcto</v>
      </c>
    </row>
    <row r="1921" spans="1:24" ht="18" customHeight="1" x14ac:dyDescent="0.25">
      <c r="A1921" s="214">
        <v>1912</v>
      </c>
      <c r="B1921" s="206" t="s">
        <v>6385</v>
      </c>
      <c r="C1921" s="207">
        <v>42227</v>
      </c>
      <c r="D1921" s="216">
        <v>2</v>
      </c>
      <c r="E1921" s="216" t="s">
        <v>93</v>
      </c>
      <c r="F1921" s="209" t="s">
        <v>1654</v>
      </c>
      <c r="G1921" s="209" t="s">
        <v>202</v>
      </c>
      <c r="H1921" s="217">
        <v>42229</v>
      </c>
      <c r="I1921" s="209" t="s">
        <v>187</v>
      </c>
      <c r="J1921" s="209" t="s">
        <v>103</v>
      </c>
      <c r="K1921" s="218" t="s">
        <v>6386</v>
      </c>
      <c r="L1921" s="217">
        <v>42229</v>
      </c>
      <c r="M1921" s="218" t="s">
        <v>1654</v>
      </c>
      <c r="N1921" s="219" t="s">
        <v>185</v>
      </c>
      <c r="O1921" s="217">
        <v>42229</v>
      </c>
      <c r="P1921" s="220">
        <f t="shared" si="744"/>
        <v>2</v>
      </c>
      <c r="Q1921" s="218" t="s">
        <v>6386</v>
      </c>
      <c r="R1921" s="216" t="s">
        <v>17</v>
      </c>
      <c r="S1921" s="218" t="s">
        <v>101</v>
      </c>
      <c r="T1921" s="218" t="s">
        <v>1163</v>
      </c>
      <c r="U1921" s="217">
        <v>42229</v>
      </c>
      <c r="V1921" s="221" t="s">
        <v>186</v>
      </c>
      <c r="W1921" s="213">
        <f t="shared" si="742"/>
        <v>0</v>
      </c>
      <c r="X1921" s="213" t="str">
        <f t="shared" si="743"/>
        <v>Correcto</v>
      </c>
    </row>
    <row r="1922" spans="1:24" ht="18" customHeight="1" x14ac:dyDescent="0.25">
      <c r="A1922" s="214">
        <v>1913</v>
      </c>
      <c r="B1922" s="206" t="s">
        <v>6387</v>
      </c>
      <c r="C1922" s="207">
        <v>42227</v>
      </c>
      <c r="D1922" s="216">
        <v>2</v>
      </c>
      <c r="E1922" s="216" t="s">
        <v>93</v>
      </c>
      <c r="F1922" s="209" t="s">
        <v>1654</v>
      </c>
      <c r="G1922" s="209" t="s">
        <v>202</v>
      </c>
      <c r="H1922" s="217">
        <v>42229</v>
      </c>
      <c r="I1922" s="209" t="s">
        <v>187</v>
      </c>
      <c r="J1922" s="209" t="s">
        <v>103</v>
      </c>
      <c r="K1922" s="218" t="s">
        <v>6388</v>
      </c>
      <c r="L1922" s="217">
        <v>42229</v>
      </c>
      <c r="M1922" s="218" t="s">
        <v>1654</v>
      </c>
      <c r="N1922" s="219" t="s">
        <v>185</v>
      </c>
      <c r="O1922" s="217">
        <v>42229</v>
      </c>
      <c r="P1922" s="220">
        <f t="shared" si="744"/>
        <v>2</v>
      </c>
      <c r="Q1922" s="218" t="s">
        <v>6388</v>
      </c>
      <c r="R1922" s="216" t="s">
        <v>17</v>
      </c>
      <c r="S1922" s="218" t="s">
        <v>101</v>
      </c>
      <c r="T1922" s="218" t="s">
        <v>6365</v>
      </c>
      <c r="U1922" s="217">
        <v>42229</v>
      </c>
      <c r="V1922" s="221" t="s">
        <v>186</v>
      </c>
      <c r="W1922" s="213">
        <f t="shared" si="742"/>
        <v>0</v>
      </c>
      <c r="X1922" s="213" t="str">
        <f t="shared" si="743"/>
        <v>Correcto</v>
      </c>
    </row>
    <row r="1923" spans="1:24" ht="18" customHeight="1" x14ac:dyDescent="0.25">
      <c r="A1923" s="214">
        <v>1914</v>
      </c>
      <c r="B1923" s="206" t="s">
        <v>6389</v>
      </c>
      <c r="C1923" s="207">
        <v>42227</v>
      </c>
      <c r="D1923" s="216">
        <v>2</v>
      </c>
      <c r="E1923" s="216" t="s">
        <v>93</v>
      </c>
      <c r="F1923" s="209" t="s">
        <v>1654</v>
      </c>
      <c r="G1923" s="209" t="s">
        <v>202</v>
      </c>
      <c r="H1923" s="217">
        <v>42229</v>
      </c>
      <c r="I1923" s="209" t="s">
        <v>187</v>
      </c>
      <c r="J1923" s="209" t="s">
        <v>103</v>
      </c>
      <c r="K1923" s="218" t="s">
        <v>6390</v>
      </c>
      <c r="L1923" s="217">
        <v>42229</v>
      </c>
      <c r="M1923" s="218" t="s">
        <v>1654</v>
      </c>
      <c r="N1923" s="219" t="s">
        <v>185</v>
      </c>
      <c r="O1923" s="217">
        <v>42229</v>
      </c>
      <c r="P1923" s="220">
        <f t="shared" si="744"/>
        <v>2</v>
      </c>
      <c r="Q1923" s="218" t="s">
        <v>6390</v>
      </c>
      <c r="R1923" s="216" t="s">
        <v>17</v>
      </c>
      <c r="S1923" s="218" t="s">
        <v>101</v>
      </c>
      <c r="T1923" s="218" t="s">
        <v>1007</v>
      </c>
      <c r="U1923" s="217">
        <v>42229</v>
      </c>
      <c r="V1923" s="221" t="s">
        <v>186</v>
      </c>
      <c r="W1923" s="213">
        <f t="shared" si="742"/>
        <v>0</v>
      </c>
      <c r="X1923" s="213" t="str">
        <f t="shared" si="743"/>
        <v>Correcto</v>
      </c>
    </row>
    <row r="1924" spans="1:24" ht="18" customHeight="1" x14ac:dyDescent="0.25">
      <c r="A1924" s="214">
        <v>1915</v>
      </c>
      <c r="B1924" s="206" t="s">
        <v>6391</v>
      </c>
      <c r="C1924" s="207">
        <v>42227</v>
      </c>
      <c r="D1924" s="216">
        <v>14</v>
      </c>
      <c r="E1924" s="216" t="s">
        <v>93</v>
      </c>
      <c r="F1924" s="209" t="s">
        <v>1654</v>
      </c>
      <c r="G1924" s="209" t="s">
        <v>202</v>
      </c>
      <c r="H1924" s="217">
        <v>42230</v>
      </c>
      <c r="I1924" s="209" t="s">
        <v>187</v>
      </c>
      <c r="J1924" s="209" t="s">
        <v>103</v>
      </c>
      <c r="K1924" s="218" t="s">
        <v>6392</v>
      </c>
      <c r="L1924" s="217">
        <v>42230</v>
      </c>
      <c r="M1924" s="218" t="s">
        <v>1654</v>
      </c>
      <c r="N1924" s="219" t="s">
        <v>185</v>
      </c>
      <c r="O1924" s="217">
        <v>42230</v>
      </c>
      <c r="P1924" s="220">
        <f t="shared" si="744"/>
        <v>3</v>
      </c>
      <c r="Q1924" s="218" t="s">
        <v>6392</v>
      </c>
      <c r="R1924" s="216" t="s">
        <v>17</v>
      </c>
      <c r="S1924" s="218" t="s">
        <v>6393</v>
      </c>
      <c r="T1924" s="218" t="s">
        <v>6394</v>
      </c>
      <c r="U1924" s="217">
        <v>42230</v>
      </c>
      <c r="V1924" s="221" t="s">
        <v>186</v>
      </c>
      <c r="W1924" s="213">
        <f t="shared" si="742"/>
        <v>0</v>
      </c>
      <c r="X1924" s="213" t="str">
        <f t="shared" si="743"/>
        <v>Correcto</v>
      </c>
    </row>
    <row r="1925" spans="1:24" ht="18" customHeight="1" x14ac:dyDescent="0.25">
      <c r="A1925" s="214">
        <v>1916</v>
      </c>
      <c r="B1925" s="206" t="s">
        <v>6395</v>
      </c>
      <c r="C1925" s="207">
        <v>42227</v>
      </c>
      <c r="D1925" s="216">
        <v>4</v>
      </c>
      <c r="E1925" s="216" t="s">
        <v>93</v>
      </c>
      <c r="F1925" s="209" t="s">
        <v>1654</v>
      </c>
      <c r="G1925" s="209" t="s">
        <v>202</v>
      </c>
      <c r="H1925" s="217">
        <v>42229</v>
      </c>
      <c r="I1925" s="209" t="s">
        <v>187</v>
      </c>
      <c r="J1925" s="209" t="s">
        <v>103</v>
      </c>
      <c r="K1925" s="218" t="s">
        <v>6396</v>
      </c>
      <c r="L1925" s="217">
        <v>42229</v>
      </c>
      <c r="M1925" s="218" t="s">
        <v>1654</v>
      </c>
      <c r="N1925" s="219" t="s">
        <v>185</v>
      </c>
      <c r="O1925" s="217">
        <v>42229</v>
      </c>
      <c r="P1925" s="220">
        <f t="shared" si="744"/>
        <v>2</v>
      </c>
      <c r="Q1925" s="218" t="s">
        <v>6396</v>
      </c>
      <c r="R1925" s="216" t="s">
        <v>17</v>
      </c>
      <c r="S1925" s="218" t="s">
        <v>101</v>
      </c>
      <c r="T1925" s="218" t="s">
        <v>2555</v>
      </c>
      <c r="U1925" s="217">
        <v>42229</v>
      </c>
      <c r="V1925" s="221" t="s">
        <v>186</v>
      </c>
      <c r="W1925" s="213">
        <f t="shared" si="742"/>
        <v>0</v>
      </c>
      <c r="X1925" s="213" t="str">
        <f t="shared" si="743"/>
        <v>Correcto</v>
      </c>
    </row>
    <row r="1926" spans="1:24" ht="18" customHeight="1" x14ac:dyDescent="0.25">
      <c r="A1926" s="214">
        <v>1917</v>
      </c>
      <c r="B1926" s="206" t="s">
        <v>6397</v>
      </c>
      <c r="C1926" s="207">
        <v>42227</v>
      </c>
      <c r="D1926" s="216">
        <v>2</v>
      </c>
      <c r="E1926" s="216" t="s">
        <v>93</v>
      </c>
      <c r="F1926" s="209" t="s">
        <v>1654</v>
      </c>
      <c r="G1926" s="209" t="s">
        <v>202</v>
      </c>
      <c r="H1926" s="217">
        <v>42229</v>
      </c>
      <c r="I1926" s="209" t="s">
        <v>187</v>
      </c>
      <c r="J1926" s="209" t="s">
        <v>103</v>
      </c>
      <c r="K1926" s="218" t="s">
        <v>6398</v>
      </c>
      <c r="L1926" s="217">
        <v>42229</v>
      </c>
      <c r="M1926" s="218" t="s">
        <v>1654</v>
      </c>
      <c r="N1926" s="219" t="s">
        <v>185</v>
      </c>
      <c r="O1926" s="217">
        <v>42229</v>
      </c>
      <c r="P1926" s="220">
        <f t="shared" si="744"/>
        <v>2</v>
      </c>
      <c r="Q1926" s="218" t="s">
        <v>6398</v>
      </c>
      <c r="R1926" s="216" t="s">
        <v>17</v>
      </c>
      <c r="S1926" s="218" t="s">
        <v>101</v>
      </c>
      <c r="T1926" s="218" t="s">
        <v>1186</v>
      </c>
      <c r="U1926" s="217">
        <v>42229</v>
      </c>
      <c r="V1926" s="221" t="s">
        <v>186</v>
      </c>
      <c r="W1926" s="213">
        <f t="shared" si="742"/>
        <v>0</v>
      </c>
      <c r="X1926" s="213" t="str">
        <f t="shared" si="743"/>
        <v>Correcto</v>
      </c>
    </row>
    <row r="1927" spans="1:24" ht="18" customHeight="1" x14ac:dyDescent="0.25">
      <c r="A1927" s="214">
        <v>1918</v>
      </c>
      <c r="B1927" s="206" t="s">
        <v>6399</v>
      </c>
      <c r="C1927" s="207">
        <v>42227</v>
      </c>
      <c r="D1927" s="216">
        <v>2</v>
      </c>
      <c r="E1927" s="216" t="s">
        <v>93</v>
      </c>
      <c r="F1927" s="209" t="s">
        <v>1654</v>
      </c>
      <c r="G1927" s="209" t="s">
        <v>202</v>
      </c>
      <c r="H1927" s="217">
        <v>42228</v>
      </c>
      <c r="I1927" s="209" t="s">
        <v>187</v>
      </c>
      <c r="J1927" s="209" t="s">
        <v>103</v>
      </c>
      <c r="K1927" s="218" t="s">
        <v>6400</v>
      </c>
      <c r="L1927" s="217">
        <v>42228</v>
      </c>
      <c r="M1927" s="218" t="s">
        <v>1654</v>
      </c>
      <c r="N1927" s="219" t="s">
        <v>185</v>
      </c>
      <c r="O1927" s="217">
        <v>42228</v>
      </c>
      <c r="P1927" s="220">
        <f t="shared" si="744"/>
        <v>1</v>
      </c>
      <c r="Q1927" s="218" t="s">
        <v>6400</v>
      </c>
      <c r="R1927" s="216" t="s">
        <v>17</v>
      </c>
      <c r="S1927" s="218" t="s">
        <v>6401</v>
      </c>
      <c r="T1927" s="218" t="s">
        <v>6402</v>
      </c>
      <c r="U1927" s="217">
        <v>42228</v>
      </c>
      <c r="V1927" s="221" t="s">
        <v>6131</v>
      </c>
      <c r="W1927" s="213">
        <f t="shared" si="742"/>
        <v>0</v>
      </c>
      <c r="X1927" s="213" t="str">
        <f t="shared" si="743"/>
        <v>Correcto</v>
      </c>
    </row>
    <row r="1928" spans="1:24" ht="18" customHeight="1" x14ac:dyDescent="0.25">
      <c r="A1928" s="214">
        <v>1919</v>
      </c>
      <c r="B1928" s="206" t="s">
        <v>6403</v>
      </c>
      <c r="C1928" s="207">
        <v>42227</v>
      </c>
      <c r="D1928" s="216">
        <v>2</v>
      </c>
      <c r="E1928" s="216" t="s">
        <v>93</v>
      </c>
      <c r="F1928" s="209" t="s">
        <v>1654</v>
      </c>
      <c r="G1928" s="209" t="s">
        <v>202</v>
      </c>
      <c r="H1928" s="217">
        <v>42228</v>
      </c>
      <c r="I1928" s="209" t="s">
        <v>187</v>
      </c>
      <c r="J1928" s="209" t="s">
        <v>103</v>
      </c>
      <c r="K1928" s="218" t="s">
        <v>6404</v>
      </c>
      <c r="L1928" s="217">
        <v>42228</v>
      </c>
      <c r="M1928" s="218" t="s">
        <v>1654</v>
      </c>
      <c r="N1928" s="219" t="s">
        <v>185</v>
      </c>
      <c r="O1928" s="217">
        <v>42228</v>
      </c>
      <c r="P1928" s="220">
        <f t="shared" si="744"/>
        <v>1</v>
      </c>
      <c r="Q1928" s="218" t="s">
        <v>6404</v>
      </c>
      <c r="R1928" s="216" t="s">
        <v>17</v>
      </c>
      <c r="S1928" s="218" t="s">
        <v>6405</v>
      </c>
      <c r="T1928" s="218" t="s">
        <v>6406</v>
      </c>
      <c r="U1928" s="217">
        <v>42228</v>
      </c>
      <c r="V1928" s="221" t="s">
        <v>186</v>
      </c>
      <c r="W1928" s="213">
        <f t="shared" si="742"/>
        <v>0</v>
      </c>
      <c r="X1928" s="213" t="str">
        <f t="shared" si="743"/>
        <v>Correcto</v>
      </c>
    </row>
    <row r="1929" spans="1:24" ht="18" customHeight="1" x14ac:dyDescent="0.25">
      <c r="A1929" s="214">
        <v>1920</v>
      </c>
      <c r="B1929" s="206" t="s">
        <v>6407</v>
      </c>
      <c r="C1929" s="207">
        <v>42227</v>
      </c>
      <c r="D1929" s="216">
        <v>2</v>
      </c>
      <c r="E1929" s="216" t="s">
        <v>93</v>
      </c>
      <c r="F1929" s="209" t="s">
        <v>1654</v>
      </c>
      <c r="G1929" s="209" t="s">
        <v>202</v>
      </c>
      <c r="H1929" s="217">
        <v>42228</v>
      </c>
      <c r="I1929" s="209" t="s">
        <v>187</v>
      </c>
      <c r="J1929" s="209" t="s">
        <v>103</v>
      </c>
      <c r="K1929" s="218" t="s">
        <v>6408</v>
      </c>
      <c r="L1929" s="217">
        <v>42228</v>
      </c>
      <c r="M1929" s="218" t="s">
        <v>1654</v>
      </c>
      <c r="N1929" s="219" t="s">
        <v>185</v>
      </c>
      <c r="O1929" s="217">
        <v>42228</v>
      </c>
      <c r="P1929" s="220">
        <f t="shared" si="744"/>
        <v>1</v>
      </c>
      <c r="Q1929" s="218" t="s">
        <v>6408</v>
      </c>
      <c r="R1929" s="216" t="s">
        <v>17</v>
      </c>
      <c r="S1929" s="218" t="s">
        <v>6409</v>
      </c>
      <c r="T1929" s="218" t="s">
        <v>6410</v>
      </c>
      <c r="U1929" s="217">
        <v>42229</v>
      </c>
      <c r="V1929" s="221" t="s">
        <v>186</v>
      </c>
      <c r="W1929" s="213">
        <f t="shared" si="742"/>
        <v>0</v>
      </c>
      <c r="X1929" s="213" t="str">
        <f t="shared" si="743"/>
        <v>Correcto</v>
      </c>
    </row>
    <row r="1930" spans="1:24" ht="18" customHeight="1" x14ac:dyDescent="0.25">
      <c r="A1930" s="214">
        <v>1921</v>
      </c>
      <c r="B1930" s="206" t="s">
        <v>6411</v>
      </c>
      <c r="C1930" s="207">
        <v>42227</v>
      </c>
      <c r="D1930" s="216">
        <v>2</v>
      </c>
      <c r="E1930" s="216" t="s">
        <v>93</v>
      </c>
      <c r="F1930" s="209" t="s">
        <v>1654</v>
      </c>
      <c r="G1930" s="209" t="s">
        <v>202</v>
      </c>
      <c r="H1930" s="217">
        <v>42229</v>
      </c>
      <c r="I1930" s="209" t="s">
        <v>187</v>
      </c>
      <c r="J1930" s="209" t="s">
        <v>103</v>
      </c>
      <c r="K1930" s="218" t="s">
        <v>6412</v>
      </c>
      <c r="L1930" s="217">
        <v>42229</v>
      </c>
      <c r="M1930" s="218" t="s">
        <v>1654</v>
      </c>
      <c r="N1930" s="219" t="s">
        <v>185</v>
      </c>
      <c r="O1930" s="217">
        <v>42229</v>
      </c>
      <c r="P1930" s="220">
        <f t="shared" si="744"/>
        <v>2</v>
      </c>
      <c r="Q1930" s="218" t="s">
        <v>6412</v>
      </c>
      <c r="R1930" s="216" t="s">
        <v>17</v>
      </c>
      <c r="S1930" s="218" t="s">
        <v>101</v>
      </c>
      <c r="T1930" s="218" t="s">
        <v>2555</v>
      </c>
      <c r="U1930" s="217">
        <v>42229</v>
      </c>
      <c r="V1930" s="221" t="s">
        <v>186</v>
      </c>
      <c r="W1930" s="213">
        <f t="shared" si="742"/>
        <v>0</v>
      </c>
      <c r="X1930" s="213" t="str">
        <f t="shared" si="743"/>
        <v>Correcto</v>
      </c>
    </row>
    <row r="1931" spans="1:24" ht="18" customHeight="1" x14ac:dyDescent="0.25">
      <c r="A1931" s="214">
        <v>1922</v>
      </c>
      <c r="B1931" s="206" t="s">
        <v>6413</v>
      </c>
      <c r="C1931" s="207">
        <v>42227</v>
      </c>
      <c r="D1931" s="216">
        <v>11</v>
      </c>
      <c r="E1931" s="216" t="s">
        <v>93</v>
      </c>
      <c r="F1931" s="209" t="s">
        <v>1654</v>
      </c>
      <c r="G1931" s="209" t="s">
        <v>202</v>
      </c>
      <c r="H1931" s="217">
        <v>42233</v>
      </c>
      <c r="I1931" s="209" t="s">
        <v>187</v>
      </c>
      <c r="J1931" s="209" t="s">
        <v>103</v>
      </c>
      <c r="K1931" s="218" t="s">
        <v>6414</v>
      </c>
      <c r="L1931" s="217">
        <v>42233</v>
      </c>
      <c r="M1931" s="218" t="s">
        <v>1654</v>
      </c>
      <c r="N1931" s="219" t="s">
        <v>188</v>
      </c>
      <c r="O1931" s="217">
        <v>42233</v>
      </c>
      <c r="P1931" s="220">
        <f t="shared" si="744"/>
        <v>6</v>
      </c>
      <c r="Q1931" s="218" t="s">
        <v>6414</v>
      </c>
      <c r="R1931" s="216" t="s">
        <v>17</v>
      </c>
      <c r="S1931" s="218" t="s">
        <v>101</v>
      </c>
      <c r="T1931" s="218" t="s">
        <v>2258</v>
      </c>
      <c r="U1931" s="217">
        <v>42235</v>
      </c>
      <c r="V1931" s="221" t="s">
        <v>186</v>
      </c>
      <c r="W1931" s="213">
        <f t="shared" si="742"/>
        <v>0</v>
      </c>
      <c r="X1931" s="213" t="str">
        <f t="shared" si="743"/>
        <v>Correcto</v>
      </c>
    </row>
    <row r="1932" spans="1:24" ht="18" customHeight="1" x14ac:dyDescent="0.25">
      <c r="A1932" s="214">
        <v>1923</v>
      </c>
      <c r="B1932" s="206" t="s">
        <v>6415</v>
      </c>
      <c r="C1932" s="207">
        <v>42227</v>
      </c>
      <c r="D1932" s="216">
        <v>4</v>
      </c>
      <c r="E1932" s="216" t="s">
        <v>93</v>
      </c>
      <c r="F1932" s="209" t="s">
        <v>1654</v>
      </c>
      <c r="G1932" s="209" t="s">
        <v>202</v>
      </c>
      <c r="H1932" s="217">
        <v>42229</v>
      </c>
      <c r="I1932" s="209" t="s">
        <v>187</v>
      </c>
      <c r="J1932" s="209" t="s">
        <v>103</v>
      </c>
      <c r="K1932" s="218" t="s">
        <v>6416</v>
      </c>
      <c r="L1932" s="217">
        <v>42229</v>
      </c>
      <c r="M1932" s="218" t="s">
        <v>1654</v>
      </c>
      <c r="N1932" s="219" t="s">
        <v>185</v>
      </c>
      <c r="O1932" s="217">
        <v>42229</v>
      </c>
      <c r="P1932" s="220">
        <f t="shared" si="744"/>
        <v>2</v>
      </c>
      <c r="Q1932" s="218" t="s">
        <v>6416</v>
      </c>
      <c r="R1932" s="216" t="s">
        <v>17</v>
      </c>
      <c r="S1932" s="218" t="s">
        <v>101</v>
      </c>
      <c r="T1932" s="218" t="s">
        <v>6157</v>
      </c>
      <c r="U1932" s="217">
        <v>42230</v>
      </c>
      <c r="V1932" s="221" t="s">
        <v>186</v>
      </c>
      <c r="W1932" s="213">
        <f t="shared" si="742"/>
        <v>0</v>
      </c>
      <c r="X1932" s="213" t="str">
        <f t="shared" si="743"/>
        <v>Correcto</v>
      </c>
    </row>
    <row r="1933" spans="1:24" ht="18" customHeight="1" x14ac:dyDescent="0.25">
      <c r="A1933" s="214">
        <v>1924</v>
      </c>
      <c r="B1933" s="206" t="s">
        <v>6417</v>
      </c>
      <c r="C1933" s="207">
        <v>42227</v>
      </c>
      <c r="D1933" s="216">
        <v>2</v>
      </c>
      <c r="E1933" s="216" t="s">
        <v>93</v>
      </c>
      <c r="F1933" s="209" t="s">
        <v>1654</v>
      </c>
      <c r="G1933" s="209" t="s">
        <v>202</v>
      </c>
      <c r="H1933" s="217">
        <v>42229</v>
      </c>
      <c r="I1933" s="209" t="s">
        <v>187</v>
      </c>
      <c r="J1933" s="209" t="s">
        <v>103</v>
      </c>
      <c r="K1933" s="218" t="s">
        <v>6418</v>
      </c>
      <c r="L1933" s="217">
        <v>42229</v>
      </c>
      <c r="M1933" s="218" t="s">
        <v>1654</v>
      </c>
      <c r="N1933" s="219" t="s">
        <v>185</v>
      </c>
      <c r="O1933" s="217">
        <v>42229</v>
      </c>
      <c r="P1933" s="220">
        <f t="shared" si="744"/>
        <v>2</v>
      </c>
      <c r="Q1933" s="218" t="s">
        <v>6418</v>
      </c>
      <c r="R1933" s="216" t="s">
        <v>17</v>
      </c>
      <c r="S1933" s="218" t="s">
        <v>101</v>
      </c>
      <c r="T1933" s="218" t="s">
        <v>6157</v>
      </c>
      <c r="U1933" s="217">
        <v>42230</v>
      </c>
      <c r="V1933" s="221" t="s">
        <v>186</v>
      </c>
      <c r="W1933" s="213">
        <f t="shared" si="742"/>
        <v>0</v>
      </c>
      <c r="X1933" s="213" t="str">
        <f t="shared" si="743"/>
        <v>Correcto</v>
      </c>
    </row>
    <row r="1934" spans="1:24" ht="18" customHeight="1" x14ac:dyDescent="0.25">
      <c r="A1934" s="214">
        <v>1925</v>
      </c>
      <c r="B1934" s="206" t="s">
        <v>6419</v>
      </c>
      <c r="C1934" s="207">
        <v>42227</v>
      </c>
      <c r="D1934" s="216">
        <v>2</v>
      </c>
      <c r="E1934" s="216" t="s">
        <v>93</v>
      </c>
      <c r="F1934" s="209" t="s">
        <v>6295</v>
      </c>
      <c r="G1934" s="209" t="s">
        <v>202</v>
      </c>
      <c r="H1934" s="217">
        <v>42227</v>
      </c>
      <c r="I1934" s="209" t="s">
        <v>187</v>
      </c>
      <c r="J1934" s="209" t="s">
        <v>103</v>
      </c>
      <c r="K1934" s="218" t="s">
        <v>6420</v>
      </c>
      <c r="L1934" s="217">
        <v>42227</v>
      </c>
      <c r="M1934" s="218" t="s">
        <v>2049</v>
      </c>
      <c r="N1934" s="219" t="s">
        <v>6298</v>
      </c>
      <c r="O1934" s="217">
        <v>42243</v>
      </c>
      <c r="P1934" s="220">
        <f t="shared" si="744"/>
        <v>16</v>
      </c>
      <c r="Q1934" s="218" t="s">
        <v>6421</v>
      </c>
      <c r="R1934" s="216" t="s">
        <v>729</v>
      </c>
      <c r="S1934" s="218" t="s">
        <v>101</v>
      </c>
      <c r="T1934" s="218" t="s">
        <v>3113</v>
      </c>
      <c r="U1934" s="217"/>
      <c r="V1934" s="221"/>
      <c r="W1934" s="213">
        <f t="shared" si="742"/>
        <v>2</v>
      </c>
      <c r="X1934" s="213" t="str">
        <f t="shared" si="743"/>
        <v>Incorrecto</v>
      </c>
    </row>
    <row r="1935" spans="1:24" ht="18" customHeight="1" x14ac:dyDescent="0.25">
      <c r="A1935" s="214">
        <v>1926</v>
      </c>
      <c r="B1935" s="206" t="s">
        <v>6422</v>
      </c>
      <c r="C1935" s="207">
        <v>42227</v>
      </c>
      <c r="D1935" s="216">
        <v>2</v>
      </c>
      <c r="E1935" s="216" t="s">
        <v>93</v>
      </c>
      <c r="F1935" s="209" t="s">
        <v>1654</v>
      </c>
      <c r="G1935" s="209" t="s">
        <v>202</v>
      </c>
      <c r="H1935" s="217">
        <v>42229</v>
      </c>
      <c r="I1935" s="209" t="s">
        <v>187</v>
      </c>
      <c r="J1935" s="209" t="s">
        <v>103</v>
      </c>
      <c r="K1935" s="218" t="s">
        <v>6423</v>
      </c>
      <c r="L1935" s="217">
        <v>42229</v>
      </c>
      <c r="M1935" s="218" t="s">
        <v>1654</v>
      </c>
      <c r="N1935" s="219" t="s">
        <v>185</v>
      </c>
      <c r="O1935" s="217">
        <v>42229</v>
      </c>
      <c r="P1935" s="220">
        <f t="shared" si="744"/>
        <v>2</v>
      </c>
      <c r="Q1935" s="218" t="s">
        <v>6423</v>
      </c>
      <c r="R1935" s="216" t="s">
        <v>17</v>
      </c>
      <c r="S1935" s="218" t="s">
        <v>101</v>
      </c>
      <c r="T1935" s="218" t="s">
        <v>1012</v>
      </c>
      <c r="U1935" s="217">
        <v>42230</v>
      </c>
      <c r="V1935" s="221" t="s">
        <v>186</v>
      </c>
      <c r="W1935" s="213">
        <f t="shared" si="742"/>
        <v>0</v>
      </c>
      <c r="X1935" s="213" t="str">
        <f t="shared" si="743"/>
        <v>Correcto</v>
      </c>
    </row>
    <row r="1936" spans="1:24" ht="18" customHeight="1" x14ac:dyDescent="0.25">
      <c r="A1936" s="214">
        <v>1927</v>
      </c>
      <c r="B1936" s="206" t="s">
        <v>6424</v>
      </c>
      <c r="C1936" s="207">
        <v>42227</v>
      </c>
      <c r="D1936" s="216">
        <v>2</v>
      </c>
      <c r="E1936" s="216" t="s">
        <v>93</v>
      </c>
      <c r="F1936" s="209" t="s">
        <v>1654</v>
      </c>
      <c r="G1936" s="209" t="s">
        <v>202</v>
      </c>
      <c r="H1936" s="217">
        <v>42229</v>
      </c>
      <c r="I1936" s="209" t="s">
        <v>187</v>
      </c>
      <c r="J1936" s="209" t="s">
        <v>103</v>
      </c>
      <c r="K1936" s="218" t="s">
        <v>6425</v>
      </c>
      <c r="L1936" s="217">
        <v>42229</v>
      </c>
      <c r="M1936" s="218" t="s">
        <v>1654</v>
      </c>
      <c r="N1936" s="219" t="s">
        <v>185</v>
      </c>
      <c r="O1936" s="217">
        <v>42229</v>
      </c>
      <c r="P1936" s="220">
        <f t="shared" si="744"/>
        <v>2</v>
      </c>
      <c r="Q1936" s="218" t="s">
        <v>6425</v>
      </c>
      <c r="R1936" s="216" t="s">
        <v>17</v>
      </c>
      <c r="S1936" s="218" t="s">
        <v>101</v>
      </c>
      <c r="T1936" s="218" t="s">
        <v>6157</v>
      </c>
      <c r="U1936" s="217">
        <v>42230</v>
      </c>
      <c r="V1936" s="221" t="s">
        <v>186</v>
      </c>
      <c r="W1936" s="213">
        <f t="shared" si="742"/>
        <v>0</v>
      </c>
      <c r="X1936" s="213" t="str">
        <f t="shared" si="743"/>
        <v>Correcto</v>
      </c>
    </row>
    <row r="1937" spans="1:24" ht="18" customHeight="1" x14ac:dyDescent="0.25">
      <c r="A1937" s="214">
        <v>1928</v>
      </c>
      <c r="B1937" s="206" t="s">
        <v>6426</v>
      </c>
      <c r="C1937" s="207">
        <v>42227</v>
      </c>
      <c r="D1937" s="216">
        <v>2</v>
      </c>
      <c r="E1937" s="216" t="s">
        <v>93</v>
      </c>
      <c r="F1937" s="209" t="s">
        <v>1654</v>
      </c>
      <c r="G1937" s="209" t="s">
        <v>202</v>
      </c>
      <c r="H1937" s="217">
        <v>42228</v>
      </c>
      <c r="I1937" s="209" t="s">
        <v>187</v>
      </c>
      <c r="J1937" s="209" t="s">
        <v>103</v>
      </c>
      <c r="K1937" s="218" t="s">
        <v>6427</v>
      </c>
      <c r="L1937" s="217">
        <v>42228</v>
      </c>
      <c r="M1937" s="218" t="s">
        <v>1654</v>
      </c>
      <c r="N1937" s="219" t="s">
        <v>185</v>
      </c>
      <c r="O1937" s="217">
        <v>42228</v>
      </c>
      <c r="P1937" s="220">
        <f t="shared" si="744"/>
        <v>1</v>
      </c>
      <c r="Q1937" s="218" t="s">
        <v>6427</v>
      </c>
      <c r="R1937" s="216" t="s">
        <v>17</v>
      </c>
      <c r="S1937" s="218" t="s">
        <v>6428</v>
      </c>
      <c r="T1937" s="218" t="s">
        <v>6429</v>
      </c>
      <c r="U1937" s="217">
        <v>42242</v>
      </c>
      <c r="V1937" s="221" t="s">
        <v>186</v>
      </c>
      <c r="W1937" s="213">
        <f t="shared" si="742"/>
        <v>0</v>
      </c>
      <c r="X1937" s="213" t="str">
        <f t="shared" si="743"/>
        <v>Correcto</v>
      </c>
    </row>
    <row r="1938" spans="1:24" ht="18" customHeight="1" x14ac:dyDescent="0.25">
      <c r="A1938" s="214">
        <v>1929</v>
      </c>
      <c r="B1938" s="206" t="s">
        <v>6430</v>
      </c>
      <c r="C1938" s="207">
        <v>42227</v>
      </c>
      <c r="D1938" s="216">
        <v>2</v>
      </c>
      <c r="E1938" s="216" t="s">
        <v>93</v>
      </c>
      <c r="F1938" s="209" t="s">
        <v>6431</v>
      </c>
      <c r="G1938" s="209" t="s">
        <v>202</v>
      </c>
      <c r="H1938" s="217">
        <v>42229</v>
      </c>
      <c r="I1938" s="209" t="s">
        <v>187</v>
      </c>
      <c r="J1938" s="209" t="s">
        <v>103</v>
      </c>
      <c r="K1938" s="218" t="s">
        <v>6432</v>
      </c>
      <c r="L1938" s="217">
        <v>42229</v>
      </c>
      <c r="M1938" s="218" t="s">
        <v>1654</v>
      </c>
      <c r="N1938" s="219" t="s">
        <v>202</v>
      </c>
      <c r="O1938" s="217">
        <v>42229</v>
      </c>
      <c r="P1938" s="220">
        <f t="shared" si="744"/>
        <v>2</v>
      </c>
      <c r="Q1938" s="218" t="s">
        <v>6432</v>
      </c>
      <c r="R1938" s="216" t="s">
        <v>3109</v>
      </c>
      <c r="S1938" s="218" t="s">
        <v>101</v>
      </c>
      <c r="T1938" s="218" t="s">
        <v>6433</v>
      </c>
      <c r="U1938" s="217">
        <v>42229</v>
      </c>
      <c r="V1938" s="221" t="s">
        <v>186</v>
      </c>
      <c r="W1938" s="213">
        <f t="shared" si="742"/>
        <v>0</v>
      </c>
      <c r="X1938" s="213" t="str">
        <f t="shared" si="743"/>
        <v>Correcto</v>
      </c>
    </row>
    <row r="1939" spans="1:24" ht="18" customHeight="1" x14ac:dyDescent="0.25">
      <c r="A1939" s="214">
        <v>1930</v>
      </c>
      <c r="B1939" s="206" t="s">
        <v>6434</v>
      </c>
      <c r="C1939" s="207">
        <v>42228</v>
      </c>
      <c r="D1939" s="216">
        <v>6</v>
      </c>
      <c r="E1939" s="216" t="s">
        <v>93</v>
      </c>
      <c r="F1939" s="209" t="s">
        <v>1654</v>
      </c>
      <c r="G1939" s="209" t="s">
        <v>202</v>
      </c>
      <c r="H1939" s="217">
        <v>42230</v>
      </c>
      <c r="I1939" s="209" t="s">
        <v>187</v>
      </c>
      <c r="J1939" s="209" t="s">
        <v>103</v>
      </c>
      <c r="K1939" s="218" t="s">
        <v>6435</v>
      </c>
      <c r="L1939" s="217">
        <v>42230</v>
      </c>
      <c r="M1939" s="218" t="s">
        <v>1654</v>
      </c>
      <c r="N1939" s="219" t="s">
        <v>185</v>
      </c>
      <c r="O1939" s="217">
        <v>42230</v>
      </c>
      <c r="P1939" s="220">
        <f t="shared" si="744"/>
        <v>2</v>
      </c>
      <c r="Q1939" s="218" t="s">
        <v>6435</v>
      </c>
      <c r="R1939" s="216" t="s">
        <v>17</v>
      </c>
      <c r="S1939" s="218" t="s">
        <v>6436</v>
      </c>
      <c r="T1939" s="218" t="s">
        <v>6437</v>
      </c>
      <c r="U1939" s="217">
        <v>42230</v>
      </c>
      <c r="V1939" s="221" t="s">
        <v>186</v>
      </c>
      <c r="W1939" s="213">
        <f t="shared" si="742"/>
        <v>0</v>
      </c>
      <c r="X1939" s="213" t="str">
        <f t="shared" si="743"/>
        <v>Correcto</v>
      </c>
    </row>
    <row r="1940" spans="1:24" ht="18" customHeight="1" x14ac:dyDescent="0.25">
      <c r="A1940" s="214">
        <v>1931</v>
      </c>
      <c r="B1940" s="206" t="s">
        <v>6438</v>
      </c>
      <c r="C1940" s="207">
        <v>42228</v>
      </c>
      <c r="D1940" s="216">
        <v>2</v>
      </c>
      <c r="E1940" s="216" t="s">
        <v>93</v>
      </c>
      <c r="F1940" s="209" t="s">
        <v>1654</v>
      </c>
      <c r="G1940" s="209" t="s">
        <v>202</v>
      </c>
      <c r="H1940" s="217">
        <v>42233</v>
      </c>
      <c r="I1940" s="209" t="s">
        <v>187</v>
      </c>
      <c r="J1940" s="209" t="s">
        <v>103</v>
      </c>
      <c r="K1940" s="218" t="s">
        <v>6439</v>
      </c>
      <c r="L1940" s="217">
        <v>42233</v>
      </c>
      <c r="M1940" s="218" t="s">
        <v>1654</v>
      </c>
      <c r="N1940" s="219" t="s">
        <v>185</v>
      </c>
      <c r="O1940" s="217">
        <v>42233</v>
      </c>
      <c r="P1940" s="220">
        <f t="shared" si="744"/>
        <v>5</v>
      </c>
      <c r="Q1940" s="218" t="s">
        <v>6439</v>
      </c>
      <c r="R1940" s="216" t="s">
        <v>17</v>
      </c>
      <c r="S1940" s="218" t="s">
        <v>6440</v>
      </c>
      <c r="T1940" s="218" t="s">
        <v>6441</v>
      </c>
      <c r="U1940" s="217">
        <v>42233</v>
      </c>
      <c r="V1940" s="221" t="s">
        <v>186</v>
      </c>
      <c r="W1940" s="213">
        <f t="shared" si="742"/>
        <v>0</v>
      </c>
      <c r="X1940" s="213" t="str">
        <f t="shared" si="743"/>
        <v>Correcto</v>
      </c>
    </row>
    <row r="1941" spans="1:24" ht="18" customHeight="1" x14ac:dyDescent="0.25">
      <c r="A1941" s="214">
        <v>1932</v>
      </c>
      <c r="B1941" s="206" t="s">
        <v>6442</v>
      </c>
      <c r="C1941" s="207">
        <v>42228</v>
      </c>
      <c r="D1941" s="216">
        <v>2</v>
      </c>
      <c r="E1941" s="216" t="s">
        <v>93</v>
      </c>
      <c r="F1941" s="209" t="s">
        <v>1654</v>
      </c>
      <c r="G1941" s="209" t="s">
        <v>202</v>
      </c>
      <c r="H1941" s="217">
        <v>42230</v>
      </c>
      <c r="I1941" s="209" t="s">
        <v>187</v>
      </c>
      <c r="J1941" s="209" t="s">
        <v>103</v>
      </c>
      <c r="K1941" s="218" t="s">
        <v>6443</v>
      </c>
      <c r="L1941" s="217">
        <v>42230</v>
      </c>
      <c r="M1941" s="218" t="s">
        <v>1654</v>
      </c>
      <c r="N1941" s="219" t="s">
        <v>185</v>
      </c>
      <c r="O1941" s="217">
        <v>42230</v>
      </c>
      <c r="P1941" s="220">
        <f t="shared" si="744"/>
        <v>2</v>
      </c>
      <c r="Q1941" s="218" t="s">
        <v>6443</v>
      </c>
      <c r="R1941" s="216" t="s">
        <v>17</v>
      </c>
      <c r="S1941" s="218" t="s">
        <v>6444</v>
      </c>
      <c r="T1941" s="218" t="s">
        <v>6445</v>
      </c>
      <c r="U1941" s="217">
        <v>42233</v>
      </c>
      <c r="V1941" s="221" t="s">
        <v>186</v>
      </c>
      <c r="W1941" s="213">
        <f t="shared" si="742"/>
        <v>0</v>
      </c>
      <c r="X1941" s="213" t="str">
        <f t="shared" si="743"/>
        <v>Correcto</v>
      </c>
    </row>
    <row r="1942" spans="1:24" ht="18" customHeight="1" x14ac:dyDescent="0.25">
      <c r="A1942" s="214">
        <v>1933</v>
      </c>
      <c r="B1942" s="206" t="s">
        <v>6446</v>
      </c>
      <c r="C1942" s="207">
        <v>42228</v>
      </c>
      <c r="D1942" s="216">
        <v>2</v>
      </c>
      <c r="E1942" s="216" t="s">
        <v>93</v>
      </c>
      <c r="F1942" s="209" t="s">
        <v>1654</v>
      </c>
      <c r="G1942" s="209" t="s">
        <v>202</v>
      </c>
      <c r="H1942" s="217">
        <v>42230</v>
      </c>
      <c r="I1942" s="209" t="s">
        <v>187</v>
      </c>
      <c r="J1942" s="209" t="s">
        <v>103</v>
      </c>
      <c r="K1942" s="218" t="s">
        <v>6447</v>
      </c>
      <c r="L1942" s="217">
        <v>42230</v>
      </c>
      <c r="M1942" s="218" t="s">
        <v>1654</v>
      </c>
      <c r="N1942" s="219" t="s">
        <v>185</v>
      </c>
      <c r="O1942" s="217">
        <v>42230</v>
      </c>
      <c r="P1942" s="220">
        <f t="shared" si="744"/>
        <v>2</v>
      </c>
      <c r="Q1942" s="218" t="s">
        <v>6447</v>
      </c>
      <c r="R1942" s="216" t="s">
        <v>17</v>
      </c>
      <c r="S1942" s="218" t="s">
        <v>6448</v>
      </c>
      <c r="T1942" s="218" t="s">
        <v>6449</v>
      </c>
      <c r="U1942" s="217">
        <v>42230</v>
      </c>
      <c r="V1942" s="221" t="s">
        <v>186</v>
      </c>
      <c r="W1942" s="213">
        <f t="shared" si="742"/>
        <v>0</v>
      </c>
      <c r="X1942" s="213" t="str">
        <f t="shared" si="743"/>
        <v>Correcto</v>
      </c>
    </row>
    <row r="1943" spans="1:24" ht="18" customHeight="1" x14ac:dyDescent="0.25">
      <c r="A1943" s="214">
        <v>1934</v>
      </c>
      <c r="B1943" s="206" t="s">
        <v>6450</v>
      </c>
      <c r="C1943" s="207">
        <v>42229</v>
      </c>
      <c r="D1943" s="216">
        <v>2</v>
      </c>
      <c r="E1943" s="216" t="s">
        <v>93</v>
      </c>
      <c r="F1943" s="209" t="s">
        <v>1654</v>
      </c>
      <c r="G1943" s="209" t="s">
        <v>202</v>
      </c>
      <c r="H1943" s="217">
        <v>42230</v>
      </c>
      <c r="I1943" s="209" t="s">
        <v>187</v>
      </c>
      <c r="J1943" s="209" t="s">
        <v>103</v>
      </c>
      <c r="K1943" s="218" t="s">
        <v>6451</v>
      </c>
      <c r="L1943" s="217">
        <v>42230</v>
      </c>
      <c r="M1943" s="218" t="s">
        <v>1654</v>
      </c>
      <c r="N1943" s="219" t="s">
        <v>185</v>
      </c>
      <c r="O1943" s="217">
        <v>42230</v>
      </c>
      <c r="P1943" s="220">
        <f t="shared" si="744"/>
        <v>1</v>
      </c>
      <c r="Q1943" s="218" t="s">
        <v>6451</v>
      </c>
      <c r="R1943" s="216" t="s">
        <v>17</v>
      </c>
      <c r="S1943" s="218" t="s">
        <v>6452</v>
      </c>
      <c r="T1943" s="218" t="s">
        <v>6453</v>
      </c>
      <c r="U1943" s="217">
        <v>42235</v>
      </c>
      <c r="V1943" s="221" t="s">
        <v>186</v>
      </c>
      <c r="W1943" s="213">
        <f t="shared" si="742"/>
        <v>0</v>
      </c>
      <c r="X1943" s="213" t="str">
        <f t="shared" si="743"/>
        <v>Correcto</v>
      </c>
    </row>
    <row r="1944" spans="1:24" ht="18" customHeight="1" x14ac:dyDescent="0.25">
      <c r="A1944" s="214">
        <v>1935</v>
      </c>
      <c r="B1944" s="206" t="s">
        <v>6454</v>
      </c>
      <c r="C1944" s="207">
        <v>42229</v>
      </c>
      <c r="D1944" s="216">
        <v>2</v>
      </c>
      <c r="E1944" s="216" t="s">
        <v>93</v>
      </c>
      <c r="F1944" s="209" t="s">
        <v>1654</v>
      </c>
      <c r="G1944" s="209" t="s">
        <v>202</v>
      </c>
      <c r="H1944" s="217">
        <v>42230</v>
      </c>
      <c r="I1944" s="209" t="s">
        <v>187</v>
      </c>
      <c r="J1944" s="209" t="s">
        <v>103</v>
      </c>
      <c r="K1944" s="218" t="s">
        <v>6455</v>
      </c>
      <c r="L1944" s="217">
        <v>42230</v>
      </c>
      <c r="M1944" s="218" t="s">
        <v>1654</v>
      </c>
      <c r="N1944" s="219" t="s">
        <v>185</v>
      </c>
      <c r="O1944" s="217">
        <v>42230</v>
      </c>
      <c r="P1944" s="220">
        <f t="shared" si="744"/>
        <v>1</v>
      </c>
      <c r="Q1944" s="218" t="s">
        <v>6455</v>
      </c>
      <c r="R1944" s="216" t="s">
        <v>17</v>
      </c>
      <c r="S1944" s="218" t="s">
        <v>101</v>
      </c>
      <c r="T1944" s="218" t="s">
        <v>953</v>
      </c>
      <c r="U1944" s="217">
        <v>42230</v>
      </c>
      <c r="V1944" s="221" t="s">
        <v>186</v>
      </c>
      <c r="W1944" s="213">
        <f t="shared" si="742"/>
        <v>0</v>
      </c>
      <c r="X1944" s="213" t="str">
        <f t="shared" si="743"/>
        <v>Correcto</v>
      </c>
    </row>
    <row r="1945" spans="1:24" ht="18" customHeight="1" x14ac:dyDescent="0.25">
      <c r="A1945" s="214">
        <v>1936</v>
      </c>
      <c r="B1945" s="206" t="s">
        <v>6456</v>
      </c>
      <c r="C1945" s="207">
        <v>42229</v>
      </c>
      <c r="D1945" s="216">
        <v>2</v>
      </c>
      <c r="E1945" s="216" t="s">
        <v>93</v>
      </c>
      <c r="F1945" s="209" t="s">
        <v>1654</v>
      </c>
      <c r="G1945" s="209" t="s">
        <v>202</v>
      </c>
      <c r="H1945" s="217">
        <v>42230</v>
      </c>
      <c r="I1945" s="209" t="s">
        <v>187</v>
      </c>
      <c r="J1945" s="209" t="s">
        <v>103</v>
      </c>
      <c r="K1945" s="218" t="s">
        <v>6457</v>
      </c>
      <c r="L1945" s="217">
        <v>42230</v>
      </c>
      <c r="M1945" s="218" t="s">
        <v>1654</v>
      </c>
      <c r="N1945" s="219" t="s">
        <v>185</v>
      </c>
      <c r="O1945" s="217">
        <v>42230</v>
      </c>
      <c r="P1945" s="220">
        <f t="shared" si="744"/>
        <v>1</v>
      </c>
      <c r="Q1945" s="218" t="s">
        <v>6457</v>
      </c>
      <c r="R1945" s="216" t="s">
        <v>17</v>
      </c>
      <c r="S1945" s="218" t="s">
        <v>101</v>
      </c>
      <c r="T1945" s="218" t="s">
        <v>1150</v>
      </c>
      <c r="U1945" s="217">
        <v>42230</v>
      </c>
      <c r="V1945" s="221" t="s">
        <v>186</v>
      </c>
      <c r="W1945" s="213">
        <f t="shared" si="742"/>
        <v>0</v>
      </c>
      <c r="X1945" s="213" t="str">
        <f t="shared" si="743"/>
        <v>Correcto</v>
      </c>
    </row>
    <row r="1946" spans="1:24" ht="18" customHeight="1" x14ac:dyDescent="0.25">
      <c r="A1946" s="214">
        <v>1937</v>
      </c>
      <c r="B1946" s="206" t="s">
        <v>6458</v>
      </c>
      <c r="C1946" s="207">
        <v>42229</v>
      </c>
      <c r="D1946" s="216">
        <v>2</v>
      </c>
      <c r="E1946" s="216" t="s">
        <v>93</v>
      </c>
      <c r="F1946" s="209" t="s">
        <v>1654</v>
      </c>
      <c r="G1946" s="209" t="s">
        <v>202</v>
      </c>
      <c r="H1946" s="217">
        <v>42230</v>
      </c>
      <c r="I1946" s="209" t="s">
        <v>187</v>
      </c>
      <c r="J1946" s="209" t="s">
        <v>103</v>
      </c>
      <c r="K1946" s="218" t="s">
        <v>6459</v>
      </c>
      <c r="L1946" s="217">
        <v>42230</v>
      </c>
      <c r="M1946" s="218" t="s">
        <v>1654</v>
      </c>
      <c r="N1946" s="219" t="s">
        <v>185</v>
      </c>
      <c r="O1946" s="217">
        <v>42230</v>
      </c>
      <c r="P1946" s="220">
        <f t="shared" si="744"/>
        <v>1</v>
      </c>
      <c r="Q1946" s="218" t="s">
        <v>6459</v>
      </c>
      <c r="R1946" s="216" t="s">
        <v>17</v>
      </c>
      <c r="S1946" s="218" t="s">
        <v>101</v>
      </c>
      <c r="T1946" s="218" t="s">
        <v>6379</v>
      </c>
      <c r="U1946" s="217">
        <v>42230</v>
      </c>
      <c r="V1946" s="221" t="s">
        <v>186</v>
      </c>
      <c r="W1946" s="213">
        <f t="shared" si="742"/>
        <v>0</v>
      </c>
      <c r="X1946" s="213" t="str">
        <f t="shared" si="743"/>
        <v>Correcto</v>
      </c>
    </row>
    <row r="1947" spans="1:24" ht="18" customHeight="1" x14ac:dyDescent="0.25">
      <c r="A1947" s="214">
        <v>1938</v>
      </c>
      <c r="B1947" s="206" t="s">
        <v>6460</v>
      </c>
      <c r="C1947" s="207">
        <v>42229</v>
      </c>
      <c r="D1947" s="216">
        <v>3</v>
      </c>
      <c r="E1947" s="216" t="s">
        <v>93</v>
      </c>
      <c r="F1947" s="209" t="s">
        <v>1654</v>
      </c>
      <c r="G1947" s="209" t="s">
        <v>202</v>
      </c>
      <c r="H1947" s="217">
        <v>42230</v>
      </c>
      <c r="I1947" s="209" t="s">
        <v>187</v>
      </c>
      <c r="J1947" s="209" t="s">
        <v>103</v>
      </c>
      <c r="K1947" s="218" t="s">
        <v>6461</v>
      </c>
      <c r="L1947" s="217">
        <v>42230</v>
      </c>
      <c r="M1947" s="218" t="s">
        <v>1654</v>
      </c>
      <c r="N1947" s="219" t="s">
        <v>185</v>
      </c>
      <c r="O1947" s="217">
        <v>42230</v>
      </c>
      <c r="P1947" s="220">
        <f t="shared" si="744"/>
        <v>1</v>
      </c>
      <c r="Q1947" s="218" t="s">
        <v>6461</v>
      </c>
      <c r="R1947" s="216" t="s">
        <v>17</v>
      </c>
      <c r="S1947" s="218" t="s">
        <v>101</v>
      </c>
      <c r="T1947" s="218" t="s">
        <v>6462</v>
      </c>
      <c r="U1947" s="217">
        <v>42230</v>
      </c>
      <c r="V1947" s="221" t="s">
        <v>186</v>
      </c>
      <c r="W1947" s="213">
        <f t="shared" si="742"/>
        <v>0</v>
      </c>
      <c r="X1947" s="213" t="str">
        <f t="shared" si="743"/>
        <v>Correcto</v>
      </c>
    </row>
    <row r="1948" spans="1:24" ht="18" customHeight="1" x14ac:dyDescent="0.25">
      <c r="A1948" s="214">
        <v>1939</v>
      </c>
      <c r="B1948" s="206" t="s">
        <v>6463</v>
      </c>
      <c r="C1948" s="207">
        <v>42229</v>
      </c>
      <c r="D1948" s="216">
        <v>3</v>
      </c>
      <c r="E1948" s="216" t="s">
        <v>93</v>
      </c>
      <c r="F1948" s="209" t="s">
        <v>1654</v>
      </c>
      <c r="G1948" s="209" t="s">
        <v>202</v>
      </c>
      <c r="H1948" s="217">
        <v>42230</v>
      </c>
      <c r="I1948" s="209" t="s">
        <v>187</v>
      </c>
      <c r="J1948" s="209" t="s">
        <v>103</v>
      </c>
      <c r="K1948" s="218" t="s">
        <v>6464</v>
      </c>
      <c r="L1948" s="217">
        <v>42230</v>
      </c>
      <c r="M1948" s="218" t="s">
        <v>1654</v>
      </c>
      <c r="N1948" s="219" t="s">
        <v>185</v>
      </c>
      <c r="O1948" s="217">
        <v>42230</v>
      </c>
      <c r="P1948" s="220">
        <f t="shared" si="744"/>
        <v>1</v>
      </c>
      <c r="Q1948" s="218" t="s">
        <v>6464</v>
      </c>
      <c r="R1948" s="216" t="s">
        <v>17</v>
      </c>
      <c r="S1948" s="218" t="s">
        <v>101</v>
      </c>
      <c r="T1948" s="218" t="s">
        <v>6300</v>
      </c>
      <c r="U1948" s="217">
        <v>42230</v>
      </c>
      <c r="V1948" s="221" t="s">
        <v>186</v>
      </c>
      <c r="W1948" s="213">
        <f t="shared" si="742"/>
        <v>0</v>
      </c>
      <c r="X1948" s="213" t="str">
        <f t="shared" si="743"/>
        <v>Correcto</v>
      </c>
    </row>
    <row r="1949" spans="1:24" ht="18" customHeight="1" x14ac:dyDescent="0.25">
      <c r="A1949" s="214">
        <v>1940</v>
      </c>
      <c r="B1949" s="206" t="s">
        <v>6465</v>
      </c>
      <c r="C1949" s="207">
        <v>42229</v>
      </c>
      <c r="D1949" s="216">
        <v>3</v>
      </c>
      <c r="E1949" s="216" t="s">
        <v>93</v>
      </c>
      <c r="F1949" s="209" t="s">
        <v>1654</v>
      </c>
      <c r="G1949" s="209" t="s">
        <v>202</v>
      </c>
      <c r="H1949" s="217">
        <v>42230</v>
      </c>
      <c r="I1949" s="209" t="s">
        <v>187</v>
      </c>
      <c r="J1949" s="209" t="s">
        <v>103</v>
      </c>
      <c r="K1949" s="218" t="s">
        <v>6466</v>
      </c>
      <c r="L1949" s="217">
        <v>42230</v>
      </c>
      <c r="M1949" s="218" t="s">
        <v>1654</v>
      </c>
      <c r="N1949" s="219" t="s">
        <v>185</v>
      </c>
      <c r="O1949" s="217">
        <v>42230</v>
      </c>
      <c r="P1949" s="220">
        <f t="shared" si="744"/>
        <v>1</v>
      </c>
      <c r="Q1949" s="218" t="s">
        <v>6466</v>
      </c>
      <c r="R1949" s="216" t="s">
        <v>17</v>
      </c>
      <c r="S1949" s="218" t="s">
        <v>101</v>
      </c>
      <c r="T1949" s="218" t="s">
        <v>1500</v>
      </c>
      <c r="U1949" s="217">
        <v>42230</v>
      </c>
      <c r="V1949" s="221" t="s">
        <v>186</v>
      </c>
      <c r="W1949" s="213">
        <f t="shared" si="742"/>
        <v>0</v>
      </c>
      <c r="X1949" s="213" t="str">
        <f t="shared" si="743"/>
        <v>Correcto</v>
      </c>
    </row>
    <row r="1950" spans="1:24" ht="18" customHeight="1" x14ac:dyDescent="0.25">
      <c r="A1950" s="214">
        <v>1941</v>
      </c>
      <c r="B1950" s="206" t="s">
        <v>6467</v>
      </c>
      <c r="C1950" s="207">
        <v>42229</v>
      </c>
      <c r="D1950" s="216">
        <v>2</v>
      </c>
      <c r="E1950" s="216" t="s">
        <v>93</v>
      </c>
      <c r="F1950" s="209" t="s">
        <v>1654</v>
      </c>
      <c r="G1950" s="209" t="s">
        <v>202</v>
      </c>
      <c r="H1950" s="217">
        <v>42230</v>
      </c>
      <c r="I1950" s="209" t="s">
        <v>187</v>
      </c>
      <c r="J1950" s="209" t="s">
        <v>103</v>
      </c>
      <c r="K1950" s="218" t="s">
        <v>6468</v>
      </c>
      <c r="L1950" s="217">
        <v>42230</v>
      </c>
      <c r="M1950" s="218" t="s">
        <v>1654</v>
      </c>
      <c r="N1950" s="219" t="s">
        <v>185</v>
      </c>
      <c r="O1950" s="217">
        <v>42230</v>
      </c>
      <c r="P1950" s="220">
        <f t="shared" si="744"/>
        <v>1</v>
      </c>
      <c r="Q1950" s="218" t="s">
        <v>6468</v>
      </c>
      <c r="R1950" s="216" t="s">
        <v>17</v>
      </c>
      <c r="S1950" s="218" t="s">
        <v>6469</v>
      </c>
      <c r="T1950" s="218" t="s">
        <v>6470</v>
      </c>
      <c r="U1950" s="217">
        <v>42233</v>
      </c>
      <c r="V1950" s="221" t="s">
        <v>186</v>
      </c>
      <c r="W1950" s="213">
        <f t="shared" si="742"/>
        <v>0</v>
      </c>
      <c r="X1950" s="213" t="str">
        <f t="shared" si="743"/>
        <v>Correcto</v>
      </c>
    </row>
    <row r="1951" spans="1:24" ht="18" customHeight="1" x14ac:dyDescent="0.25">
      <c r="A1951" s="214">
        <v>1942</v>
      </c>
      <c r="B1951" s="206" t="s">
        <v>6471</v>
      </c>
      <c r="C1951" s="207">
        <v>42229</v>
      </c>
      <c r="D1951" s="216">
        <v>2</v>
      </c>
      <c r="E1951" s="216" t="s">
        <v>93</v>
      </c>
      <c r="F1951" s="209" t="s">
        <v>1654</v>
      </c>
      <c r="G1951" s="209" t="s">
        <v>202</v>
      </c>
      <c r="H1951" s="217">
        <v>42230</v>
      </c>
      <c r="I1951" s="209" t="s">
        <v>187</v>
      </c>
      <c r="J1951" s="209" t="s">
        <v>103</v>
      </c>
      <c r="K1951" s="218" t="s">
        <v>6472</v>
      </c>
      <c r="L1951" s="217">
        <v>42230</v>
      </c>
      <c r="M1951" s="218" t="s">
        <v>1654</v>
      </c>
      <c r="N1951" s="219" t="s">
        <v>185</v>
      </c>
      <c r="O1951" s="217">
        <v>42230</v>
      </c>
      <c r="P1951" s="220">
        <f t="shared" si="744"/>
        <v>1</v>
      </c>
      <c r="Q1951" s="218" t="s">
        <v>6472</v>
      </c>
      <c r="R1951" s="216" t="s">
        <v>17</v>
      </c>
      <c r="S1951" s="218" t="s">
        <v>101</v>
      </c>
      <c r="T1951" s="218" t="s">
        <v>953</v>
      </c>
      <c r="U1951" s="217">
        <v>42230</v>
      </c>
      <c r="V1951" s="221" t="s">
        <v>186</v>
      </c>
      <c r="W1951" s="213">
        <f t="shared" si="742"/>
        <v>0</v>
      </c>
      <c r="X1951" s="213" t="str">
        <f t="shared" si="743"/>
        <v>Correcto</v>
      </c>
    </row>
    <row r="1952" spans="1:24" ht="18" customHeight="1" x14ac:dyDescent="0.25">
      <c r="A1952" s="214">
        <v>1943</v>
      </c>
      <c r="B1952" s="206" t="s">
        <v>6473</v>
      </c>
      <c r="C1952" s="207">
        <v>42229</v>
      </c>
      <c r="D1952" s="216">
        <v>5</v>
      </c>
      <c r="E1952" s="216" t="s">
        <v>93</v>
      </c>
      <c r="F1952" s="209" t="s">
        <v>1654</v>
      </c>
      <c r="G1952" s="209" t="s">
        <v>202</v>
      </c>
      <c r="H1952" s="217">
        <v>42230</v>
      </c>
      <c r="I1952" s="209" t="s">
        <v>187</v>
      </c>
      <c r="J1952" s="209" t="s">
        <v>103</v>
      </c>
      <c r="K1952" s="218" t="s">
        <v>6474</v>
      </c>
      <c r="L1952" s="217">
        <v>42230</v>
      </c>
      <c r="M1952" s="218" t="s">
        <v>1654</v>
      </c>
      <c r="N1952" s="219" t="s">
        <v>185</v>
      </c>
      <c r="O1952" s="217">
        <v>42230</v>
      </c>
      <c r="P1952" s="220">
        <f t="shared" si="744"/>
        <v>1</v>
      </c>
      <c r="Q1952" s="218" t="s">
        <v>6474</v>
      </c>
      <c r="R1952" s="216" t="s">
        <v>17</v>
      </c>
      <c r="S1952" s="218" t="s">
        <v>6475</v>
      </c>
      <c r="T1952" s="218" t="s">
        <v>6476</v>
      </c>
      <c r="U1952" s="217">
        <v>42233</v>
      </c>
      <c r="V1952" s="221" t="s">
        <v>186</v>
      </c>
      <c r="W1952" s="213">
        <f t="shared" si="742"/>
        <v>0</v>
      </c>
      <c r="X1952" s="213" t="str">
        <f t="shared" si="743"/>
        <v>Correcto</v>
      </c>
    </row>
    <row r="1953" spans="1:24" ht="18" customHeight="1" x14ac:dyDescent="0.25">
      <c r="A1953" s="214">
        <v>1944</v>
      </c>
      <c r="B1953" s="206" t="s">
        <v>6477</v>
      </c>
      <c r="C1953" s="207">
        <v>42229</v>
      </c>
      <c r="D1953" s="216">
        <v>2</v>
      </c>
      <c r="E1953" s="216" t="s">
        <v>93</v>
      </c>
      <c r="F1953" s="209" t="s">
        <v>1654</v>
      </c>
      <c r="G1953" s="209" t="s">
        <v>202</v>
      </c>
      <c r="H1953" s="217">
        <v>42230</v>
      </c>
      <c r="I1953" s="209" t="s">
        <v>187</v>
      </c>
      <c r="J1953" s="209" t="s">
        <v>103</v>
      </c>
      <c r="K1953" s="218" t="s">
        <v>6478</v>
      </c>
      <c r="L1953" s="217">
        <v>42230</v>
      </c>
      <c r="M1953" s="218" t="s">
        <v>1654</v>
      </c>
      <c r="N1953" s="219" t="s">
        <v>185</v>
      </c>
      <c r="O1953" s="217">
        <v>42230</v>
      </c>
      <c r="P1953" s="220">
        <f t="shared" si="744"/>
        <v>1</v>
      </c>
      <c r="Q1953" s="218" t="s">
        <v>6478</v>
      </c>
      <c r="R1953" s="216" t="s">
        <v>17</v>
      </c>
      <c r="S1953" s="218" t="s">
        <v>101</v>
      </c>
      <c r="T1953" s="218" t="s">
        <v>2314</v>
      </c>
      <c r="U1953" s="217">
        <v>42230</v>
      </c>
      <c r="V1953" s="221" t="s">
        <v>186</v>
      </c>
      <c r="W1953" s="213">
        <f t="shared" si="742"/>
        <v>0</v>
      </c>
      <c r="X1953" s="213" t="str">
        <f t="shared" si="743"/>
        <v>Correcto</v>
      </c>
    </row>
    <row r="1954" spans="1:24" ht="18" customHeight="1" x14ac:dyDescent="0.25">
      <c r="A1954" s="214">
        <v>1945</v>
      </c>
      <c r="B1954" s="206" t="s">
        <v>6479</v>
      </c>
      <c r="C1954" s="207">
        <v>42229</v>
      </c>
      <c r="D1954" s="216">
        <v>3</v>
      </c>
      <c r="E1954" s="216" t="s">
        <v>93</v>
      </c>
      <c r="F1954" s="209" t="s">
        <v>1654</v>
      </c>
      <c r="G1954" s="209" t="s">
        <v>202</v>
      </c>
      <c r="H1954" s="217">
        <v>42230</v>
      </c>
      <c r="I1954" s="209" t="s">
        <v>187</v>
      </c>
      <c r="J1954" s="209" t="s">
        <v>103</v>
      </c>
      <c r="K1954" s="218" t="s">
        <v>6480</v>
      </c>
      <c r="L1954" s="217">
        <v>42230</v>
      </c>
      <c r="M1954" s="218" t="s">
        <v>1654</v>
      </c>
      <c r="N1954" s="219" t="s">
        <v>185</v>
      </c>
      <c r="O1954" s="217">
        <v>42230</v>
      </c>
      <c r="P1954" s="220">
        <f t="shared" si="744"/>
        <v>1</v>
      </c>
      <c r="Q1954" s="218" t="s">
        <v>6480</v>
      </c>
      <c r="R1954" s="216" t="s">
        <v>17</v>
      </c>
      <c r="S1954" s="218" t="s">
        <v>6481</v>
      </c>
      <c r="T1954" s="218" t="s">
        <v>6482</v>
      </c>
      <c r="U1954" s="217">
        <v>42233</v>
      </c>
      <c r="V1954" s="221" t="s">
        <v>186</v>
      </c>
      <c r="W1954" s="213">
        <f t="shared" si="742"/>
        <v>0</v>
      </c>
      <c r="X1954" s="213" t="str">
        <f t="shared" si="743"/>
        <v>Correcto</v>
      </c>
    </row>
    <row r="1955" spans="1:24" ht="18" customHeight="1" x14ac:dyDescent="0.25">
      <c r="A1955" s="214">
        <v>1946</v>
      </c>
      <c r="B1955" s="206" t="s">
        <v>6483</v>
      </c>
      <c r="C1955" s="207">
        <v>42229</v>
      </c>
      <c r="D1955" s="216">
        <v>18</v>
      </c>
      <c r="E1955" s="216" t="s">
        <v>93</v>
      </c>
      <c r="F1955" s="209" t="s">
        <v>1654</v>
      </c>
      <c r="G1955" s="209" t="s">
        <v>202</v>
      </c>
      <c r="H1955" s="217">
        <v>42233</v>
      </c>
      <c r="I1955" s="209" t="s">
        <v>187</v>
      </c>
      <c r="J1955" s="209" t="s">
        <v>103</v>
      </c>
      <c r="K1955" s="218" t="s">
        <v>6484</v>
      </c>
      <c r="L1955" s="217">
        <v>42233</v>
      </c>
      <c r="M1955" s="218" t="s">
        <v>1654</v>
      </c>
      <c r="N1955" s="219" t="s">
        <v>188</v>
      </c>
      <c r="O1955" s="217">
        <v>42233</v>
      </c>
      <c r="P1955" s="220">
        <f t="shared" si="744"/>
        <v>4</v>
      </c>
      <c r="Q1955" s="218" t="s">
        <v>6484</v>
      </c>
      <c r="R1955" s="216" t="s">
        <v>17</v>
      </c>
      <c r="S1955" s="218" t="s">
        <v>6485</v>
      </c>
      <c r="T1955" s="218" t="s">
        <v>6486</v>
      </c>
      <c r="U1955" s="217">
        <v>42233</v>
      </c>
      <c r="V1955" s="221" t="s">
        <v>186</v>
      </c>
      <c r="W1955" s="213">
        <f t="shared" si="742"/>
        <v>0</v>
      </c>
      <c r="X1955" s="213" t="str">
        <f t="shared" si="743"/>
        <v>Correcto</v>
      </c>
    </row>
    <row r="1956" spans="1:24" ht="18" customHeight="1" x14ac:dyDescent="0.25">
      <c r="A1956" s="214">
        <v>1947</v>
      </c>
      <c r="B1956" s="206" t="s">
        <v>6487</v>
      </c>
      <c r="C1956" s="207">
        <v>42229</v>
      </c>
      <c r="D1956" s="216">
        <v>8</v>
      </c>
      <c r="E1956" s="216" t="s">
        <v>93</v>
      </c>
      <c r="F1956" s="209" t="s">
        <v>1654</v>
      </c>
      <c r="G1956" s="209" t="s">
        <v>202</v>
      </c>
      <c r="H1956" s="217">
        <v>42233</v>
      </c>
      <c r="I1956" s="209" t="s">
        <v>187</v>
      </c>
      <c r="J1956" s="209" t="s">
        <v>103</v>
      </c>
      <c r="K1956" s="218" t="s">
        <v>6488</v>
      </c>
      <c r="L1956" s="217">
        <v>42233</v>
      </c>
      <c r="M1956" s="218" t="s">
        <v>1654</v>
      </c>
      <c r="N1956" s="219" t="s">
        <v>188</v>
      </c>
      <c r="O1956" s="217">
        <v>42233</v>
      </c>
      <c r="P1956" s="220">
        <f t="shared" si="744"/>
        <v>4</v>
      </c>
      <c r="Q1956" s="218" t="s">
        <v>6488</v>
      </c>
      <c r="R1956" s="216" t="s">
        <v>17</v>
      </c>
      <c r="S1956" s="218" t="s">
        <v>6489</v>
      </c>
      <c r="T1956" s="218" t="s">
        <v>6490</v>
      </c>
      <c r="U1956" s="217">
        <v>42234</v>
      </c>
      <c r="V1956" s="221" t="s">
        <v>186</v>
      </c>
      <c r="W1956" s="213">
        <f t="shared" si="742"/>
        <v>0</v>
      </c>
      <c r="X1956" s="213" t="str">
        <f t="shared" si="743"/>
        <v>Correcto</v>
      </c>
    </row>
    <row r="1957" spans="1:24" ht="18" customHeight="1" x14ac:dyDescent="0.25">
      <c r="A1957" s="214">
        <v>1948</v>
      </c>
      <c r="B1957" s="206" t="s">
        <v>6491</v>
      </c>
      <c r="C1957" s="207">
        <v>42229</v>
      </c>
      <c r="D1957" s="216">
        <v>2</v>
      </c>
      <c r="E1957" s="216" t="s">
        <v>93</v>
      </c>
      <c r="F1957" s="209" t="s">
        <v>1654</v>
      </c>
      <c r="G1957" s="209" t="s">
        <v>202</v>
      </c>
      <c r="H1957" s="217">
        <v>42230</v>
      </c>
      <c r="I1957" s="209" t="s">
        <v>187</v>
      </c>
      <c r="J1957" s="209" t="s">
        <v>103</v>
      </c>
      <c r="K1957" s="218" t="s">
        <v>6492</v>
      </c>
      <c r="L1957" s="217">
        <v>42230</v>
      </c>
      <c r="M1957" s="218" t="s">
        <v>1654</v>
      </c>
      <c r="N1957" s="219" t="s">
        <v>185</v>
      </c>
      <c r="O1957" s="217">
        <v>42230</v>
      </c>
      <c r="P1957" s="220">
        <f t="shared" si="744"/>
        <v>1</v>
      </c>
      <c r="Q1957" s="218" t="s">
        <v>6492</v>
      </c>
      <c r="R1957" s="216" t="s">
        <v>17</v>
      </c>
      <c r="S1957" s="218" t="s">
        <v>6493</v>
      </c>
      <c r="T1957" s="218" t="s">
        <v>6494</v>
      </c>
      <c r="U1957" s="217">
        <v>42233</v>
      </c>
      <c r="V1957" s="221" t="s">
        <v>186</v>
      </c>
      <c r="W1957" s="213">
        <f t="shared" si="742"/>
        <v>0</v>
      </c>
      <c r="X1957" s="213" t="str">
        <f t="shared" si="743"/>
        <v>Correcto</v>
      </c>
    </row>
    <row r="1958" spans="1:24" ht="18" customHeight="1" x14ac:dyDescent="0.25">
      <c r="A1958" s="214">
        <v>1949</v>
      </c>
      <c r="B1958" s="206" t="s">
        <v>6495</v>
      </c>
      <c r="C1958" s="207">
        <v>42229</v>
      </c>
      <c r="D1958" s="216">
        <v>91</v>
      </c>
      <c r="E1958" s="216" t="s">
        <v>93</v>
      </c>
      <c r="F1958" s="209" t="s">
        <v>1654</v>
      </c>
      <c r="G1958" s="209" t="s">
        <v>202</v>
      </c>
      <c r="H1958" s="217">
        <v>42233</v>
      </c>
      <c r="I1958" s="209" t="s">
        <v>187</v>
      </c>
      <c r="J1958" s="209" t="s">
        <v>103</v>
      </c>
      <c r="K1958" s="218" t="s">
        <v>6496</v>
      </c>
      <c r="L1958" s="217">
        <v>42233</v>
      </c>
      <c r="M1958" s="218" t="s">
        <v>1654</v>
      </c>
      <c r="N1958" s="219" t="s">
        <v>185</v>
      </c>
      <c r="O1958" s="217">
        <v>42233</v>
      </c>
      <c r="P1958" s="220">
        <f t="shared" si="744"/>
        <v>4</v>
      </c>
      <c r="Q1958" s="218" t="s">
        <v>6496</v>
      </c>
      <c r="R1958" s="216" t="s">
        <v>17</v>
      </c>
      <c r="S1958" s="218" t="s">
        <v>101</v>
      </c>
      <c r="T1958" s="218" t="s">
        <v>1150</v>
      </c>
      <c r="U1958" s="217">
        <v>42235</v>
      </c>
      <c r="V1958" s="221" t="s">
        <v>186</v>
      </c>
      <c r="W1958" s="213">
        <f t="shared" si="742"/>
        <v>0</v>
      </c>
      <c r="X1958" s="213" t="str">
        <f t="shared" si="743"/>
        <v>Correcto</v>
      </c>
    </row>
    <row r="1959" spans="1:24" ht="18" customHeight="1" x14ac:dyDescent="0.25">
      <c r="A1959" s="214">
        <v>1950</v>
      </c>
      <c r="B1959" s="206" t="s">
        <v>6497</v>
      </c>
      <c r="C1959" s="207">
        <v>42229</v>
      </c>
      <c r="D1959" s="216">
        <v>5</v>
      </c>
      <c r="E1959" s="216" t="s">
        <v>93</v>
      </c>
      <c r="F1959" s="209" t="s">
        <v>1654</v>
      </c>
      <c r="G1959" s="209" t="s">
        <v>202</v>
      </c>
      <c r="H1959" s="217">
        <v>42233</v>
      </c>
      <c r="I1959" s="209" t="s">
        <v>187</v>
      </c>
      <c r="J1959" s="209" t="s">
        <v>103</v>
      </c>
      <c r="K1959" s="218" t="s">
        <v>6498</v>
      </c>
      <c r="L1959" s="217">
        <v>42233</v>
      </c>
      <c r="M1959" s="218" t="s">
        <v>1654</v>
      </c>
      <c r="N1959" s="219" t="s">
        <v>185</v>
      </c>
      <c r="O1959" s="217">
        <v>42233</v>
      </c>
      <c r="P1959" s="220">
        <f t="shared" si="744"/>
        <v>4</v>
      </c>
      <c r="Q1959" s="218" t="s">
        <v>6498</v>
      </c>
      <c r="R1959" s="216" t="s">
        <v>17</v>
      </c>
      <c r="S1959" s="218" t="s">
        <v>101</v>
      </c>
      <c r="T1959" s="218" t="s">
        <v>1150</v>
      </c>
      <c r="U1959" s="217">
        <v>42235</v>
      </c>
      <c r="V1959" s="221" t="s">
        <v>186</v>
      </c>
      <c r="W1959" s="213">
        <f t="shared" si="742"/>
        <v>0</v>
      </c>
      <c r="X1959" s="213" t="str">
        <f t="shared" si="743"/>
        <v>Correcto</v>
      </c>
    </row>
    <row r="1960" spans="1:24" ht="18" customHeight="1" x14ac:dyDescent="0.25">
      <c r="A1960" s="214">
        <v>1951</v>
      </c>
      <c r="B1960" s="206" t="s">
        <v>6499</v>
      </c>
      <c r="C1960" s="207">
        <v>42230</v>
      </c>
      <c r="D1960" s="216">
        <v>2</v>
      </c>
      <c r="E1960" s="216" t="s">
        <v>93</v>
      </c>
      <c r="F1960" s="209" t="s">
        <v>6500</v>
      </c>
      <c r="G1960" s="209" t="s">
        <v>202</v>
      </c>
      <c r="H1960" s="217">
        <v>42235</v>
      </c>
      <c r="I1960" s="209" t="s">
        <v>187</v>
      </c>
      <c r="J1960" s="209" t="s">
        <v>103</v>
      </c>
      <c r="K1960" s="218" t="s">
        <v>6501</v>
      </c>
      <c r="L1960" s="217">
        <v>42240</v>
      </c>
      <c r="M1960" s="218" t="s">
        <v>6502</v>
      </c>
      <c r="N1960" s="219" t="s">
        <v>2050</v>
      </c>
      <c r="O1960" s="217">
        <v>42242</v>
      </c>
      <c r="P1960" s="220">
        <f t="shared" si="744"/>
        <v>12</v>
      </c>
      <c r="Q1960" s="218" t="s">
        <v>6503</v>
      </c>
      <c r="R1960" s="216" t="s">
        <v>17</v>
      </c>
      <c r="S1960" s="218" t="s">
        <v>6504</v>
      </c>
      <c r="T1960" s="218" t="s">
        <v>6258</v>
      </c>
      <c r="U1960" s="217">
        <v>42242</v>
      </c>
      <c r="V1960" s="221" t="s">
        <v>6505</v>
      </c>
      <c r="W1960" s="213">
        <f t="shared" si="742"/>
        <v>0</v>
      </c>
      <c r="X1960" s="213" t="str">
        <f t="shared" si="743"/>
        <v>Correcto</v>
      </c>
    </row>
    <row r="1961" spans="1:24" ht="18" customHeight="1" x14ac:dyDescent="0.25">
      <c r="A1961" s="214">
        <v>1952</v>
      </c>
      <c r="B1961" s="206" t="s">
        <v>6506</v>
      </c>
      <c r="C1961" s="207">
        <v>42230</v>
      </c>
      <c r="D1961" s="216">
        <v>24</v>
      </c>
      <c r="E1961" s="216" t="s">
        <v>93</v>
      </c>
      <c r="F1961" s="209" t="s">
        <v>1654</v>
      </c>
      <c r="G1961" s="209" t="s">
        <v>202</v>
      </c>
      <c r="H1961" s="217">
        <v>42234</v>
      </c>
      <c r="I1961" s="209" t="s">
        <v>187</v>
      </c>
      <c r="J1961" s="209" t="s">
        <v>103</v>
      </c>
      <c r="K1961" s="218" t="s">
        <v>6507</v>
      </c>
      <c r="L1961" s="217">
        <v>42234</v>
      </c>
      <c r="M1961" s="218" t="s">
        <v>1654</v>
      </c>
      <c r="N1961" s="219" t="s">
        <v>188</v>
      </c>
      <c r="O1961" s="217">
        <v>42234</v>
      </c>
      <c r="P1961" s="220">
        <f t="shared" si="744"/>
        <v>4</v>
      </c>
      <c r="Q1961" s="218" t="s">
        <v>6507</v>
      </c>
      <c r="R1961" s="216" t="s">
        <v>17</v>
      </c>
      <c r="S1961" s="218" t="s">
        <v>6508</v>
      </c>
      <c r="T1961" s="218" t="s">
        <v>6509</v>
      </c>
      <c r="U1961" s="217">
        <v>42234</v>
      </c>
      <c r="V1961" s="221" t="s">
        <v>6131</v>
      </c>
      <c r="W1961" s="213">
        <f t="shared" si="742"/>
        <v>0</v>
      </c>
      <c r="X1961" s="213" t="str">
        <f t="shared" si="743"/>
        <v>Correcto</v>
      </c>
    </row>
    <row r="1962" spans="1:24" ht="18" customHeight="1" x14ac:dyDescent="0.25">
      <c r="A1962" s="214">
        <v>1953</v>
      </c>
      <c r="B1962" s="206" t="s">
        <v>6510</v>
      </c>
      <c r="C1962" s="207">
        <v>42230</v>
      </c>
      <c r="D1962" s="216">
        <v>2</v>
      </c>
      <c r="E1962" s="216" t="s">
        <v>93</v>
      </c>
      <c r="F1962" s="209" t="s">
        <v>1654</v>
      </c>
      <c r="G1962" s="209" t="s">
        <v>202</v>
      </c>
      <c r="H1962" s="217">
        <v>42234</v>
      </c>
      <c r="I1962" s="209" t="s">
        <v>187</v>
      </c>
      <c r="J1962" s="209" t="s">
        <v>103</v>
      </c>
      <c r="K1962" s="218" t="s">
        <v>6511</v>
      </c>
      <c r="L1962" s="217">
        <v>42234</v>
      </c>
      <c r="M1962" s="218" t="s">
        <v>1654</v>
      </c>
      <c r="N1962" s="219" t="s">
        <v>185</v>
      </c>
      <c r="O1962" s="217">
        <v>42234</v>
      </c>
      <c r="P1962" s="220">
        <f t="shared" si="744"/>
        <v>4</v>
      </c>
      <c r="Q1962" s="218" t="s">
        <v>6511</v>
      </c>
      <c r="R1962" s="216" t="s">
        <v>17</v>
      </c>
      <c r="S1962" s="218" t="s">
        <v>6512</v>
      </c>
      <c r="T1962" s="218" t="s">
        <v>6513</v>
      </c>
      <c r="U1962" s="217">
        <v>42235</v>
      </c>
      <c r="V1962" s="221" t="s">
        <v>186</v>
      </c>
      <c r="W1962" s="213">
        <f t="shared" si="742"/>
        <v>0</v>
      </c>
      <c r="X1962" s="213" t="str">
        <f t="shared" si="743"/>
        <v>Correcto</v>
      </c>
    </row>
    <row r="1963" spans="1:24" ht="18" customHeight="1" x14ac:dyDescent="0.25">
      <c r="A1963" s="214">
        <v>1954</v>
      </c>
      <c r="B1963" s="206" t="s">
        <v>6514</v>
      </c>
      <c r="C1963" s="207">
        <v>42230</v>
      </c>
      <c r="D1963" s="216">
        <v>2</v>
      </c>
      <c r="E1963" s="216" t="s">
        <v>93</v>
      </c>
      <c r="F1963" s="209" t="s">
        <v>1654</v>
      </c>
      <c r="G1963" s="209" t="s">
        <v>202</v>
      </c>
      <c r="H1963" s="217">
        <v>42234</v>
      </c>
      <c r="I1963" s="209" t="s">
        <v>187</v>
      </c>
      <c r="J1963" s="209" t="s">
        <v>103</v>
      </c>
      <c r="K1963" s="218" t="s">
        <v>6515</v>
      </c>
      <c r="L1963" s="217">
        <v>42234</v>
      </c>
      <c r="M1963" s="218" t="s">
        <v>1654</v>
      </c>
      <c r="N1963" s="219" t="s">
        <v>185</v>
      </c>
      <c r="O1963" s="217">
        <v>42234</v>
      </c>
      <c r="P1963" s="220">
        <f t="shared" si="744"/>
        <v>4</v>
      </c>
      <c r="Q1963" s="218" t="s">
        <v>6515</v>
      </c>
      <c r="R1963" s="216" t="s">
        <v>17</v>
      </c>
      <c r="S1963" s="218" t="s">
        <v>6516</v>
      </c>
      <c r="T1963" s="218" t="s">
        <v>6517</v>
      </c>
      <c r="U1963" s="217">
        <v>42234</v>
      </c>
      <c r="V1963" s="221" t="s">
        <v>6131</v>
      </c>
      <c r="W1963" s="213">
        <f t="shared" si="742"/>
        <v>0</v>
      </c>
      <c r="X1963" s="213" t="str">
        <f t="shared" si="743"/>
        <v>Correcto</v>
      </c>
    </row>
    <row r="1964" spans="1:24" ht="18" customHeight="1" x14ac:dyDescent="0.25">
      <c r="A1964" s="214">
        <v>1955</v>
      </c>
      <c r="B1964" s="206" t="s">
        <v>6518</v>
      </c>
      <c r="C1964" s="207">
        <v>42233</v>
      </c>
      <c r="D1964" s="216">
        <v>2</v>
      </c>
      <c r="E1964" s="216" t="s">
        <v>93</v>
      </c>
      <c r="F1964" s="209" t="s">
        <v>1654</v>
      </c>
      <c r="G1964" s="209" t="s">
        <v>202</v>
      </c>
      <c r="H1964" s="217">
        <v>42234</v>
      </c>
      <c r="I1964" s="209" t="s">
        <v>187</v>
      </c>
      <c r="J1964" s="209" t="s">
        <v>103</v>
      </c>
      <c r="K1964" s="218" t="s">
        <v>6519</v>
      </c>
      <c r="L1964" s="217">
        <v>42234</v>
      </c>
      <c r="M1964" s="218" t="s">
        <v>1654</v>
      </c>
      <c r="N1964" s="219" t="s">
        <v>185</v>
      </c>
      <c r="O1964" s="217">
        <v>42234</v>
      </c>
      <c r="P1964" s="220">
        <f t="shared" si="744"/>
        <v>1</v>
      </c>
      <c r="Q1964" s="218" t="s">
        <v>6519</v>
      </c>
      <c r="R1964" s="216" t="s">
        <v>17</v>
      </c>
      <c r="S1964" s="218" t="s">
        <v>101</v>
      </c>
      <c r="T1964" s="218" t="s">
        <v>6520</v>
      </c>
      <c r="U1964" s="217">
        <v>42235</v>
      </c>
      <c r="V1964" s="221" t="s">
        <v>186</v>
      </c>
      <c r="W1964" s="213">
        <f t="shared" si="742"/>
        <v>0</v>
      </c>
      <c r="X1964" s="213" t="str">
        <f t="shared" si="743"/>
        <v>Correcto</v>
      </c>
    </row>
    <row r="1965" spans="1:24" ht="18" customHeight="1" x14ac:dyDescent="0.25">
      <c r="A1965" s="214">
        <v>1956</v>
      </c>
      <c r="B1965" s="206" t="s">
        <v>6521</v>
      </c>
      <c r="C1965" s="207">
        <v>42233</v>
      </c>
      <c r="D1965" s="216">
        <v>2</v>
      </c>
      <c r="E1965" s="216" t="s">
        <v>93</v>
      </c>
      <c r="F1965" s="209" t="s">
        <v>1654</v>
      </c>
      <c r="G1965" s="209" t="s">
        <v>202</v>
      </c>
      <c r="H1965" s="217">
        <v>42234</v>
      </c>
      <c r="I1965" s="209" t="s">
        <v>187</v>
      </c>
      <c r="J1965" s="209" t="s">
        <v>103</v>
      </c>
      <c r="K1965" s="218" t="s">
        <v>6522</v>
      </c>
      <c r="L1965" s="217">
        <v>42234</v>
      </c>
      <c r="M1965" s="218" t="s">
        <v>1654</v>
      </c>
      <c r="N1965" s="219" t="s">
        <v>185</v>
      </c>
      <c r="O1965" s="217">
        <v>42234</v>
      </c>
      <c r="P1965" s="220">
        <f t="shared" si="744"/>
        <v>1</v>
      </c>
      <c r="Q1965" s="218" t="s">
        <v>6522</v>
      </c>
      <c r="R1965" s="216" t="s">
        <v>17</v>
      </c>
      <c r="S1965" s="218" t="s">
        <v>101</v>
      </c>
      <c r="T1965" s="218" t="s">
        <v>6365</v>
      </c>
      <c r="U1965" s="217">
        <v>42235</v>
      </c>
      <c r="V1965" s="221" t="s">
        <v>186</v>
      </c>
      <c r="W1965" s="213">
        <f t="shared" si="742"/>
        <v>0</v>
      </c>
      <c r="X1965" s="213" t="str">
        <f t="shared" si="743"/>
        <v>Correcto</v>
      </c>
    </row>
    <row r="1966" spans="1:24" ht="18" customHeight="1" x14ac:dyDescent="0.25">
      <c r="A1966" s="214">
        <v>1957</v>
      </c>
      <c r="B1966" s="206" t="s">
        <v>6523</v>
      </c>
      <c r="C1966" s="207">
        <v>42233</v>
      </c>
      <c r="D1966" s="216">
        <v>4</v>
      </c>
      <c r="E1966" s="216" t="s">
        <v>93</v>
      </c>
      <c r="F1966" s="209" t="s">
        <v>1654</v>
      </c>
      <c r="G1966" s="209" t="s">
        <v>202</v>
      </c>
      <c r="H1966" s="217">
        <v>42234</v>
      </c>
      <c r="I1966" s="209" t="s">
        <v>187</v>
      </c>
      <c r="J1966" s="209" t="s">
        <v>103</v>
      </c>
      <c r="K1966" s="218" t="s">
        <v>6524</v>
      </c>
      <c r="L1966" s="217">
        <v>42234</v>
      </c>
      <c r="M1966" s="218" t="s">
        <v>1654</v>
      </c>
      <c r="N1966" s="219" t="s">
        <v>185</v>
      </c>
      <c r="O1966" s="217">
        <v>42234</v>
      </c>
      <c r="P1966" s="220">
        <f t="shared" si="744"/>
        <v>1</v>
      </c>
      <c r="Q1966" s="218" t="s">
        <v>6524</v>
      </c>
      <c r="R1966" s="216" t="s">
        <v>17</v>
      </c>
      <c r="S1966" s="218" t="s">
        <v>101</v>
      </c>
      <c r="T1966" s="218" t="s">
        <v>6157</v>
      </c>
      <c r="U1966" s="217">
        <v>42235</v>
      </c>
      <c r="V1966" s="221" t="s">
        <v>186</v>
      </c>
      <c r="W1966" s="213">
        <f t="shared" si="742"/>
        <v>0</v>
      </c>
      <c r="X1966" s="213" t="str">
        <f t="shared" si="743"/>
        <v>Correcto</v>
      </c>
    </row>
    <row r="1967" spans="1:24" ht="18" customHeight="1" x14ac:dyDescent="0.25">
      <c r="A1967" s="214">
        <v>1958</v>
      </c>
      <c r="B1967" s="206" t="s">
        <v>6525</v>
      </c>
      <c r="C1967" s="207">
        <v>42233</v>
      </c>
      <c r="D1967" s="216">
        <v>2</v>
      </c>
      <c r="E1967" s="216" t="s">
        <v>93</v>
      </c>
      <c r="F1967" s="209" t="s">
        <v>1654</v>
      </c>
      <c r="G1967" s="209" t="s">
        <v>202</v>
      </c>
      <c r="H1967" s="217">
        <v>42234</v>
      </c>
      <c r="I1967" s="209" t="s">
        <v>187</v>
      </c>
      <c r="J1967" s="209" t="s">
        <v>103</v>
      </c>
      <c r="K1967" s="218" t="s">
        <v>6526</v>
      </c>
      <c r="L1967" s="217">
        <v>42234</v>
      </c>
      <c r="M1967" s="218" t="s">
        <v>1654</v>
      </c>
      <c r="N1967" s="219" t="s">
        <v>185</v>
      </c>
      <c r="O1967" s="217">
        <v>42234</v>
      </c>
      <c r="P1967" s="220">
        <f t="shared" si="744"/>
        <v>1</v>
      </c>
      <c r="Q1967" s="218" t="s">
        <v>6526</v>
      </c>
      <c r="R1967" s="216" t="s">
        <v>17</v>
      </c>
      <c r="S1967" s="218" t="s">
        <v>101</v>
      </c>
      <c r="T1967" s="218" t="s">
        <v>2428</v>
      </c>
      <c r="U1967" s="217">
        <v>42235</v>
      </c>
      <c r="V1967" s="221" t="s">
        <v>186</v>
      </c>
      <c r="W1967" s="213">
        <f t="shared" si="742"/>
        <v>0</v>
      </c>
      <c r="X1967" s="213" t="str">
        <f t="shared" si="743"/>
        <v>Correcto</v>
      </c>
    </row>
    <row r="1968" spans="1:24" ht="18" customHeight="1" x14ac:dyDescent="0.25">
      <c r="A1968" s="214">
        <v>1959</v>
      </c>
      <c r="B1968" s="206" t="s">
        <v>6527</v>
      </c>
      <c r="C1968" s="207">
        <v>42233</v>
      </c>
      <c r="D1968" s="216">
        <v>2</v>
      </c>
      <c r="E1968" s="216" t="s">
        <v>93</v>
      </c>
      <c r="F1968" s="209" t="s">
        <v>1654</v>
      </c>
      <c r="G1968" s="209" t="s">
        <v>202</v>
      </c>
      <c r="H1968" s="217">
        <v>42234</v>
      </c>
      <c r="I1968" s="209" t="s">
        <v>187</v>
      </c>
      <c r="J1968" s="209" t="s">
        <v>103</v>
      </c>
      <c r="K1968" s="218" t="s">
        <v>6528</v>
      </c>
      <c r="L1968" s="217">
        <v>42234</v>
      </c>
      <c r="M1968" s="218" t="s">
        <v>1654</v>
      </c>
      <c r="N1968" s="219" t="s">
        <v>185</v>
      </c>
      <c r="O1968" s="217">
        <v>42234</v>
      </c>
      <c r="P1968" s="220">
        <f t="shared" si="744"/>
        <v>1</v>
      </c>
      <c r="Q1968" s="218" t="s">
        <v>6528</v>
      </c>
      <c r="R1968" s="216" t="s">
        <v>17</v>
      </c>
      <c r="S1968" s="218" t="s">
        <v>101</v>
      </c>
      <c r="T1968" s="218" t="s">
        <v>6529</v>
      </c>
      <c r="U1968" s="217">
        <v>42235</v>
      </c>
      <c r="V1968" s="221" t="s">
        <v>186</v>
      </c>
      <c r="W1968" s="213">
        <f t="shared" si="742"/>
        <v>0</v>
      </c>
      <c r="X1968" s="213" t="str">
        <f t="shared" si="743"/>
        <v>Correcto</v>
      </c>
    </row>
    <row r="1969" spans="1:24" ht="18" customHeight="1" x14ac:dyDescent="0.25">
      <c r="A1969" s="214">
        <v>1960</v>
      </c>
      <c r="B1969" s="206" t="s">
        <v>6530</v>
      </c>
      <c r="C1969" s="207">
        <v>42233</v>
      </c>
      <c r="D1969" s="216">
        <v>2</v>
      </c>
      <c r="E1969" s="216" t="s">
        <v>93</v>
      </c>
      <c r="F1969" s="209" t="s">
        <v>1654</v>
      </c>
      <c r="G1969" s="209" t="s">
        <v>202</v>
      </c>
      <c r="H1969" s="217">
        <v>42234</v>
      </c>
      <c r="I1969" s="209" t="s">
        <v>187</v>
      </c>
      <c r="J1969" s="209" t="s">
        <v>103</v>
      </c>
      <c r="K1969" s="218" t="s">
        <v>6531</v>
      </c>
      <c r="L1969" s="217">
        <v>42234</v>
      </c>
      <c r="M1969" s="218" t="s">
        <v>1654</v>
      </c>
      <c r="N1969" s="219" t="s">
        <v>185</v>
      </c>
      <c r="O1969" s="217">
        <v>42234</v>
      </c>
      <c r="P1969" s="220">
        <f t="shared" si="744"/>
        <v>1</v>
      </c>
      <c r="Q1969" s="218" t="s">
        <v>6531</v>
      </c>
      <c r="R1969" s="216" t="s">
        <v>17</v>
      </c>
      <c r="S1969" s="218" t="s">
        <v>101</v>
      </c>
      <c r="T1969" s="218" t="s">
        <v>6157</v>
      </c>
      <c r="U1969" s="217">
        <v>42235</v>
      </c>
      <c r="V1969" s="221" t="s">
        <v>186</v>
      </c>
      <c r="W1969" s="213">
        <f t="shared" si="742"/>
        <v>0</v>
      </c>
      <c r="X1969" s="213" t="str">
        <f t="shared" si="743"/>
        <v>Correcto</v>
      </c>
    </row>
    <row r="1970" spans="1:24" ht="18" customHeight="1" x14ac:dyDescent="0.25">
      <c r="A1970" s="214">
        <v>1961</v>
      </c>
      <c r="B1970" s="206" t="s">
        <v>6532</v>
      </c>
      <c r="C1970" s="207">
        <v>42233</v>
      </c>
      <c r="D1970" s="216">
        <v>2</v>
      </c>
      <c r="E1970" s="216" t="s">
        <v>93</v>
      </c>
      <c r="F1970" s="209" t="s">
        <v>1654</v>
      </c>
      <c r="G1970" s="209" t="s">
        <v>202</v>
      </c>
      <c r="H1970" s="217">
        <v>42234</v>
      </c>
      <c r="I1970" s="209" t="s">
        <v>187</v>
      </c>
      <c r="J1970" s="209" t="s">
        <v>103</v>
      </c>
      <c r="K1970" s="218" t="s">
        <v>6533</v>
      </c>
      <c r="L1970" s="217">
        <v>42234</v>
      </c>
      <c r="M1970" s="218" t="s">
        <v>1654</v>
      </c>
      <c r="N1970" s="219" t="s">
        <v>185</v>
      </c>
      <c r="O1970" s="217">
        <v>42234</v>
      </c>
      <c r="P1970" s="220">
        <f t="shared" si="744"/>
        <v>1</v>
      </c>
      <c r="Q1970" s="218" t="s">
        <v>6533</v>
      </c>
      <c r="R1970" s="216" t="s">
        <v>17</v>
      </c>
      <c r="S1970" s="218" t="s">
        <v>101</v>
      </c>
      <c r="T1970" s="218" t="s">
        <v>953</v>
      </c>
      <c r="U1970" s="217">
        <v>42235</v>
      </c>
      <c r="V1970" s="221" t="s">
        <v>186</v>
      </c>
      <c r="W1970" s="213">
        <f t="shared" si="742"/>
        <v>0</v>
      </c>
      <c r="X1970" s="213" t="str">
        <f t="shared" si="743"/>
        <v>Correcto</v>
      </c>
    </row>
    <row r="1971" spans="1:24" ht="18" customHeight="1" x14ac:dyDescent="0.25">
      <c r="A1971" s="214">
        <v>1962</v>
      </c>
      <c r="B1971" s="206" t="s">
        <v>6534</v>
      </c>
      <c r="C1971" s="207">
        <v>42233</v>
      </c>
      <c r="D1971" s="216">
        <v>2</v>
      </c>
      <c r="E1971" s="216" t="s">
        <v>93</v>
      </c>
      <c r="F1971" s="209" t="s">
        <v>1654</v>
      </c>
      <c r="G1971" s="209" t="s">
        <v>202</v>
      </c>
      <c r="H1971" s="217">
        <v>42234</v>
      </c>
      <c r="I1971" s="209" t="s">
        <v>187</v>
      </c>
      <c r="J1971" s="209" t="s">
        <v>103</v>
      </c>
      <c r="K1971" s="218" t="s">
        <v>6535</v>
      </c>
      <c r="L1971" s="217">
        <v>42234</v>
      </c>
      <c r="M1971" s="218" t="s">
        <v>1654</v>
      </c>
      <c r="N1971" s="219" t="s">
        <v>185</v>
      </c>
      <c r="O1971" s="217">
        <v>42234</v>
      </c>
      <c r="P1971" s="220">
        <f t="shared" si="744"/>
        <v>1</v>
      </c>
      <c r="Q1971" s="218" t="s">
        <v>6535</v>
      </c>
      <c r="R1971" s="216" t="s">
        <v>17</v>
      </c>
      <c r="S1971" s="218" t="s">
        <v>101</v>
      </c>
      <c r="T1971" s="218" t="s">
        <v>953</v>
      </c>
      <c r="U1971" s="217">
        <v>42235</v>
      </c>
      <c r="V1971" s="221" t="s">
        <v>186</v>
      </c>
      <c r="W1971" s="213">
        <f t="shared" si="742"/>
        <v>0</v>
      </c>
      <c r="X1971" s="213" t="str">
        <f t="shared" si="743"/>
        <v>Correcto</v>
      </c>
    </row>
    <row r="1972" spans="1:24" ht="18" customHeight="1" x14ac:dyDescent="0.25">
      <c r="A1972" s="214">
        <v>1963</v>
      </c>
      <c r="B1972" s="206" t="s">
        <v>6536</v>
      </c>
      <c r="C1972" s="207">
        <v>42233</v>
      </c>
      <c r="D1972" s="216">
        <v>95</v>
      </c>
      <c r="E1972" s="216" t="s">
        <v>93</v>
      </c>
      <c r="F1972" s="209" t="s">
        <v>1654</v>
      </c>
      <c r="G1972" s="209" t="s">
        <v>202</v>
      </c>
      <c r="H1972" s="217">
        <v>42235</v>
      </c>
      <c r="I1972" s="209" t="s">
        <v>187</v>
      </c>
      <c r="J1972" s="209" t="s">
        <v>103</v>
      </c>
      <c r="K1972" s="218" t="s">
        <v>6537</v>
      </c>
      <c r="L1972" s="217">
        <v>42235</v>
      </c>
      <c r="M1972" s="218" t="s">
        <v>1654</v>
      </c>
      <c r="N1972" s="219" t="s">
        <v>188</v>
      </c>
      <c r="O1972" s="217">
        <v>42235</v>
      </c>
      <c r="P1972" s="220">
        <f t="shared" si="744"/>
        <v>2</v>
      </c>
      <c r="Q1972" s="218" t="s">
        <v>6537</v>
      </c>
      <c r="R1972" s="216" t="s">
        <v>17</v>
      </c>
      <c r="S1972" s="218" t="s">
        <v>6538</v>
      </c>
      <c r="T1972" s="218" t="s">
        <v>6539</v>
      </c>
      <c r="U1972" s="217">
        <v>42237</v>
      </c>
      <c r="V1972" s="221" t="s">
        <v>186</v>
      </c>
      <c r="W1972" s="213">
        <f t="shared" si="742"/>
        <v>0</v>
      </c>
      <c r="X1972" s="213" t="str">
        <f t="shared" si="743"/>
        <v>Correcto</v>
      </c>
    </row>
    <row r="1973" spans="1:24" ht="18" customHeight="1" x14ac:dyDescent="0.25">
      <c r="A1973" s="214">
        <v>1964</v>
      </c>
      <c r="B1973" s="206" t="s">
        <v>6540</v>
      </c>
      <c r="C1973" s="207">
        <v>42233</v>
      </c>
      <c r="D1973" s="216">
        <v>2</v>
      </c>
      <c r="E1973" s="216" t="s">
        <v>93</v>
      </c>
      <c r="F1973" s="209" t="s">
        <v>1654</v>
      </c>
      <c r="G1973" s="209" t="s">
        <v>202</v>
      </c>
      <c r="H1973" s="217">
        <v>42234</v>
      </c>
      <c r="I1973" s="209" t="s">
        <v>187</v>
      </c>
      <c r="J1973" s="209" t="s">
        <v>103</v>
      </c>
      <c r="K1973" s="218" t="s">
        <v>6541</v>
      </c>
      <c r="L1973" s="217">
        <v>42234</v>
      </c>
      <c r="M1973" s="218" t="s">
        <v>1654</v>
      </c>
      <c r="N1973" s="219" t="s">
        <v>185</v>
      </c>
      <c r="O1973" s="217">
        <v>42234</v>
      </c>
      <c r="P1973" s="220">
        <f t="shared" si="744"/>
        <v>1</v>
      </c>
      <c r="Q1973" s="218" t="s">
        <v>6541</v>
      </c>
      <c r="R1973" s="216" t="s">
        <v>17</v>
      </c>
      <c r="S1973" s="218" t="s">
        <v>6542</v>
      </c>
      <c r="T1973" s="218" t="s">
        <v>6543</v>
      </c>
      <c r="U1973" s="217">
        <v>42234</v>
      </c>
      <c r="V1973" s="221" t="s">
        <v>6131</v>
      </c>
      <c r="W1973" s="213">
        <f t="shared" si="742"/>
        <v>0</v>
      </c>
      <c r="X1973" s="213" t="str">
        <f t="shared" si="743"/>
        <v>Correcto</v>
      </c>
    </row>
    <row r="1974" spans="1:24" ht="18" customHeight="1" x14ac:dyDescent="0.25">
      <c r="A1974" s="214">
        <v>1965</v>
      </c>
      <c r="B1974" s="206" t="s">
        <v>6544</v>
      </c>
      <c r="C1974" s="207">
        <v>42233</v>
      </c>
      <c r="D1974" s="216">
        <v>70</v>
      </c>
      <c r="E1974" s="216" t="s">
        <v>93</v>
      </c>
      <c r="F1974" s="209" t="s">
        <v>1654</v>
      </c>
      <c r="G1974" s="209" t="s">
        <v>202</v>
      </c>
      <c r="H1974" s="217">
        <v>42234</v>
      </c>
      <c r="I1974" s="209" t="s">
        <v>187</v>
      </c>
      <c r="J1974" s="209" t="s">
        <v>103</v>
      </c>
      <c r="K1974" s="218" t="s">
        <v>6545</v>
      </c>
      <c r="L1974" s="217">
        <v>42234</v>
      </c>
      <c r="M1974" s="218" t="s">
        <v>1654</v>
      </c>
      <c r="N1974" s="219" t="s">
        <v>188</v>
      </c>
      <c r="O1974" s="217">
        <v>42234</v>
      </c>
      <c r="P1974" s="220">
        <f t="shared" si="744"/>
        <v>1</v>
      </c>
      <c r="Q1974" s="218" t="s">
        <v>6545</v>
      </c>
      <c r="R1974" s="216" t="s">
        <v>17</v>
      </c>
      <c r="S1974" s="218" t="s">
        <v>6546</v>
      </c>
      <c r="T1974" s="218" t="s">
        <v>6547</v>
      </c>
      <c r="U1974" s="217">
        <v>42240</v>
      </c>
      <c r="V1974" s="221" t="s">
        <v>186</v>
      </c>
      <c r="W1974" s="213">
        <f t="shared" ref="W1974:W2037" si="745">COUNTBLANK(C1974:V1974)</f>
        <v>0</v>
      </c>
      <c r="X1974" s="213" t="str">
        <f t="shared" ref="X1974:X2037" si="746">IF(W1974=0,"Correcto","Incorrecto")</f>
        <v>Correcto</v>
      </c>
    </row>
    <row r="1975" spans="1:24" ht="18" customHeight="1" x14ac:dyDescent="0.25">
      <c r="A1975" s="214">
        <v>1966</v>
      </c>
      <c r="B1975" s="206" t="s">
        <v>6548</v>
      </c>
      <c r="C1975" s="207">
        <v>42233</v>
      </c>
      <c r="D1975" s="216">
        <v>2</v>
      </c>
      <c r="E1975" s="216" t="s">
        <v>93</v>
      </c>
      <c r="F1975" s="209" t="s">
        <v>1201</v>
      </c>
      <c r="G1975" s="209" t="s">
        <v>202</v>
      </c>
      <c r="H1975" s="217">
        <v>42234</v>
      </c>
      <c r="I1975" s="209" t="s">
        <v>187</v>
      </c>
      <c r="J1975" s="209" t="s">
        <v>103</v>
      </c>
      <c r="K1975" s="218" t="s">
        <v>6549</v>
      </c>
      <c r="L1975" s="217">
        <v>42234</v>
      </c>
      <c r="M1975" s="218" t="s">
        <v>1654</v>
      </c>
      <c r="N1975" s="219" t="s">
        <v>185</v>
      </c>
      <c r="O1975" s="217">
        <v>42234</v>
      </c>
      <c r="P1975" s="220">
        <f t="shared" si="744"/>
        <v>1</v>
      </c>
      <c r="Q1975" s="218" t="s">
        <v>6549</v>
      </c>
      <c r="R1975" s="216" t="s">
        <v>17</v>
      </c>
      <c r="S1975" s="218" t="s">
        <v>101</v>
      </c>
      <c r="T1975" s="218" t="s">
        <v>6365</v>
      </c>
      <c r="U1975" s="217">
        <v>42235</v>
      </c>
      <c r="V1975" s="221" t="s">
        <v>186</v>
      </c>
      <c r="W1975" s="213">
        <f t="shared" si="745"/>
        <v>0</v>
      </c>
      <c r="X1975" s="213" t="str">
        <f t="shared" si="746"/>
        <v>Correcto</v>
      </c>
    </row>
    <row r="1976" spans="1:24" ht="18" customHeight="1" x14ac:dyDescent="0.25">
      <c r="A1976" s="214">
        <v>1967</v>
      </c>
      <c r="B1976" s="206" t="s">
        <v>6550</v>
      </c>
      <c r="C1976" s="207">
        <v>42233</v>
      </c>
      <c r="D1976" s="216">
        <v>2</v>
      </c>
      <c r="E1976" s="216" t="s">
        <v>93</v>
      </c>
      <c r="F1976" s="209" t="s">
        <v>1654</v>
      </c>
      <c r="G1976" s="209" t="s">
        <v>202</v>
      </c>
      <c r="H1976" s="217">
        <v>42235</v>
      </c>
      <c r="I1976" s="209" t="s">
        <v>187</v>
      </c>
      <c r="J1976" s="209" t="s">
        <v>103</v>
      </c>
      <c r="K1976" s="218" t="s">
        <v>6551</v>
      </c>
      <c r="L1976" s="217">
        <v>42235</v>
      </c>
      <c r="M1976" s="218" t="s">
        <v>1654</v>
      </c>
      <c r="N1976" s="219" t="s">
        <v>185</v>
      </c>
      <c r="O1976" s="217">
        <v>42235</v>
      </c>
      <c r="P1976" s="220">
        <f t="shared" si="744"/>
        <v>2</v>
      </c>
      <c r="Q1976" s="218" t="s">
        <v>6551</v>
      </c>
      <c r="R1976" s="216" t="s">
        <v>17</v>
      </c>
      <c r="S1976" s="218" t="s">
        <v>6552</v>
      </c>
      <c r="T1976" s="218" t="s">
        <v>6553</v>
      </c>
      <c r="U1976" s="217">
        <v>42242</v>
      </c>
      <c r="V1976" s="221" t="s">
        <v>186</v>
      </c>
      <c r="W1976" s="213">
        <f t="shared" si="745"/>
        <v>0</v>
      </c>
      <c r="X1976" s="213" t="str">
        <f t="shared" si="746"/>
        <v>Correcto</v>
      </c>
    </row>
    <row r="1977" spans="1:24" ht="18" customHeight="1" x14ac:dyDescent="0.25">
      <c r="A1977" s="214">
        <v>1968</v>
      </c>
      <c r="B1977" s="206" t="s">
        <v>6554</v>
      </c>
      <c r="C1977" s="207">
        <v>42233</v>
      </c>
      <c r="D1977" s="216">
        <v>2</v>
      </c>
      <c r="E1977" s="216" t="s">
        <v>93</v>
      </c>
      <c r="F1977" s="209" t="s">
        <v>1654</v>
      </c>
      <c r="G1977" s="209" t="s">
        <v>202</v>
      </c>
      <c r="H1977" s="217">
        <v>42235</v>
      </c>
      <c r="I1977" s="209" t="s">
        <v>187</v>
      </c>
      <c r="J1977" s="209" t="s">
        <v>103</v>
      </c>
      <c r="K1977" s="218" t="s">
        <v>6555</v>
      </c>
      <c r="L1977" s="217">
        <v>42235</v>
      </c>
      <c r="M1977" s="218" t="s">
        <v>1654</v>
      </c>
      <c r="N1977" s="219" t="s">
        <v>185</v>
      </c>
      <c r="O1977" s="217">
        <v>42235</v>
      </c>
      <c r="P1977" s="220">
        <f t="shared" ref="P1977:P2040" si="747">O1977-C1977</f>
        <v>2</v>
      </c>
      <c r="Q1977" s="218" t="s">
        <v>6555</v>
      </c>
      <c r="R1977" s="216" t="s">
        <v>17</v>
      </c>
      <c r="S1977" s="218" t="s">
        <v>6556</v>
      </c>
      <c r="T1977" s="218" t="s">
        <v>6557</v>
      </c>
      <c r="U1977" s="217">
        <v>42242</v>
      </c>
      <c r="V1977" s="221" t="s">
        <v>186</v>
      </c>
      <c r="W1977" s="213">
        <f t="shared" si="745"/>
        <v>0</v>
      </c>
      <c r="X1977" s="213" t="str">
        <f t="shared" si="746"/>
        <v>Correcto</v>
      </c>
    </row>
    <row r="1978" spans="1:24" ht="18" customHeight="1" x14ac:dyDescent="0.25">
      <c r="A1978" s="214">
        <v>1969</v>
      </c>
      <c r="B1978" s="206" t="s">
        <v>6558</v>
      </c>
      <c r="C1978" s="207">
        <v>42233</v>
      </c>
      <c r="D1978" s="216">
        <v>2</v>
      </c>
      <c r="E1978" s="216" t="s">
        <v>93</v>
      </c>
      <c r="F1978" s="209" t="s">
        <v>1654</v>
      </c>
      <c r="G1978" s="209" t="s">
        <v>202</v>
      </c>
      <c r="H1978" s="217">
        <v>42235</v>
      </c>
      <c r="I1978" s="209" t="s">
        <v>187</v>
      </c>
      <c r="J1978" s="209" t="s">
        <v>103</v>
      </c>
      <c r="K1978" s="218" t="s">
        <v>6559</v>
      </c>
      <c r="L1978" s="217">
        <v>42235</v>
      </c>
      <c r="M1978" s="218" t="s">
        <v>1654</v>
      </c>
      <c r="N1978" s="219" t="s">
        <v>185</v>
      </c>
      <c r="O1978" s="217">
        <v>42235</v>
      </c>
      <c r="P1978" s="220">
        <f t="shared" si="747"/>
        <v>2</v>
      </c>
      <c r="Q1978" s="218" t="s">
        <v>6559</v>
      </c>
      <c r="R1978" s="216" t="s">
        <v>605</v>
      </c>
      <c r="S1978" s="218" t="s">
        <v>101</v>
      </c>
      <c r="T1978" s="218" t="s">
        <v>6560</v>
      </c>
      <c r="U1978" s="217">
        <v>42235</v>
      </c>
      <c r="V1978" s="221" t="s">
        <v>186</v>
      </c>
      <c r="W1978" s="213">
        <f t="shared" si="745"/>
        <v>0</v>
      </c>
      <c r="X1978" s="213" t="str">
        <f t="shared" si="746"/>
        <v>Correcto</v>
      </c>
    </row>
    <row r="1979" spans="1:24" ht="18" customHeight="1" x14ac:dyDescent="0.25">
      <c r="A1979" s="214">
        <v>1970</v>
      </c>
      <c r="B1979" s="206" t="s">
        <v>6561</v>
      </c>
      <c r="C1979" s="207">
        <v>42233</v>
      </c>
      <c r="D1979" s="216">
        <v>2</v>
      </c>
      <c r="E1979" s="216" t="s">
        <v>93</v>
      </c>
      <c r="F1979" s="209" t="s">
        <v>1654</v>
      </c>
      <c r="G1979" s="209" t="s">
        <v>202</v>
      </c>
      <c r="H1979" s="217">
        <v>42235</v>
      </c>
      <c r="I1979" s="209" t="s">
        <v>187</v>
      </c>
      <c r="J1979" s="209" t="s">
        <v>103</v>
      </c>
      <c r="K1979" s="218" t="s">
        <v>6562</v>
      </c>
      <c r="L1979" s="217">
        <v>42235</v>
      </c>
      <c r="M1979" s="218" t="s">
        <v>1654</v>
      </c>
      <c r="N1979" s="219" t="s">
        <v>185</v>
      </c>
      <c r="O1979" s="217">
        <v>42235</v>
      </c>
      <c r="P1979" s="220">
        <f t="shared" si="747"/>
        <v>2</v>
      </c>
      <c r="Q1979" s="218" t="s">
        <v>6562</v>
      </c>
      <c r="R1979" s="216" t="s">
        <v>17</v>
      </c>
      <c r="S1979" s="218" t="s">
        <v>101</v>
      </c>
      <c r="T1979" s="218" t="s">
        <v>6379</v>
      </c>
      <c r="U1979" s="217">
        <v>42236</v>
      </c>
      <c r="V1979" s="221" t="s">
        <v>186</v>
      </c>
      <c r="W1979" s="213">
        <f t="shared" si="745"/>
        <v>0</v>
      </c>
      <c r="X1979" s="213" t="str">
        <f t="shared" si="746"/>
        <v>Correcto</v>
      </c>
    </row>
    <row r="1980" spans="1:24" ht="18" customHeight="1" x14ac:dyDescent="0.25">
      <c r="A1980" s="214">
        <v>1971</v>
      </c>
      <c r="B1980" s="206" t="s">
        <v>6563</v>
      </c>
      <c r="C1980" s="207">
        <v>42233</v>
      </c>
      <c r="D1980" s="216">
        <v>30</v>
      </c>
      <c r="E1980" s="216" t="s">
        <v>93</v>
      </c>
      <c r="F1980" s="209" t="s">
        <v>1654</v>
      </c>
      <c r="G1980" s="209" t="s">
        <v>202</v>
      </c>
      <c r="H1980" s="217">
        <v>42235</v>
      </c>
      <c r="I1980" s="209" t="s">
        <v>187</v>
      </c>
      <c r="J1980" s="209" t="s">
        <v>103</v>
      </c>
      <c r="K1980" s="218" t="s">
        <v>6564</v>
      </c>
      <c r="L1980" s="217">
        <v>42235</v>
      </c>
      <c r="M1980" s="218" t="s">
        <v>1654</v>
      </c>
      <c r="N1980" s="219" t="s">
        <v>188</v>
      </c>
      <c r="O1980" s="217">
        <v>42235</v>
      </c>
      <c r="P1980" s="220">
        <f t="shared" si="747"/>
        <v>2</v>
      </c>
      <c r="Q1980" s="218" t="s">
        <v>6564</v>
      </c>
      <c r="R1980" s="216" t="s">
        <v>17</v>
      </c>
      <c r="S1980" s="218" t="s">
        <v>6565</v>
      </c>
      <c r="T1980" s="218" t="s">
        <v>6566</v>
      </c>
      <c r="U1980" s="217">
        <v>42236</v>
      </c>
      <c r="V1980" s="221" t="s">
        <v>186</v>
      </c>
      <c r="W1980" s="213">
        <f t="shared" si="745"/>
        <v>0</v>
      </c>
      <c r="X1980" s="213" t="str">
        <f t="shared" si="746"/>
        <v>Correcto</v>
      </c>
    </row>
    <row r="1981" spans="1:24" ht="18" customHeight="1" x14ac:dyDescent="0.25">
      <c r="A1981" s="214">
        <v>1972</v>
      </c>
      <c r="B1981" s="206" t="s">
        <v>6567</v>
      </c>
      <c r="C1981" s="207">
        <v>42233</v>
      </c>
      <c r="D1981" s="216">
        <v>2</v>
      </c>
      <c r="E1981" s="216" t="s">
        <v>93</v>
      </c>
      <c r="F1981" s="209" t="s">
        <v>1654</v>
      </c>
      <c r="G1981" s="209" t="s">
        <v>202</v>
      </c>
      <c r="H1981" s="217">
        <v>42235</v>
      </c>
      <c r="I1981" s="209" t="s">
        <v>187</v>
      </c>
      <c r="J1981" s="209" t="s">
        <v>103</v>
      </c>
      <c r="K1981" s="218" t="s">
        <v>6568</v>
      </c>
      <c r="L1981" s="217">
        <v>42235</v>
      </c>
      <c r="M1981" s="218" t="s">
        <v>1654</v>
      </c>
      <c r="N1981" s="219" t="s">
        <v>185</v>
      </c>
      <c r="O1981" s="217">
        <v>42235</v>
      </c>
      <c r="P1981" s="220">
        <f t="shared" si="747"/>
        <v>2</v>
      </c>
      <c r="Q1981" s="218" t="s">
        <v>6568</v>
      </c>
      <c r="R1981" s="216" t="s">
        <v>17</v>
      </c>
      <c r="S1981" s="218" t="s">
        <v>6569</v>
      </c>
      <c r="T1981" s="218" t="s">
        <v>6570</v>
      </c>
      <c r="U1981" s="217">
        <v>42233</v>
      </c>
      <c r="V1981" s="221" t="s">
        <v>186</v>
      </c>
      <c r="W1981" s="213">
        <f t="shared" si="745"/>
        <v>0</v>
      </c>
      <c r="X1981" s="213" t="str">
        <f t="shared" si="746"/>
        <v>Correcto</v>
      </c>
    </row>
    <row r="1982" spans="1:24" ht="18" customHeight="1" x14ac:dyDescent="0.25">
      <c r="A1982" s="214">
        <v>1973</v>
      </c>
      <c r="B1982" s="206" t="s">
        <v>6571</v>
      </c>
      <c r="C1982" s="207">
        <v>42233</v>
      </c>
      <c r="D1982" s="216">
        <v>2</v>
      </c>
      <c r="E1982" s="216" t="s">
        <v>93</v>
      </c>
      <c r="F1982" s="209" t="s">
        <v>1654</v>
      </c>
      <c r="G1982" s="209" t="s">
        <v>202</v>
      </c>
      <c r="H1982" s="217">
        <v>42235</v>
      </c>
      <c r="I1982" s="209" t="s">
        <v>187</v>
      </c>
      <c r="J1982" s="209" t="s">
        <v>103</v>
      </c>
      <c r="K1982" s="218" t="s">
        <v>6572</v>
      </c>
      <c r="L1982" s="217">
        <v>42235</v>
      </c>
      <c r="M1982" s="218" t="s">
        <v>1654</v>
      </c>
      <c r="N1982" s="219" t="s">
        <v>185</v>
      </c>
      <c r="O1982" s="217">
        <v>42235</v>
      </c>
      <c r="P1982" s="220">
        <f t="shared" si="747"/>
        <v>2</v>
      </c>
      <c r="Q1982" s="218" t="s">
        <v>6572</v>
      </c>
      <c r="R1982" s="216" t="s">
        <v>17</v>
      </c>
      <c r="S1982" s="218" t="s">
        <v>101</v>
      </c>
      <c r="T1982" s="218" t="s">
        <v>1012</v>
      </c>
      <c r="U1982" s="217">
        <v>42236</v>
      </c>
      <c r="V1982" s="221" t="s">
        <v>186</v>
      </c>
      <c r="W1982" s="213">
        <f t="shared" si="745"/>
        <v>0</v>
      </c>
      <c r="X1982" s="213" t="str">
        <f t="shared" si="746"/>
        <v>Correcto</v>
      </c>
    </row>
    <row r="1983" spans="1:24" ht="18" customHeight="1" x14ac:dyDescent="0.25">
      <c r="A1983" s="214">
        <v>1974</v>
      </c>
      <c r="B1983" s="206" t="s">
        <v>6573</v>
      </c>
      <c r="C1983" s="207">
        <v>42233</v>
      </c>
      <c r="D1983" s="216">
        <v>2</v>
      </c>
      <c r="E1983" s="216" t="s">
        <v>93</v>
      </c>
      <c r="F1983" s="209" t="s">
        <v>1654</v>
      </c>
      <c r="G1983" s="209" t="s">
        <v>202</v>
      </c>
      <c r="H1983" s="217">
        <v>42235</v>
      </c>
      <c r="I1983" s="209" t="s">
        <v>187</v>
      </c>
      <c r="J1983" s="209" t="s">
        <v>103</v>
      </c>
      <c r="K1983" s="218" t="s">
        <v>6574</v>
      </c>
      <c r="L1983" s="217">
        <v>42235</v>
      </c>
      <c r="M1983" s="218" t="s">
        <v>1654</v>
      </c>
      <c r="N1983" s="219" t="s">
        <v>185</v>
      </c>
      <c r="O1983" s="217">
        <v>42235</v>
      </c>
      <c r="P1983" s="220">
        <f t="shared" si="747"/>
        <v>2</v>
      </c>
      <c r="Q1983" s="218" t="s">
        <v>6574</v>
      </c>
      <c r="R1983" s="216" t="s">
        <v>17</v>
      </c>
      <c r="S1983" s="218" t="s">
        <v>101</v>
      </c>
      <c r="T1983" s="218" t="s">
        <v>6520</v>
      </c>
      <c r="U1983" s="217">
        <v>42236</v>
      </c>
      <c r="V1983" s="221" t="s">
        <v>186</v>
      </c>
      <c r="W1983" s="213">
        <f t="shared" si="745"/>
        <v>0</v>
      </c>
      <c r="X1983" s="213" t="str">
        <f t="shared" si="746"/>
        <v>Correcto</v>
      </c>
    </row>
    <row r="1984" spans="1:24" ht="18" customHeight="1" x14ac:dyDescent="0.25">
      <c r="A1984" s="214">
        <v>1975</v>
      </c>
      <c r="B1984" s="206" t="s">
        <v>6575</v>
      </c>
      <c r="C1984" s="207">
        <v>42233</v>
      </c>
      <c r="D1984" s="216">
        <v>2</v>
      </c>
      <c r="E1984" s="216" t="s">
        <v>93</v>
      </c>
      <c r="F1984" s="209" t="s">
        <v>1654</v>
      </c>
      <c r="G1984" s="209" t="s">
        <v>202</v>
      </c>
      <c r="H1984" s="217">
        <v>42235</v>
      </c>
      <c r="I1984" s="209" t="s">
        <v>187</v>
      </c>
      <c r="J1984" s="209" t="s">
        <v>103</v>
      </c>
      <c r="K1984" s="218" t="s">
        <v>6576</v>
      </c>
      <c r="L1984" s="217">
        <v>42235</v>
      </c>
      <c r="M1984" s="218" t="s">
        <v>1654</v>
      </c>
      <c r="N1984" s="219" t="s">
        <v>185</v>
      </c>
      <c r="O1984" s="217">
        <v>42235</v>
      </c>
      <c r="P1984" s="220">
        <f t="shared" si="747"/>
        <v>2</v>
      </c>
      <c r="Q1984" s="218" t="s">
        <v>6576</v>
      </c>
      <c r="R1984" s="216" t="s">
        <v>17</v>
      </c>
      <c r="S1984" s="218" t="s">
        <v>101</v>
      </c>
      <c r="T1984" s="218" t="s">
        <v>2314</v>
      </c>
      <c r="U1984" s="217">
        <v>42236</v>
      </c>
      <c r="V1984" s="221" t="s">
        <v>186</v>
      </c>
      <c r="W1984" s="213">
        <f t="shared" si="745"/>
        <v>0</v>
      </c>
      <c r="X1984" s="213" t="str">
        <f t="shared" si="746"/>
        <v>Correcto</v>
      </c>
    </row>
    <row r="1985" spans="1:24" ht="18" customHeight="1" x14ac:dyDescent="0.25">
      <c r="A1985" s="214">
        <v>1976</v>
      </c>
      <c r="B1985" s="206" t="s">
        <v>6577</v>
      </c>
      <c r="C1985" s="207">
        <v>42233</v>
      </c>
      <c r="D1985" s="216">
        <v>2</v>
      </c>
      <c r="E1985" s="216" t="s">
        <v>93</v>
      </c>
      <c r="F1985" s="209" t="s">
        <v>1654</v>
      </c>
      <c r="G1985" s="209" t="s">
        <v>202</v>
      </c>
      <c r="H1985" s="217">
        <v>42235</v>
      </c>
      <c r="I1985" s="209" t="s">
        <v>187</v>
      </c>
      <c r="J1985" s="209" t="s">
        <v>103</v>
      </c>
      <c r="K1985" s="218" t="s">
        <v>6578</v>
      </c>
      <c r="L1985" s="217">
        <v>42235</v>
      </c>
      <c r="M1985" s="218" t="s">
        <v>1654</v>
      </c>
      <c r="N1985" s="219" t="s">
        <v>185</v>
      </c>
      <c r="O1985" s="217">
        <v>42235</v>
      </c>
      <c r="P1985" s="220">
        <f t="shared" si="747"/>
        <v>2</v>
      </c>
      <c r="Q1985" s="218" t="s">
        <v>6578</v>
      </c>
      <c r="R1985" s="216" t="s">
        <v>17</v>
      </c>
      <c r="S1985" s="218" t="s">
        <v>101</v>
      </c>
      <c r="T1985" s="218" t="s">
        <v>2314</v>
      </c>
      <c r="U1985" s="217">
        <v>42236</v>
      </c>
      <c r="V1985" s="221" t="s">
        <v>186</v>
      </c>
      <c r="W1985" s="213">
        <f t="shared" si="745"/>
        <v>0</v>
      </c>
      <c r="X1985" s="213" t="str">
        <f t="shared" si="746"/>
        <v>Correcto</v>
      </c>
    </row>
    <row r="1986" spans="1:24" ht="18" customHeight="1" x14ac:dyDescent="0.25">
      <c r="A1986" s="214">
        <v>1977</v>
      </c>
      <c r="B1986" s="206" t="s">
        <v>6579</v>
      </c>
      <c r="C1986" s="207">
        <v>42233</v>
      </c>
      <c r="D1986" s="216">
        <v>2</v>
      </c>
      <c r="E1986" s="216" t="s">
        <v>93</v>
      </c>
      <c r="F1986" s="209" t="s">
        <v>1654</v>
      </c>
      <c r="G1986" s="209" t="s">
        <v>202</v>
      </c>
      <c r="H1986" s="217">
        <v>42235</v>
      </c>
      <c r="I1986" s="209" t="s">
        <v>187</v>
      </c>
      <c r="J1986" s="209" t="s">
        <v>103</v>
      </c>
      <c r="K1986" s="218" t="s">
        <v>6580</v>
      </c>
      <c r="L1986" s="217">
        <v>42235</v>
      </c>
      <c r="M1986" s="218" t="s">
        <v>1654</v>
      </c>
      <c r="N1986" s="219" t="s">
        <v>185</v>
      </c>
      <c r="O1986" s="217">
        <v>42235</v>
      </c>
      <c r="P1986" s="220">
        <f t="shared" si="747"/>
        <v>2</v>
      </c>
      <c r="Q1986" s="218" t="s">
        <v>6580</v>
      </c>
      <c r="R1986" s="216" t="s">
        <v>17</v>
      </c>
      <c r="S1986" s="218" t="s">
        <v>101</v>
      </c>
      <c r="T1986" s="218" t="s">
        <v>953</v>
      </c>
      <c r="U1986" s="217">
        <v>42236</v>
      </c>
      <c r="V1986" s="221" t="s">
        <v>186</v>
      </c>
      <c r="W1986" s="213">
        <f t="shared" si="745"/>
        <v>0</v>
      </c>
      <c r="X1986" s="213" t="str">
        <f t="shared" si="746"/>
        <v>Correcto</v>
      </c>
    </row>
    <row r="1987" spans="1:24" ht="18" customHeight="1" x14ac:dyDescent="0.25">
      <c r="A1987" s="214">
        <v>1978</v>
      </c>
      <c r="B1987" s="206" t="s">
        <v>6581</v>
      </c>
      <c r="C1987" s="207">
        <v>42233</v>
      </c>
      <c r="D1987" s="216">
        <v>2</v>
      </c>
      <c r="E1987" s="216" t="s">
        <v>93</v>
      </c>
      <c r="F1987" s="209" t="s">
        <v>1654</v>
      </c>
      <c r="G1987" s="209" t="s">
        <v>202</v>
      </c>
      <c r="H1987" s="217">
        <v>42235</v>
      </c>
      <c r="I1987" s="209" t="s">
        <v>187</v>
      </c>
      <c r="J1987" s="209" t="s">
        <v>103</v>
      </c>
      <c r="K1987" s="218" t="s">
        <v>6582</v>
      </c>
      <c r="L1987" s="217">
        <v>42235</v>
      </c>
      <c r="M1987" s="218" t="s">
        <v>1654</v>
      </c>
      <c r="N1987" s="219" t="s">
        <v>185</v>
      </c>
      <c r="O1987" s="217">
        <v>42235</v>
      </c>
      <c r="P1987" s="220">
        <f t="shared" si="747"/>
        <v>2</v>
      </c>
      <c r="Q1987" s="218" t="s">
        <v>6582</v>
      </c>
      <c r="R1987" s="216" t="s">
        <v>17</v>
      </c>
      <c r="S1987" s="218" t="s">
        <v>101</v>
      </c>
      <c r="T1987" s="218" t="s">
        <v>996</v>
      </c>
      <c r="U1987" s="217">
        <v>42236</v>
      </c>
      <c r="V1987" s="221" t="s">
        <v>186</v>
      </c>
      <c r="W1987" s="213">
        <f t="shared" si="745"/>
        <v>0</v>
      </c>
      <c r="X1987" s="213" t="str">
        <f t="shared" si="746"/>
        <v>Correcto</v>
      </c>
    </row>
    <row r="1988" spans="1:24" ht="18" customHeight="1" x14ac:dyDescent="0.25">
      <c r="A1988" s="214">
        <v>1979</v>
      </c>
      <c r="B1988" s="206" t="s">
        <v>6583</v>
      </c>
      <c r="C1988" s="207">
        <v>42234</v>
      </c>
      <c r="D1988" s="216">
        <v>2</v>
      </c>
      <c r="E1988" s="216" t="s">
        <v>93</v>
      </c>
      <c r="F1988" s="209" t="s">
        <v>1654</v>
      </c>
      <c r="G1988" s="209" t="s">
        <v>202</v>
      </c>
      <c r="H1988" s="217">
        <v>42235</v>
      </c>
      <c r="I1988" s="209" t="s">
        <v>187</v>
      </c>
      <c r="J1988" s="209" t="s">
        <v>103</v>
      </c>
      <c r="K1988" s="218" t="s">
        <v>6584</v>
      </c>
      <c r="L1988" s="217">
        <v>42235</v>
      </c>
      <c r="M1988" s="218" t="s">
        <v>1654</v>
      </c>
      <c r="N1988" s="219" t="s">
        <v>185</v>
      </c>
      <c r="O1988" s="217">
        <v>42235</v>
      </c>
      <c r="P1988" s="220">
        <f t="shared" si="747"/>
        <v>1</v>
      </c>
      <c r="Q1988" s="218" t="s">
        <v>6584</v>
      </c>
      <c r="R1988" s="216" t="s">
        <v>17</v>
      </c>
      <c r="S1988" s="218" t="s">
        <v>6585</v>
      </c>
      <c r="T1988" s="218" t="s">
        <v>6586</v>
      </c>
      <c r="U1988" s="217">
        <v>42241</v>
      </c>
      <c r="V1988" s="221" t="s">
        <v>186</v>
      </c>
      <c r="W1988" s="213">
        <f t="shared" si="745"/>
        <v>0</v>
      </c>
      <c r="X1988" s="213" t="str">
        <f t="shared" si="746"/>
        <v>Correcto</v>
      </c>
    </row>
    <row r="1989" spans="1:24" ht="18" customHeight="1" x14ac:dyDescent="0.25">
      <c r="A1989" s="214">
        <v>1980</v>
      </c>
      <c r="B1989" s="206" t="s">
        <v>6587</v>
      </c>
      <c r="C1989" s="207">
        <v>42234</v>
      </c>
      <c r="D1989" s="216">
        <v>2</v>
      </c>
      <c r="E1989" s="216" t="s">
        <v>93</v>
      </c>
      <c r="F1989" s="209" t="s">
        <v>1654</v>
      </c>
      <c r="G1989" s="209" t="s">
        <v>202</v>
      </c>
      <c r="H1989" s="217">
        <v>42235</v>
      </c>
      <c r="I1989" s="209" t="s">
        <v>187</v>
      </c>
      <c r="J1989" s="209" t="s">
        <v>103</v>
      </c>
      <c r="K1989" s="218" t="s">
        <v>6588</v>
      </c>
      <c r="L1989" s="217">
        <v>42235</v>
      </c>
      <c r="M1989" s="218" t="s">
        <v>1654</v>
      </c>
      <c r="N1989" s="219" t="s">
        <v>185</v>
      </c>
      <c r="O1989" s="217">
        <v>42235</v>
      </c>
      <c r="P1989" s="220">
        <f t="shared" si="747"/>
        <v>1</v>
      </c>
      <c r="Q1989" s="218" t="s">
        <v>6588</v>
      </c>
      <c r="R1989" s="216" t="s">
        <v>17</v>
      </c>
      <c r="S1989" s="218" t="s">
        <v>6589</v>
      </c>
      <c r="T1989" s="218" t="s">
        <v>6590</v>
      </c>
      <c r="U1989" s="217">
        <v>42237</v>
      </c>
      <c r="V1989" s="221" t="s">
        <v>186</v>
      </c>
      <c r="W1989" s="213">
        <f t="shared" si="745"/>
        <v>0</v>
      </c>
      <c r="X1989" s="213" t="str">
        <f t="shared" si="746"/>
        <v>Correcto</v>
      </c>
    </row>
    <row r="1990" spans="1:24" ht="18" customHeight="1" x14ac:dyDescent="0.25">
      <c r="A1990" s="214">
        <v>1981</v>
      </c>
      <c r="B1990" s="206" t="s">
        <v>6591</v>
      </c>
      <c r="C1990" s="207">
        <v>42234</v>
      </c>
      <c r="D1990" s="216">
        <v>2</v>
      </c>
      <c r="E1990" s="216" t="s">
        <v>93</v>
      </c>
      <c r="F1990" s="209" t="s">
        <v>1654</v>
      </c>
      <c r="G1990" s="209" t="s">
        <v>202</v>
      </c>
      <c r="H1990" s="217">
        <v>42235</v>
      </c>
      <c r="I1990" s="209" t="s">
        <v>187</v>
      </c>
      <c r="J1990" s="209" t="s">
        <v>103</v>
      </c>
      <c r="K1990" s="218" t="s">
        <v>6592</v>
      </c>
      <c r="L1990" s="217">
        <v>42235</v>
      </c>
      <c r="M1990" s="218" t="s">
        <v>1654</v>
      </c>
      <c r="N1990" s="219" t="s">
        <v>185</v>
      </c>
      <c r="O1990" s="217">
        <v>42235</v>
      </c>
      <c r="P1990" s="220">
        <f t="shared" si="747"/>
        <v>1</v>
      </c>
      <c r="Q1990" s="218" t="s">
        <v>6592</v>
      </c>
      <c r="R1990" s="216" t="s">
        <v>17</v>
      </c>
      <c r="S1990" s="218" t="s">
        <v>101</v>
      </c>
      <c r="T1990" s="218" t="s">
        <v>6593</v>
      </c>
      <c r="U1990" s="217">
        <v>42236</v>
      </c>
      <c r="V1990" s="221" t="s">
        <v>186</v>
      </c>
      <c r="W1990" s="213">
        <f t="shared" si="745"/>
        <v>0</v>
      </c>
      <c r="X1990" s="213" t="str">
        <f t="shared" si="746"/>
        <v>Correcto</v>
      </c>
    </row>
    <row r="1991" spans="1:24" ht="18" customHeight="1" x14ac:dyDescent="0.25">
      <c r="A1991" s="214">
        <v>1982</v>
      </c>
      <c r="B1991" s="206" t="s">
        <v>6594</v>
      </c>
      <c r="C1991" s="207">
        <v>42234</v>
      </c>
      <c r="D1991" s="216">
        <v>3</v>
      </c>
      <c r="E1991" s="216" t="s">
        <v>93</v>
      </c>
      <c r="F1991" s="209" t="s">
        <v>1654</v>
      </c>
      <c r="G1991" s="209" t="s">
        <v>202</v>
      </c>
      <c r="H1991" s="217">
        <v>42235</v>
      </c>
      <c r="I1991" s="209" t="s">
        <v>187</v>
      </c>
      <c r="J1991" s="209" t="s">
        <v>103</v>
      </c>
      <c r="K1991" s="218" t="s">
        <v>6595</v>
      </c>
      <c r="L1991" s="217">
        <v>42235</v>
      </c>
      <c r="M1991" s="218" t="s">
        <v>1654</v>
      </c>
      <c r="N1991" s="219" t="s">
        <v>185</v>
      </c>
      <c r="O1991" s="217">
        <v>42235</v>
      </c>
      <c r="P1991" s="220">
        <f t="shared" si="747"/>
        <v>1</v>
      </c>
      <c r="Q1991" s="218" t="s">
        <v>6595</v>
      </c>
      <c r="R1991" s="216" t="s">
        <v>17</v>
      </c>
      <c r="S1991" s="218" t="s">
        <v>101</v>
      </c>
      <c r="T1991" s="218" t="s">
        <v>6157</v>
      </c>
      <c r="U1991" s="217">
        <v>42236</v>
      </c>
      <c r="V1991" s="221" t="s">
        <v>186</v>
      </c>
      <c r="W1991" s="213">
        <f t="shared" si="745"/>
        <v>0</v>
      </c>
      <c r="X1991" s="213" t="str">
        <f t="shared" si="746"/>
        <v>Correcto</v>
      </c>
    </row>
    <row r="1992" spans="1:24" ht="18" customHeight="1" x14ac:dyDescent="0.25">
      <c r="A1992" s="214">
        <v>1983</v>
      </c>
      <c r="B1992" s="206" t="s">
        <v>6596</v>
      </c>
      <c r="C1992" s="207">
        <v>42235</v>
      </c>
      <c r="D1992" s="216">
        <v>2</v>
      </c>
      <c r="E1992" s="216" t="s">
        <v>93</v>
      </c>
      <c r="F1992" s="209" t="s">
        <v>1654</v>
      </c>
      <c r="G1992" s="209" t="s">
        <v>202</v>
      </c>
      <c r="H1992" s="217">
        <v>42235</v>
      </c>
      <c r="I1992" s="209" t="s">
        <v>187</v>
      </c>
      <c r="J1992" s="209" t="s">
        <v>103</v>
      </c>
      <c r="K1992" s="218" t="s">
        <v>6597</v>
      </c>
      <c r="L1992" s="217">
        <v>42235</v>
      </c>
      <c r="M1992" s="218" t="s">
        <v>1654</v>
      </c>
      <c r="N1992" s="219" t="s">
        <v>185</v>
      </c>
      <c r="O1992" s="217">
        <v>42235</v>
      </c>
      <c r="P1992" s="220">
        <f t="shared" si="747"/>
        <v>0</v>
      </c>
      <c r="Q1992" s="218" t="s">
        <v>6597</v>
      </c>
      <c r="R1992" s="216" t="s">
        <v>2438</v>
      </c>
      <c r="S1992" s="218" t="s">
        <v>101</v>
      </c>
      <c r="T1992" s="218" t="s">
        <v>6598</v>
      </c>
      <c r="U1992" s="217">
        <v>42236</v>
      </c>
      <c r="V1992" s="221" t="s">
        <v>186</v>
      </c>
      <c r="W1992" s="213">
        <f t="shared" si="745"/>
        <v>0</v>
      </c>
      <c r="X1992" s="213" t="str">
        <f t="shared" si="746"/>
        <v>Correcto</v>
      </c>
    </row>
    <row r="1993" spans="1:24" ht="18" customHeight="1" x14ac:dyDescent="0.25">
      <c r="A1993" s="214">
        <v>1984</v>
      </c>
      <c r="B1993" s="206" t="s">
        <v>6599</v>
      </c>
      <c r="C1993" s="207">
        <v>42235</v>
      </c>
      <c r="D1993" s="216">
        <v>2</v>
      </c>
      <c r="E1993" s="216" t="s">
        <v>93</v>
      </c>
      <c r="F1993" s="209" t="s">
        <v>1654</v>
      </c>
      <c r="G1993" s="209" t="s">
        <v>202</v>
      </c>
      <c r="H1993" s="217">
        <v>42235</v>
      </c>
      <c r="I1993" s="209" t="s">
        <v>187</v>
      </c>
      <c r="J1993" s="209" t="s">
        <v>103</v>
      </c>
      <c r="K1993" s="218" t="s">
        <v>6600</v>
      </c>
      <c r="L1993" s="217">
        <v>42235</v>
      </c>
      <c r="M1993" s="218" t="s">
        <v>1654</v>
      </c>
      <c r="N1993" s="219" t="s">
        <v>185</v>
      </c>
      <c r="O1993" s="217">
        <v>42235</v>
      </c>
      <c r="P1993" s="220">
        <f t="shared" si="747"/>
        <v>0</v>
      </c>
      <c r="Q1993" s="218" t="s">
        <v>6600</v>
      </c>
      <c r="R1993" s="216" t="s">
        <v>17</v>
      </c>
      <c r="S1993" s="218" t="s">
        <v>6601</v>
      </c>
      <c r="T1993" s="218" t="s">
        <v>6553</v>
      </c>
      <c r="U1993" s="217">
        <v>42237</v>
      </c>
      <c r="V1993" s="221" t="s">
        <v>186</v>
      </c>
      <c r="W1993" s="213">
        <f t="shared" si="745"/>
        <v>0</v>
      </c>
      <c r="X1993" s="213" t="str">
        <f t="shared" si="746"/>
        <v>Correcto</v>
      </c>
    </row>
    <row r="1994" spans="1:24" ht="18" customHeight="1" x14ac:dyDescent="0.25">
      <c r="A1994" s="214">
        <v>1985</v>
      </c>
      <c r="B1994" s="206" t="s">
        <v>6602</v>
      </c>
      <c r="C1994" s="207">
        <v>42235</v>
      </c>
      <c r="D1994" s="216">
        <v>3</v>
      </c>
      <c r="E1994" s="216" t="s">
        <v>93</v>
      </c>
      <c r="F1994" s="209" t="s">
        <v>1654</v>
      </c>
      <c r="G1994" s="209" t="s">
        <v>202</v>
      </c>
      <c r="H1994" s="217">
        <v>42235</v>
      </c>
      <c r="I1994" s="209" t="s">
        <v>187</v>
      </c>
      <c r="J1994" s="209" t="s">
        <v>103</v>
      </c>
      <c r="K1994" s="218" t="s">
        <v>6603</v>
      </c>
      <c r="L1994" s="217">
        <v>42235</v>
      </c>
      <c r="M1994" s="218" t="s">
        <v>1654</v>
      </c>
      <c r="N1994" s="219" t="s">
        <v>185</v>
      </c>
      <c r="O1994" s="217">
        <v>42235</v>
      </c>
      <c r="P1994" s="220">
        <f t="shared" si="747"/>
        <v>0</v>
      </c>
      <c r="Q1994" s="218" t="s">
        <v>6603</v>
      </c>
      <c r="R1994" s="216" t="s">
        <v>17</v>
      </c>
      <c r="S1994" s="218" t="s">
        <v>101</v>
      </c>
      <c r="T1994" s="218" t="s">
        <v>953</v>
      </c>
      <c r="U1994" s="217">
        <v>42236</v>
      </c>
      <c r="V1994" s="221" t="s">
        <v>186</v>
      </c>
      <c r="W1994" s="213">
        <f t="shared" si="745"/>
        <v>0</v>
      </c>
      <c r="X1994" s="213" t="str">
        <f t="shared" si="746"/>
        <v>Correcto</v>
      </c>
    </row>
    <row r="1995" spans="1:24" ht="18" customHeight="1" x14ac:dyDescent="0.25">
      <c r="A1995" s="214">
        <v>1986</v>
      </c>
      <c r="B1995" s="206" t="s">
        <v>6604</v>
      </c>
      <c r="C1995" s="207">
        <v>42235</v>
      </c>
      <c r="D1995" s="216">
        <v>2</v>
      </c>
      <c r="E1995" s="216" t="s">
        <v>93</v>
      </c>
      <c r="F1995" s="209" t="s">
        <v>1654</v>
      </c>
      <c r="G1995" s="209" t="s">
        <v>202</v>
      </c>
      <c r="H1995" s="217">
        <v>42235</v>
      </c>
      <c r="I1995" s="209" t="s">
        <v>187</v>
      </c>
      <c r="J1995" s="209" t="s">
        <v>103</v>
      </c>
      <c r="K1995" s="218" t="s">
        <v>6605</v>
      </c>
      <c r="L1995" s="217">
        <v>42235</v>
      </c>
      <c r="M1995" s="218" t="s">
        <v>1654</v>
      </c>
      <c r="N1995" s="219" t="s">
        <v>185</v>
      </c>
      <c r="O1995" s="217">
        <v>42235</v>
      </c>
      <c r="P1995" s="220">
        <f t="shared" si="747"/>
        <v>0</v>
      </c>
      <c r="Q1995" s="218" t="s">
        <v>6605</v>
      </c>
      <c r="R1995" s="216" t="s">
        <v>17</v>
      </c>
      <c r="S1995" s="218" t="s">
        <v>101</v>
      </c>
      <c r="T1995" s="218" t="s">
        <v>1012</v>
      </c>
      <c r="U1995" s="217">
        <v>42236</v>
      </c>
      <c r="V1995" s="221" t="s">
        <v>186</v>
      </c>
      <c r="W1995" s="213">
        <f t="shared" si="745"/>
        <v>0</v>
      </c>
      <c r="X1995" s="213" t="str">
        <f t="shared" si="746"/>
        <v>Correcto</v>
      </c>
    </row>
    <row r="1996" spans="1:24" ht="18" customHeight="1" x14ac:dyDescent="0.25">
      <c r="A1996" s="214">
        <v>1987</v>
      </c>
      <c r="B1996" s="206" t="s">
        <v>6606</v>
      </c>
      <c r="C1996" s="207">
        <v>42236</v>
      </c>
      <c r="D1996" s="216">
        <v>2</v>
      </c>
      <c r="E1996" s="216" t="s">
        <v>93</v>
      </c>
      <c r="F1996" s="209" t="s">
        <v>1654</v>
      </c>
      <c r="G1996" s="209" t="s">
        <v>202</v>
      </c>
      <c r="H1996" s="217">
        <v>42236</v>
      </c>
      <c r="I1996" s="209" t="s">
        <v>187</v>
      </c>
      <c r="J1996" s="209" t="s">
        <v>103</v>
      </c>
      <c r="K1996" s="218" t="s">
        <v>6607</v>
      </c>
      <c r="L1996" s="217">
        <v>42236</v>
      </c>
      <c r="M1996" s="218" t="s">
        <v>1654</v>
      </c>
      <c r="N1996" s="219" t="s">
        <v>185</v>
      </c>
      <c r="O1996" s="217">
        <v>42236</v>
      </c>
      <c r="P1996" s="220">
        <f t="shared" si="747"/>
        <v>0</v>
      </c>
      <c r="Q1996" s="218" t="s">
        <v>6607</v>
      </c>
      <c r="R1996" s="216" t="s">
        <v>17</v>
      </c>
      <c r="S1996" s="218" t="s">
        <v>101</v>
      </c>
      <c r="T1996" s="218" t="s">
        <v>6608</v>
      </c>
      <c r="U1996" s="217">
        <v>42240</v>
      </c>
      <c r="V1996" s="221" t="s">
        <v>186</v>
      </c>
      <c r="W1996" s="213">
        <f t="shared" si="745"/>
        <v>0</v>
      </c>
      <c r="X1996" s="213" t="str">
        <f t="shared" si="746"/>
        <v>Correcto</v>
      </c>
    </row>
    <row r="1997" spans="1:24" ht="18" customHeight="1" x14ac:dyDescent="0.25">
      <c r="A1997" s="214">
        <v>1988</v>
      </c>
      <c r="B1997" s="206" t="s">
        <v>6609</v>
      </c>
      <c r="C1997" s="207">
        <v>42236</v>
      </c>
      <c r="D1997" s="216">
        <v>3</v>
      </c>
      <c r="E1997" s="216" t="s">
        <v>93</v>
      </c>
      <c r="F1997" s="209" t="s">
        <v>1654</v>
      </c>
      <c r="G1997" s="209" t="s">
        <v>202</v>
      </c>
      <c r="H1997" s="217">
        <v>42236</v>
      </c>
      <c r="I1997" s="209" t="s">
        <v>187</v>
      </c>
      <c r="J1997" s="209" t="s">
        <v>103</v>
      </c>
      <c r="K1997" s="218" t="s">
        <v>6610</v>
      </c>
      <c r="L1997" s="217">
        <v>42236</v>
      </c>
      <c r="M1997" s="218" t="s">
        <v>1654</v>
      </c>
      <c r="N1997" s="219" t="s">
        <v>185</v>
      </c>
      <c r="O1997" s="217">
        <v>42236</v>
      </c>
      <c r="P1997" s="220">
        <f t="shared" si="747"/>
        <v>0</v>
      </c>
      <c r="Q1997" s="218" t="s">
        <v>6610</v>
      </c>
      <c r="R1997" s="216" t="s">
        <v>17</v>
      </c>
      <c r="S1997" s="218" t="s">
        <v>101</v>
      </c>
      <c r="T1997" s="218" t="s">
        <v>6520</v>
      </c>
      <c r="U1997" s="217">
        <v>42240</v>
      </c>
      <c r="V1997" s="221" t="s">
        <v>186</v>
      </c>
      <c r="W1997" s="213">
        <f t="shared" si="745"/>
        <v>0</v>
      </c>
      <c r="X1997" s="213" t="str">
        <f t="shared" si="746"/>
        <v>Correcto</v>
      </c>
    </row>
    <row r="1998" spans="1:24" ht="18" customHeight="1" x14ac:dyDescent="0.25">
      <c r="A1998" s="214">
        <v>1989</v>
      </c>
      <c r="B1998" s="206" t="s">
        <v>6611</v>
      </c>
      <c r="C1998" s="207">
        <v>42236</v>
      </c>
      <c r="D1998" s="216">
        <v>2</v>
      </c>
      <c r="E1998" s="216" t="s">
        <v>93</v>
      </c>
      <c r="F1998" s="209" t="s">
        <v>1654</v>
      </c>
      <c r="G1998" s="209" t="s">
        <v>202</v>
      </c>
      <c r="H1998" s="217">
        <v>42236</v>
      </c>
      <c r="I1998" s="209" t="s">
        <v>187</v>
      </c>
      <c r="J1998" s="209" t="s">
        <v>103</v>
      </c>
      <c r="K1998" s="218" t="s">
        <v>6612</v>
      </c>
      <c r="L1998" s="217">
        <v>42236</v>
      </c>
      <c r="M1998" s="218" t="s">
        <v>1654</v>
      </c>
      <c r="N1998" s="219" t="s">
        <v>185</v>
      </c>
      <c r="O1998" s="217">
        <v>42236</v>
      </c>
      <c r="P1998" s="220">
        <f t="shared" si="747"/>
        <v>0</v>
      </c>
      <c r="Q1998" s="218" t="s">
        <v>6612</v>
      </c>
      <c r="R1998" s="216" t="s">
        <v>17</v>
      </c>
      <c r="S1998" s="218" t="s">
        <v>6613</v>
      </c>
      <c r="T1998" s="218" t="s">
        <v>6614</v>
      </c>
      <c r="U1998" s="217">
        <v>42237</v>
      </c>
      <c r="V1998" s="221" t="s">
        <v>186</v>
      </c>
      <c r="W1998" s="213">
        <f t="shared" si="745"/>
        <v>0</v>
      </c>
      <c r="X1998" s="213" t="str">
        <f t="shared" si="746"/>
        <v>Correcto</v>
      </c>
    </row>
    <row r="1999" spans="1:24" ht="18" customHeight="1" x14ac:dyDescent="0.25">
      <c r="A1999" s="214">
        <v>1990</v>
      </c>
      <c r="B1999" s="206" t="s">
        <v>6615</v>
      </c>
      <c r="C1999" s="207">
        <v>42236</v>
      </c>
      <c r="D1999" s="216">
        <v>2</v>
      </c>
      <c r="E1999" s="216" t="s">
        <v>93</v>
      </c>
      <c r="F1999" s="209" t="s">
        <v>1654</v>
      </c>
      <c r="G1999" s="209" t="s">
        <v>202</v>
      </c>
      <c r="H1999" s="217">
        <v>42237</v>
      </c>
      <c r="I1999" s="209" t="s">
        <v>187</v>
      </c>
      <c r="J1999" s="209" t="s">
        <v>103</v>
      </c>
      <c r="K1999" s="218" t="s">
        <v>6616</v>
      </c>
      <c r="L1999" s="217">
        <v>42237</v>
      </c>
      <c r="M1999" s="218" t="s">
        <v>1654</v>
      </c>
      <c r="N1999" s="219" t="s">
        <v>185</v>
      </c>
      <c r="O1999" s="217">
        <v>42237</v>
      </c>
      <c r="P1999" s="220">
        <f t="shared" si="747"/>
        <v>1</v>
      </c>
      <c r="Q1999" s="218" t="s">
        <v>6616</v>
      </c>
      <c r="R1999" s="216" t="s">
        <v>17</v>
      </c>
      <c r="S1999" s="218" t="s">
        <v>6617</v>
      </c>
      <c r="T1999" s="218" t="s">
        <v>6618</v>
      </c>
      <c r="U1999" s="217">
        <v>42237</v>
      </c>
      <c r="V1999" s="221" t="s">
        <v>186</v>
      </c>
      <c r="W1999" s="213">
        <f t="shared" si="745"/>
        <v>0</v>
      </c>
      <c r="X1999" s="213" t="str">
        <f t="shared" si="746"/>
        <v>Correcto</v>
      </c>
    </row>
    <row r="2000" spans="1:24" ht="18" customHeight="1" x14ac:dyDescent="0.25">
      <c r="A2000" s="214">
        <v>1991</v>
      </c>
      <c r="B2000" s="206" t="s">
        <v>6619</v>
      </c>
      <c r="C2000" s="207">
        <v>42236</v>
      </c>
      <c r="D2000" s="216">
        <v>3</v>
      </c>
      <c r="E2000" s="216" t="s">
        <v>93</v>
      </c>
      <c r="F2000" s="209" t="s">
        <v>1654</v>
      </c>
      <c r="G2000" s="209" t="s">
        <v>202</v>
      </c>
      <c r="H2000" s="217">
        <v>42237</v>
      </c>
      <c r="I2000" s="209" t="s">
        <v>187</v>
      </c>
      <c r="J2000" s="209" t="s">
        <v>103</v>
      </c>
      <c r="K2000" s="218" t="s">
        <v>6620</v>
      </c>
      <c r="L2000" s="217">
        <v>42237</v>
      </c>
      <c r="M2000" s="218" t="s">
        <v>1654</v>
      </c>
      <c r="N2000" s="219" t="s">
        <v>185</v>
      </c>
      <c r="O2000" s="217">
        <v>42237</v>
      </c>
      <c r="P2000" s="220">
        <f t="shared" si="747"/>
        <v>1</v>
      </c>
      <c r="Q2000" s="218" t="s">
        <v>6620</v>
      </c>
      <c r="R2000" s="216" t="s">
        <v>17</v>
      </c>
      <c r="S2000" s="218" t="s">
        <v>6621</v>
      </c>
      <c r="T2000" s="218" t="s">
        <v>6622</v>
      </c>
      <c r="U2000" s="217">
        <v>42237</v>
      </c>
      <c r="V2000" s="221" t="s">
        <v>186</v>
      </c>
      <c r="W2000" s="213">
        <f t="shared" si="745"/>
        <v>0</v>
      </c>
      <c r="X2000" s="213" t="str">
        <f t="shared" si="746"/>
        <v>Correcto</v>
      </c>
    </row>
    <row r="2001" spans="1:24" ht="18" customHeight="1" x14ac:dyDescent="0.25">
      <c r="A2001" s="214">
        <v>1992</v>
      </c>
      <c r="B2001" s="206" t="s">
        <v>6623</v>
      </c>
      <c r="C2001" s="207">
        <v>42236</v>
      </c>
      <c r="D2001" s="216">
        <v>2</v>
      </c>
      <c r="E2001" s="216" t="s">
        <v>93</v>
      </c>
      <c r="F2001" s="209" t="s">
        <v>1654</v>
      </c>
      <c r="G2001" s="209" t="s">
        <v>202</v>
      </c>
      <c r="H2001" s="217">
        <v>42237</v>
      </c>
      <c r="I2001" s="209" t="s">
        <v>187</v>
      </c>
      <c r="J2001" s="209" t="s">
        <v>103</v>
      </c>
      <c r="K2001" s="218" t="s">
        <v>6624</v>
      </c>
      <c r="L2001" s="217">
        <v>42237</v>
      </c>
      <c r="M2001" s="218" t="s">
        <v>1654</v>
      </c>
      <c r="N2001" s="219" t="s">
        <v>185</v>
      </c>
      <c r="O2001" s="217">
        <v>42237</v>
      </c>
      <c r="P2001" s="220">
        <f t="shared" si="747"/>
        <v>1</v>
      </c>
      <c r="Q2001" s="218" t="s">
        <v>6624</v>
      </c>
      <c r="R2001" s="216" t="s">
        <v>17</v>
      </c>
      <c r="S2001" s="218" t="s">
        <v>6625</v>
      </c>
      <c r="T2001" s="218" t="s">
        <v>6626</v>
      </c>
      <c r="U2001" s="217">
        <v>42237</v>
      </c>
      <c r="V2001" s="221" t="s">
        <v>186</v>
      </c>
      <c r="W2001" s="213">
        <f t="shared" si="745"/>
        <v>0</v>
      </c>
      <c r="X2001" s="213" t="str">
        <f t="shared" si="746"/>
        <v>Correcto</v>
      </c>
    </row>
    <row r="2002" spans="1:24" ht="18" customHeight="1" x14ac:dyDescent="0.25">
      <c r="A2002" s="214">
        <v>1993</v>
      </c>
      <c r="B2002" s="206" t="s">
        <v>6627</v>
      </c>
      <c r="C2002" s="207">
        <v>42236</v>
      </c>
      <c r="D2002" s="216">
        <v>2</v>
      </c>
      <c r="E2002" s="216" t="s">
        <v>93</v>
      </c>
      <c r="F2002" s="209" t="s">
        <v>1654</v>
      </c>
      <c r="G2002" s="209" t="s">
        <v>202</v>
      </c>
      <c r="H2002" s="217">
        <v>42237</v>
      </c>
      <c r="I2002" s="209" t="s">
        <v>187</v>
      </c>
      <c r="J2002" s="209" t="s">
        <v>103</v>
      </c>
      <c r="K2002" s="218" t="s">
        <v>6628</v>
      </c>
      <c r="L2002" s="217">
        <v>42237</v>
      </c>
      <c r="M2002" s="218" t="s">
        <v>1654</v>
      </c>
      <c r="N2002" s="219" t="s">
        <v>185</v>
      </c>
      <c r="O2002" s="217">
        <v>42237</v>
      </c>
      <c r="P2002" s="220">
        <f t="shared" si="747"/>
        <v>1</v>
      </c>
      <c r="Q2002" s="218" t="s">
        <v>6628</v>
      </c>
      <c r="R2002" s="216" t="s">
        <v>17</v>
      </c>
      <c r="S2002" s="218" t="s">
        <v>101</v>
      </c>
      <c r="T2002" s="218" t="s">
        <v>2730</v>
      </c>
      <c r="U2002" s="217">
        <v>42240</v>
      </c>
      <c r="V2002" s="221" t="s">
        <v>186</v>
      </c>
      <c r="W2002" s="213">
        <f t="shared" si="745"/>
        <v>0</v>
      </c>
      <c r="X2002" s="213" t="str">
        <f t="shared" si="746"/>
        <v>Correcto</v>
      </c>
    </row>
    <row r="2003" spans="1:24" ht="18" customHeight="1" x14ac:dyDescent="0.25">
      <c r="A2003" s="214">
        <v>1994</v>
      </c>
      <c r="B2003" s="206" t="s">
        <v>6629</v>
      </c>
      <c r="C2003" s="207">
        <v>42236</v>
      </c>
      <c r="D2003" s="216">
        <v>2</v>
      </c>
      <c r="E2003" s="216" t="s">
        <v>93</v>
      </c>
      <c r="F2003" s="209" t="s">
        <v>1654</v>
      </c>
      <c r="G2003" s="209" t="s">
        <v>202</v>
      </c>
      <c r="H2003" s="217">
        <v>42237</v>
      </c>
      <c r="I2003" s="209" t="s">
        <v>187</v>
      </c>
      <c r="J2003" s="209" t="s">
        <v>103</v>
      </c>
      <c r="K2003" s="218" t="s">
        <v>6630</v>
      </c>
      <c r="L2003" s="217">
        <v>42237</v>
      </c>
      <c r="M2003" s="218" t="s">
        <v>1654</v>
      </c>
      <c r="N2003" s="219" t="s">
        <v>185</v>
      </c>
      <c r="O2003" s="217">
        <v>42237</v>
      </c>
      <c r="P2003" s="220">
        <f t="shared" si="747"/>
        <v>1</v>
      </c>
      <c r="Q2003" s="218" t="s">
        <v>6630</v>
      </c>
      <c r="R2003" s="216" t="s">
        <v>17</v>
      </c>
      <c r="S2003" s="218" t="s">
        <v>101</v>
      </c>
      <c r="T2003" s="218" t="s">
        <v>6384</v>
      </c>
      <c r="U2003" s="217">
        <v>42240</v>
      </c>
      <c r="V2003" s="221" t="s">
        <v>186</v>
      </c>
      <c r="W2003" s="213">
        <f t="shared" si="745"/>
        <v>0</v>
      </c>
      <c r="X2003" s="213" t="str">
        <f t="shared" si="746"/>
        <v>Correcto</v>
      </c>
    </row>
    <row r="2004" spans="1:24" ht="18" customHeight="1" x14ac:dyDescent="0.25">
      <c r="A2004" s="214">
        <v>1995</v>
      </c>
      <c r="B2004" s="206" t="s">
        <v>6631</v>
      </c>
      <c r="C2004" s="207">
        <v>42236</v>
      </c>
      <c r="D2004" s="216">
        <v>2</v>
      </c>
      <c r="E2004" s="216" t="s">
        <v>93</v>
      </c>
      <c r="F2004" s="209" t="s">
        <v>1654</v>
      </c>
      <c r="G2004" s="209" t="s">
        <v>202</v>
      </c>
      <c r="H2004" s="217">
        <v>42237</v>
      </c>
      <c r="I2004" s="209" t="s">
        <v>187</v>
      </c>
      <c r="J2004" s="209" t="s">
        <v>103</v>
      </c>
      <c r="K2004" s="218" t="s">
        <v>6632</v>
      </c>
      <c r="L2004" s="217">
        <v>42237</v>
      </c>
      <c r="M2004" s="218" t="s">
        <v>1654</v>
      </c>
      <c r="N2004" s="219" t="s">
        <v>185</v>
      </c>
      <c r="O2004" s="217">
        <v>42237</v>
      </c>
      <c r="P2004" s="220">
        <f t="shared" si="747"/>
        <v>1</v>
      </c>
      <c r="Q2004" s="218" t="s">
        <v>6632</v>
      </c>
      <c r="R2004" s="216" t="s">
        <v>17</v>
      </c>
      <c r="S2004" s="218" t="s">
        <v>101</v>
      </c>
      <c r="T2004" s="218" t="s">
        <v>6384</v>
      </c>
      <c r="U2004" s="217">
        <v>42240</v>
      </c>
      <c r="V2004" s="221" t="s">
        <v>186</v>
      </c>
      <c r="W2004" s="213">
        <f t="shared" si="745"/>
        <v>0</v>
      </c>
      <c r="X2004" s="213" t="str">
        <f t="shared" si="746"/>
        <v>Correcto</v>
      </c>
    </row>
    <row r="2005" spans="1:24" ht="18" customHeight="1" x14ac:dyDescent="0.25">
      <c r="A2005" s="214">
        <v>1996</v>
      </c>
      <c r="B2005" s="206" t="s">
        <v>6633</v>
      </c>
      <c r="C2005" s="207">
        <v>42236</v>
      </c>
      <c r="D2005" s="216">
        <v>26</v>
      </c>
      <c r="E2005" s="216" t="s">
        <v>93</v>
      </c>
      <c r="F2005" s="209" t="s">
        <v>1654</v>
      </c>
      <c r="G2005" s="209" t="s">
        <v>202</v>
      </c>
      <c r="H2005" s="217">
        <v>42241</v>
      </c>
      <c r="I2005" s="209" t="s">
        <v>187</v>
      </c>
      <c r="J2005" s="209" t="s">
        <v>103</v>
      </c>
      <c r="K2005" s="218" t="s">
        <v>6634</v>
      </c>
      <c r="L2005" s="217">
        <v>42241</v>
      </c>
      <c r="M2005" s="218" t="s">
        <v>1654</v>
      </c>
      <c r="N2005" s="219" t="s">
        <v>185</v>
      </c>
      <c r="O2005" s="217">
        <v>42241</v>
      </c>
      <c r="P2005" s="220">
        <f t="shared" si="747"/>
        <v>5</v>
      </c>
      <c r="Q2005" s="218" t="s">
        <v>6634</v>
      </c>
      <c r="R2005" s="216" t="s">
        <v>977</v>
      </c>
      <c r="S2005" s="218" t="s">
        <v>101</v>
      </c>
      <c r="T2005" s="218" t="s">
        <v>6635</v>
      </c>
      <c r="U2005" s="217">
        <v>42241</v>
      </c>
      <c r="V2005" s="221" t="s">
        <v>186</v>
      </c>
      <c r="W2005" s="213">
        <f t="shared" si="745"/>
        <v>0</v>
      </c>
      <c r="X2005" s="213" t="str">
        <f t="shared" si="746"/>
        <v>Correcto</v>
      </c>
    </row>
    <row r="2006" spans="1:24" ht="18" customHeight="1" x14ac:dyDescent="0.25">
      <c r="A2006" s="214">
        <v>1997</v>
      </c>
      <c r="B2006" s="206" t="s">
        <v>6636</v>
      </c>
      <c r="C2006" s="207">
        <v>42236</v>
      </c>
      <c r="D2006" s="216">
        <v>33</v>
      </c>
      <c r="E2006" s="216" t="s">
        <v>93</v>
      </c>
      <c r="F2006" s="209" t="s">
        <v>1654</v>
      </c>
      <c r="G2006" s="209" t="s">
        <v>202</v>
      </c>
      <c r="H2006" s="217">
        <v>42241</v>
      </c>
      <c r="I2006" s="209" t="s">
        <v>187</v>
      </c>
      <c r="J2006" s="209" t="s">
        <v>103</v>
      </c>
      <c r="K2006" s="218" t="s">
        <v>6637</v>
      </c>
      <c r="L2006" s="217">
        <v>42241</v>
      </c>
      <c r="M2006" s="218" t="s">
        <v>1654</v>
      </c>
      <c r="N2006" s="219" t="s">
        <v>185</v>
      </c>
      <c r="O2006" s="217">
        <v>42241</v>
      </c>
      <c r="P2006" s="220">
        <f t="shared" si="747"/>
        <v>5</v>
      </c>
      <c r="Q2006" s="218" t="s">
        <v>6637</v>
      </c>
      <c r="R2006" s="216" t="s">
        <v>977</v>
      </c>
      <c r="S2006" s="218" t="s">
        <v>101</v>
      </c>
      <c r="T2006" s="218" t="s">
        <v>6635</v>
      </c>
      <c r="U2006" s="217">
        <v>42241</v>
      </c>
      <c r="V2006" s="221" t="s">
        <v>186</v>
      </c>
      <c r="W2006" s="213">
        <f t="shared" si="745"/>
        <v>0</v>
      </c>
      <c r="X2006" s="213" t="str">
        <f t="shared" si="746"/>
        <v>Correcto</v>
      </c>
    </row>
    <row r="2007" spans="1:24" ht="18" customHeight="1" x14ac:dyDescent="0.25">
      <c r="A2007" s="214">
        <v>1998</v>
      </c>
      <c r="B2007" s="206" t="s">
        <v>6638</v>
      </c>
      <c r="C2007" s="207">
        <v>42236</v>
      </c>
      <c r="D2007" s="216">
        <v>2</v>
      </c>
      <c r="E2007" s="216" t="s">
        <v>93</v>
      </c>
      <c r="F2007" s="209" t="s">
        <v>1201</v>
      </c>
      <c r="G2007" s="209" t="s">
        <v>202</v>
      </c>
      <c r="H2007" s="217">
        <v>42237</v>
      </c>
      <c r="I2007" s="209" t="s">
        <v>187</v>
      </c>
      <c r="J2007" s="209" t="s">
        <v>103</v>
      </c>
      <c r="K2007" s="218" t="s">
        <v>6639</v>
      </c>
      <c r="L2007" s="217">
        <v>42237</v>
      </c>
      <c r="M2007" s="218" t="s">
        <v>1654</v>
      </c>
      <c r="N2007" s="219" t="s">
        <v>185</v>
      </c>
      <c r="O2007" s="217">
        <v>42237</v>
      </c>
      <c r="P2007" s="220">
        <f t="shared" si="747"/>
        <v>1</v>
      </c>
      <c r="Q2007" s="218" t="s">
        <v>6639</v>
      </c>
      <c r="R2007" s="216" t="s">
        <v>17</v>
      </c>
      <c r="S2007" s="218" t="s">
        <v>101</v>
      </c>
      <c r="T2007" s="218" t="s">
        <v>1150</v>
      </c>
      <c r="U2007" s="217">
        <v>42240</v>
      </c>
      <c r="V2007" s="221" t="s">
        <v>186</v>
      </c>
      <c r="W2007" s="213">
        <f t="shared" si="745"/>
        <v>0</v>
      </c>
      <c r="X2007" s="213" t="str">
        <f t="shared" si="746"/>
        <v>Correcto</v>
      </c>
    </row>
    <row r="2008" spans="1:24" ht="18" customHeight="1" x14ac:dyDescent="0.25">
      <c r="A2008" s="214">
        <v>1999</v>
      </c>
      <c r="B2008" s="206" t="s">
        <v>6640</v>
      </c>
      <c r="C2008" s="207">
        <v>42236</v>
      </c>
      <c r="D2008" s="216">
        <v>2</v>
      </c>
      <c r="E2008" s="216" t="s">
        <v>93</v>
      </c>
      <c r="F2008" s="209" t="s">
        <v>1654</v>
      </c>
      <c r="G2008" s="209" t="s">
        <v>202</v>
      </c>
      <c r="H2008" s="217">
        <v>42237</v>
      </c>
      <c r="I2008" s="209" t="s">
        <v>187</v>
      </c>
      <c r="J2008" s="209" t="s">
        <v>103</v>
      </c>
      <c r="K2008" s="218" t="s">
        <v>6641</v>
      </c>
      <c r="L2008" s="217">
        <v>42237</v>
      </c>
      <c r="M2008" s="218" t="s">
        <v>1654</v>
      </c>
      <c r="N2008" s="219" t="s">
        <v>185</v>
      </c>
      <c r="O2008" s="217">
        <v>42237</v>
      </c>
      <c r="P2008" s="220">
        <f t="shared" si="747"/>
        <v>1</v>
      </c>
      <c r="Q2008" s="218" t="s">
        <v>6641</v>
      </c>
      <c r="R2008" s="216" t="s">
        <v>17</v>
      </c>
      <c r="S2008" s="218" t="s">
        <v>101</v>
      </c>
      <c r="T2008" s="218" t="s">
        <v>1150</v>
      </c>
      <c r="U2008" s="217">
        <v>42240</v>
      </c>
      <c r="V2008" s="221" t="s">
        <v>186</v>
      </c>
      <c r="W2008" s="213">
        <f t="shared" si="745"/>
        <v>0</v>
      </c>
      <c r="X2008" s="213" t="str">
        <f t="shared" si="746"/>
        <v>Correcto</v>
      </c>
    </row>
    <row r="2009" spans="1:24" ht="18" customHeight="1" x14ac:dyDescent="0.25">
      <c r="A2009" s="214">
        <v>2000</v>
      </c>
      <c r="B2009" s="206" t="s">
        <v>6642</v>
      </c>
      <c r="C2009" s="207">
        <v>42237</v>
      </c>
      <c r="D2009" s="216">
        <v>2</v>
      </c>
      <c r="E2009" s="216" t="s">
        <v>93</v>
      </c>
      <c r="F2009" s="209" t="s">
        <v>1201</v>
      </c>
      <c r="G2009" s="209" t="s">
        <v>202</v>
      </c>
      <c r="H2009" s="217">
        <v>42240</v>
      </c>
      <c r="I2009" s="209" t="s">
        <v>187</v>
      </c>
      <c r="J2009" s="209" t="s">
        <v>103</v>
      </c>
      <c r="K2009" s="218" t="s">
        <v>6643</v>
      </c>
      <c r="L2009" s="217">
        <v>42240</v>
      </c>
      <c r="M2009" s="218" t="s">
        <v>1654</v>
      </c>
      <c r="N2009" s="219" t="s">
        <v>185</v>
      </c>
      <c r="O2009" s="217">
        <v>42240</v>
      </c>
      <c r="P2009" s="220">
        <f t="shared" si="747"/>
        <v>3</v>
      </c>
      <c r="Q2009" s="218" t="s">
        <v>6643</v>
      </c>
      <c r="R2009" s="216" t="s">
        <v>977</v>
      </c>
      <c r="S2009" s="218" t="s">
        <v>101</v>
      </c>
      <c r="T2009" s="218" t="s">
        <v>6644</v>
      </c>
      <c r="U2009" s="217">
        <v>42240</v>
      </c>
      <c r="V2009" s="221" t="s">
        <v>186</v>
      </c>
      <c r="W2009" s="213">
        <f t="shared" si="745"/>
        <v>0</v>
      </c>
      <c r="X2009" s="213" t="str">
        <f t="shared" si="746"/>
        <v>Correcto</v>
      </c>
    </row>
    <row r="2010" spans="1:24" ht="18" customHeight="1" x14ac:dyDescent="0.25">
      <c r="A2010" s="214">
        <v>2001</v>
      </c>
      <c r="B2010" s="206" t="s">
        <v>6645</v>
      </c>
      <c r="C2010" s="207">
        <v>42237</v>
      </c>
      <c r="D2010" s="216">
        <v>2</v>
      </c>
      <c r="E2010" s="216" t="s">
        <v>93</v>
      </c>
      <c r="F2010" s="209" t="s">
        <v>1654</v>
      </c>
      <c r="G2010" s="209" t="s">
        <v>202</v>
      </c>
      <c r="H2010" s="217">
        <v>42237</v>
      </c>
      <c r="I2010" s="209" t="s">
        <v>187</v>
      </c>
      <c r="J2010" s="209" t="s">
        <v>103</v>
      </c>
      <c r="K2010" s="218" t="s">
        <v>6646</v>
      </c>
      <c r="L2010" s="217">
        <v>42237</v>
      </c>
      <c r="M2010" s="218" t="s">
        <v>1654</v>
      </c>
      <c r="N2010" s="219" t="s">
        <v>185</v>
      </c>
      <c r="O2010" s="217">
        <v>42237</v>
      </c>
      <c r="P2010" s="220">
        <f t="shared" si="747"/>
        <v>0</v>
      </c>
      <c r="Q2010" s="218" t="s">
        <v>6646</v>
      </c>
      <c r="R2010" s="216" t="s">
        <v>17</v>
      </c>
      <c r="S2010" s="218" t="s">
        <v>6647</v>
      </c>
      <c r="T2010" s="218" t="s">
        <v>6648</v>
      </c>
      <c r="U2010" s="217">
        <v>42237</v>
      </c>
      <c r="V2010" s="221" t="s">
        <v>6131</v>
      </c>
      <c r="W2010" s="213">
        <f t="shared" si="745"/>
        <v>0</v>
      </c>
      <c r="X2010" s="213" t="str">
        <f t="shared" si="746"/>
        <v>Correcto</v>
      </c>
    </row>
    <row r="2011" spans="1:24" ht="18" customHeight="1" x14ac:dyDescent="0.25">
      <c r="A2011" s="214">
        <v>2002</v>
      </c>
      <c r="B2011" s="206" t="s">
        <v>6649</v>
      </c>
      <c r="C2011" s="207">
        <v>42237</v>
      </c>
      <c r="D2011" s="216">
        <v>29</v>
      </c>
      <c r="E2011" s="216" t="s">
        <v>93</v>
      </c>
      <c r="F2011" s="209" t="s">
        <v>1654</v>
      </c>
      <c r="G2011" s="209" t="s">
        <v>202</v>
      </c>
      <c r="H2011" s="217">
        <v>42240</v>
      </c>
      <c r="I2011" s="209" t="s">
        <v>187</v>
      </c>
      <c r="J2011" s="209" t="s">
        <v>103</v>
      </c>
      <c r="K2011" s="218" t="s">
        <v>6650</v>
      </c>
      <c r="L2011" s="217">
        <v>42240</v>
      </c>
      <c r="M2011" s="218" t="s">
        <v>1654</v>
      </c>
      <c r="N2011" s="219" t="s">
        <v>185</v>
      </c>
      <c r="O2011" s="217">
        <v>42240</v>
      </c>
      <c r="P2011" s="220">
        <f t="shared" si="747"/>
        <v>3</v>
      </c>
      <c r="Q2011" s="218" t="s">
        <v>6650</v>
      </c>
      <c r="R2011" s="216" t="s">
        <v>17</v>
      </c>
      <c r="S2011" s="218" t="s">
        <v>6651</v>
      </c>
      <c r="T2011" s="218" t="s">
        <v>6652</v>
      </c>
      <c r="U2011" s="217">
        <v>42242</v>
      </c>
      <c r="V2011" s="221" t="s">
        <v>186</v>
      </c>
      <c r="W2011" s="213">
        <f t="shared" si="745"/>
        <v>0</v>
      </c>
      <c r="X2011" s="213" t="str">
        <f t="shared" si="746"/>
        <v>Correcto</v>
      </c>
    </row>
    <row r="2012" spans="1:24" ht="18" customHeight="1" x14ac:dyDescent="0.25">
      <c r="A2012" s="214">
        <v>2003</v>
      </c>
      <c r="B2012" s="206" t="s">
        <v>6653</v>
      </c>
      <c r="C2012" s="207">
        <v>42237</v>
      </c>
      <c r="D2012" s="216">
        <v>2</v>
      </c>
      <c r="E2012" s="216" t="s">
        <v>93</v>
      </c>
      <c r="F2012" s="209" t="s">
        <v>1654</v>
      </c>
      <c r="G2012" s="209" t="s">
        <v>202</v>
      </c>
      <c r="H2012" s="217">
        <v>42237</v>
      </c>
      <c r="I2012" s="209" t="s">
        <v>187</v>
      </c>
      <c r="J2012" s="209" t="s">
        <v>103</v>
      </c>
      <c r="K2012" s="218" t="s">
        <v>6654</v>
      </c>
      <c r="L2012" s="217">
        <v>42237</v>
      </c>
      <c r="M2012" s="218" t="s">
        <v>1654</v>
      </c>
      <c r="N2012" s="219" t="s">
        <v>185</v>
      </c>
      <c r="O2012" s="217">
        <v>42237</v>
      </c>
      <c r="P2012" s="220">
        <f t="shared" si="747"/>
        <v>0</v>
      </c>
      <c r="Q2012" s="218" t="s">
        <v>6654</v>
      </c>
      <c r="R2012" s="216" t="s">
        <v>17</v>
      </c>
      <c r="S2012" s="218" t="s">
        <v>101</v>
      </c>
      <c r="T2012" s="218" t="s">
        <v>6529</v>
      </c>
      <c r="U2012" s="217">
        <v>42240</v>
      </c>
      <c r="V2012" s="221" t="s">
        <v>186</v>
      </c>
      <c r="W2012" s="213">
        <f t="shared" si="745"/>
        <v>0</v>
      </c>
      <c r="X2012" s="213" t="str">
        <f t="shared" si="746"/>
        <v>Correcto</v>
      </c>
    </row>
    <row r="2013" spans="1:24" ht="18" customHeight="1" x14ac:dyDescent="0.25">
      <c r="A2013" s="214">
        <v>2004</v>
      </c>
      <c r="B2013" s="206" t="s">
        <v>6655</v>
      </c>
      <c r="C2013" s="207">
        <v>42237</v>
      </c>
      <c r="D2013" s="216">
        <v>4</v>
      </c>
      <c r="E2013" s="216" t="s">
        <v>93</v>
      </c>
      <c r="F2013" s="209" t="s">
        <v>1654</v>
      </c>
      <c r="G2013" s="209" t="s">
        <v>202</v>
      </c>
      <c r="H2013" s="217">
        <v>42240</v>
      </c>
      <c r="I2013" s="209" t="s">
        <v>187</v>
      </c>
      <c r="J2013" s="209" t="s">
        <v>103</v>
      </c>
      <c r="K2013" s="218" t="s">
        <v>6656</v>
      </c>
      <c r="L2013" s="217">
        <v>42240</v>
      </c>
      <c r="M2013" s="218" t="s">
        <v>1654</v>
      </c>
      <c r="N2013" s="219" t="s">
        <v>185</v>
      </c>
      <c r="O2013" s="217">
        <v>42240</v>
      </c>
      <c r="P2013" s="220">
        <f t="shared" si="747"/>
        <v>3</v>
      </c>
      <c r="Q2013" s="218" t="s">
        <v>6656</v>
      </c>
      <c r="R2013" s="216" t="s">
        <v>17</v>
      </c>
      <c r="S2013" s="218" t="s">
        <v>101</v>
      </c>
      <c r="T2013" s="218" t="s">
        <v>6657</v>
      </c>
      <c r="U2013" s="217">
        <v>42240</v>
      </c>
      <c r="V2013" s="221" t="s">
        <v>186</v>
      </c>
      <c r="W2013" s="213">
        <f t="shared" si="745"/>
        <v>0</v>
      </c>
      <c r="X2013" s="213" t="str">
        <f t="shared" si="746"/>
        <v>Correcto</v>
      </c>
    </row>
    <row r="2014" spans="1:24" ht="18" customHeight="1" x14ac:dyDescent="0.25">
      <c r="A2014" s="214">
        <v>2005</v>
      </c>
      <c r="B2014" s="206" t="s">
        <v>6658</v>
      </c>
      <c r="C2014" s="207">
        <v>42237</v>
      </c>
      <c r="D2014" s="216">
        <v>2</v>
      </c>
      <c r="E2014" s="216" t="s">
        <v>93</v>
      </c>
      <c r="F2014" s="209" t="s">
        <v>1654</v>
      </c>
      <c r="G2014" s="209" t="s">
        <v>202</v>
      </c>
      <c r="H2014" s="217">
        <v>42240</v>
      </c>
      <c r="I2014" s="209" t="s">
        <v>187</v>
      </c>
      <c r="J2014" s="209" t="s">
        <v>103</v>
      </c>
      <c r="K2014" s="218" t="s">
        <v>6659</v>
      </c>
      <c r="L2014" s="217">
        <v>42240</v>
      </c>
      <c r="M2014" s="218" t="s">
        <v>1654</v>
      </c>
      <c r="N2014" s="219" t="s">
        <v>185</v>
      </c>
      <c r="O2014" s="217">
        <v>42240</v>
      </c>
      <c r="P2014" s="220">
        <f t="shared" si="747"/>
        <v>3</v>
      </c>
      <c r="Q2014" s="218" t="s">
        <v>6659</v>
      </c>
      <c r="R2014" s="216" t="s">
        <v>17</v>
      </c>
      <c r="S2014" s="218" t="s">
        <v>101</v>
      </c>
      <c r="T2014" s="218" t="s">
        <v>6660</v>
      </c>
      <c r="U2014" s="217">
        <v>42240</v>
      </c>
      <c r="V2014" s="221" t="s">
        <v>186</v>
      </c>
      <c r="W2014" s="213">
        <f t="shared" si="745"/>
        <v>0</v>
      </c>
      <c r="X2014" s="213" t="str">
        <f t="shared" si="746"/>
        <v>Correcto</v>
      </c>
    </row>
    <row r="2015" spans="1:24" ht="18" customHeight="1" x14ac:dyDescent="0.25">
      <c r="A2015" s="214">
        <v>2006</v>
      </c>
      <c r="B2015" s="206" t="s">
        <v>6661</v>
      </c>
      <c r="C2015" s="207">
        <v>42237</v>
      </c>
      <c r="D2015" s="216">
        <v>2</v>
      </c>
      <c r="E2015" s="216" t="s">
        <v>93</v>
      </c>
      <c r="F2015" s="209" t="s">
        <v>1654</v>
      </c>
      <c r="G2015" s="209" t="s">
        <v>202</v>
      </c>
      <c r="H2015" s="217">
        <v>42240</v>
      </c>
      <c r="I2015" s="209" t="s">
        <v>187</v>
      </c>
      <c r="J2015" s="209" t="s">
        <v>103</v>
      </c>
      <c r="K2015" s="218" t="s">
        <v>6662</v>
      </c>
      <c r="L2015" s="217">
        <v>42240</v>
      </c>
      <c r="M2015" s="218" t="s">
        <v>1654</v>
      </c>
      <c r="N2015" s="219" t="s">
        <v>185</v>
      </c>
      <c r="O2015" s="217">
        <v>42240</v>
      </c>
      <c r="P2015" s="220">
        <f t="shared" si="747"/>
        <v>3</v>
      </c>
      <c r="Q2015" s="218" t="s">
        <v>6662</v>
      </c>
      <c r="R2015" s="216" t="s">
        <v>17</v>
      </c>
      <c r="S2015" s="218" t="s">
        <v>101</v>
      </c>
      <c r="T2015" s="218" t="s">
        <v>6365</v>
      </c>
      <c r="U2015" s="217">
        <v>42240</v>
      </c>
      <c r="V2015" s="221" t="s">
        <v>186</v>
      </c>
      <c r="W2015" s="213">
        <f t="shared" si="745"/>
        <v>0</v>
      </c>
      <c r="X2015" s="213" t="str">
        <f t="shared" si="746"/>
        <v>Correcto</v>
      </c>
    </row>
    <row r="2016" spans="1:24" ht="18" customHeight="1" x14ac:dyDescent="0.25">
      <c r="A2016" s="214">
        <v>2007</v>
      </c>
      <c r="B2016" s="206" t="s">
        <v>6663</v>
      </c>
      <c r="C2016" s="207">
        <v>42237</v>
      </c>
      <c r="D2016" s="216">
        <v>2</v>
      </c>
      <c r="E2016" s="216" t="s">
        <v>93</v>
      </c>
      <c r="F2016" s="209" t="s">
        <v>1654</v>
      </c>
      <c r="G2016" s="209" t="s">
        <v>202</v>
      </c>
      <c r="H2016" s="217">
        <v>42240</v>
      </c>
      <c r="I2016" s="209" t="s">
        <v>187</v>
      </c>
      <c r="J2016" s="209" t="s">
        <v>103</v>
      </c>
      <c r="K2016" s="218" t="s">
        <v>6664</v>
      </c>
      <c r="L2016" s="217">
        <v>42240</v>
      </c>
      <c r="M2016" s="218" t="s">
        <v>1654</v>
      </c>
      <c r="N2016" s="219" t="s">
        <v>185</v>
      </c>
      <c r="O2016" s="217">
        <v>42240</v>
      </c>
      <c r="P2016" s="220">
        <f t="shared" si="747"/>
        <v>3</v>
      </c>
      <c r="Q2016" s="218" t="s">
        <v>6664</v>
      </c>
      <c r="R2016" s="216" t="s">
        <v>17</v>
      </c>
      <c r="S2016" s="218" t="s">
        <v>101</v>
      </c>
      <c r="T2016" s="218" t="s">
        <v>6300</v>
      </c>
      <c r="U2016" s="217">
        <v>42240</v>
      </c>
      <c r="V2016" s="221" t="s">
        <v>186</v>
      </c>
      <c r="W2016" s="213">
        <f t="shared" si="745"/>
        <v>0</v>
      </c>
      <c r="X2016" s="213" t="str">
        <f t="shared" si="746"/>
        <v>Correcto</v>
      </c>
    </row>
    <row r="2017" spans="1:24" ht="18" customHeight="1" x14ac:dyDescent="0.25">
      <c r="A2017" s="214">
        <v>2008</v>
      </c>
      <c r="B2017" s="206" t="s">
        <v>6665</v>
      </c>
      <c r="C2017" s="207">
        <v>42237</v>
      </c>
      <c r="D2017" s="216">
        <v>4</v>
      </c>
      <c r="E2017" s="216" t="s">
        <v>93</v>
      </c>
      <c r="F2017" s="209" t="s">
        <v>1654</v>
      </c>
      <c r="G2017" s="209" t="s">
        <v>202</v>
      </c>
      <c r="H2017" s="217">
        <v>42240</v>
      </c>
      <c r="I2017" s="209" t="s">
        <v>187</v>
      </c>
      <c r="J2017" s="209" t="s">
        <v>103</v>
      </c>
      <c r="K2017" s="218" t="s">
        <v>6666</v>
      </c>
      <c r="L2017" s="217">
        <v>42240</v>
      </c>
      <c r="M2017" s="218" t="s">
        <v>1654</v>
      </c>
      <c r="N2017" s="219" t="s">
        <v>185</v>
      </c>
      <c r="O2017" s="217">
        <v>42240</v>
      </c>
      <c r="P2017" s="220">
        <f t="shared" si="747"/>
        <v>3</v>
      </c>
      <c r="Q2017" s="218" t="s">
        <v>6666</v>
      </c>
      <c r="R2017" s="216" t="s">
        <v>17</v>
      </c>
      <c r="S2017" s="218" t="s">
        <v>101</v>
      </c>
      <c r="T2017" s="218" t="s">
        <v>6660</v>
      </c>
      <c r="U2017" s="217">
        <v>42240</v>
      </c>
      <c r="V2017" s="221" t="s">
        <v>186</v>
      </c>
      <c r="W2017" s="213">
        <f t="shared" si="745"/>
        <v>0</v>
      </c>
      <c r="X2017" s="213" t="str">
        <f t="shared" si="746"/>
        <v>Correcto</v>
      </c>
    </row>
    <row r="2018" spans="1:24" ht="18" customHeight="1" x14ac:dyDescent="0.25">
      <c r="A2018" s="214">
        <v>2009</v>
      </c>
      <c r="B2018" s="206" t="s">
        <v>6667</v>
      </c>
      <c r="C2018" s="207">
        <v>42237</v>
      </c>
      <c r="D2018" s="216">
        <v>2</v>
      </c>
      <c r="E2018" s="216" t="s">
        <v>93</v>
      </c>
      <c r="F2018" s="209" t="s">
        <v>1654</v>
      </c>
      <c r="G2018" s="209" t="s">
        <v>202</v>
      </c>
      <c r="H2018" s="217">
        <v>42240</v>
      </c>
      <c r="I2018" s="209" t="s">
        <v>187</v>
      </c>
      <c r="J2018" s="209" t="s">
        <v>103</v>
      </c>
      <c r="K2018" s="218" t="s">
        <v>6668</v>
      </c>
      <c r="L2018" s="217">
        <v>42240</v>
      </c>
      <c r="M2018" s="218" t="s">
        <v>1654</v>
      </c>
      <c r="N2018" s="219" t="s">
        <v>185</v>
      </c>
      <c r="O2018" s="217">
        <v>42240</v>
      </c>
      <c r="P2018" s="220">
        <f t="shared" si="747"/>
        <v>3</v>
      </c>
      <c r="Q2018" s="218" t="s">
        <v>6668</v>
      </c>
      <c r="R2018" s="216" t="s">
        <v>17</v>
      </c>
      <c r="S2018" s="218" t="s">
        <v>101</v>
      </c>
      <c r="T2018" s="218" t="s">
        <v>1496</v>
      </c>
      <c r="U2018" s="217">
        <v>42242</v>
      </c>
      <c r="V2018" s="221" t="s">
        <v>186</v>
      </c>
      <c r="W2018" s="213">
        <f t="shared" si="745"/>
        <v>0</v>
      </c>
      <c r="X2018" s="213" t="str">
        <f t="shared" si="746"/>
        <v>Correcto</v>
      </c>
    </row>
    <row r="2019" spans="1:24" ht="18" customHeight="1" x14ac:dyDescent="0.25">
      <c r="A2019" s="214">
        <v>2010</v>
      </c>
      <c r="B2019" s="206" t="s">
        <v>6669</v>
      </c>
      <c r="C2019" s="207">
        <v>42237</v>
      </c>
      <c r="D2019" s="216">
        <v>2</v>
      </c>
      <c r="E2019" s="216" t="s">
        <v>93</v>
      </c>
      <c r="F2019" s="209" t="s">
        <v>1654</v>
      </c>
      <c r="G2019" s="209" t="s">
        <v>202</v>
      </c>
      <c r="H2019" s="217">
        <v>42240</v>
      </c>
      <c r="I2019" s="209" t="s">
        <v>187</v>
      </c>
      <c r="J2019" s="209" t="s">
        <v>103</v>
      </c>
      <c r="K2019" s="218" t="s">
        <v>6670</v>
      </c>
      <c r="L2019" s="217">
        <v>42240</v>
      </c>
      <c r="M2019" s="218" t="s">
        <v>1654</v>
      </c>
      <c r="N2019" s="219" t="s">
        <v>185</v>
      </c>
      <c r="O2019" s="217">
        <v>42240</v>
      </c>
      <c r="P2019" s="220">
        <f t="shared" si="747"/>
        <v>3</v>
      </c>
      <c r="Q2019" s="218" t="s">
        <v>6670</v>
      </c>
      <c r="R2019" s="216" t="s">
        <v>17</v>
      </c>
      <c r="S2019" s="218" t="s">
        <v>101</v>
      </c>
      <c r="T2019" s="218" t="s">
        <v>1391</v>
      </c>
      <c r="U2019" s="217">
        <v>42240</v>
      </c>
      <c r="V2019" s="221" t="s">
        <v>186</v>
      </c>
      <c r="W2019" s="213">
        <f t="shared" si="745"/>
        <v>0</v>
      </c>
      <c r="X2019" s="213" t="str">
        <f t="shared" si="746"/>
        <v>Correcto</v>
      </c>
    </row>
    <row r="2020" spans="1:24" ht="18" customHeight="1" x14ac:dyDescent="0.25">
      <c r="A2020" s="214">
        <v>2011</v>
      </c>
      <c r="B2020" s="206" t="s">
        <v>6671</v>
      </c>
      <c r="C2020" s="207">
        <v>42237</v>
      </c>
      <c r="D2020" s="216">
        <v>33</v>
      </c>
      <c r="E2020" s="216" t="s">
        <v>93</v>
      </c>
      <c r="F2020" s="209" t="s">
        <v>1654</v>
      </c>
      <c r="G2020" s="209" t="s">
        <v>202</v>
      </c>
      <c r="H2020" s="217">
        <v>42240</v>
      </c>
      <c r="I2020" s="209" t="s">
        <v>187</v>
      </c>
      <c r="J2020" s="209" t="s">
        <v>103</v>
      </c>
      <c r="K2020" s="218" t="s">
        <v>6672</v>
      </c>
      <c r="L2020" s="217">
        <v>42240</v>
      </c>
      <c r="M2020" s="218" t="s">
        <v>1654</v>
      </c>
      <c r="N2020" s="219" t="s">
        <v>188</v>
      </c>
      <c r="O2020" s="217">
        <v>42240</v>
      </c>
      <c r="P2020" s="220">
        <f t="shared" si="747"/>
        <v>3</v>
      </c>
      <c r="Q2020" s="218" t="s">
        <v>6672</v>
      </c>
      <c r="R2020" s="216" t="s">
        <v>17</v>
      </c>
      <c r="S2020" s="218" t="s">
        <v>2243</v>
      </c>
      <c r="T2020" s="218" t="s">
        <v>6673</v>
      </c>
      <c r="U2020" s="217">
        <v>42240</v>
      </c>
      <c r="V2020" s="221" t="s">
        <v>186</v>
      </c>
      <c r="W2020" s="213">
        <f t="shared" si="745"/>
        <v>0</v>
      </c>
      <c r="X2020" s="213" t="str">
        <f t="shared" si="746"/>
        <v>Correcto</v>
      </c>
    </row>
    <row r="2021" spans="1:24" ht="18" customHeight="1" x14ac:dyDescent="0.25">
      <c r="A2021" s="214">
        <v>2012</v>
      </c>
      <c r="B2021" s="206" t="s">
        <v>6674</v>
      </c>
      <c r="C2021" s="207">
        <v>42240</v>
      </c>
      <c r="D2021" s="216">
        <v>2</v>
      </c>
      <c r="E2021" s="216" t="s">
        <v>93</v>
      </c>
      <c r="F2021" s="209" t="s">
        <v>1654</v>
      </c>
      <c r="G2021" s="209" t="s">
        <v>202</v>
      </c>
      <c r="H2021" s="217">
        <v>42240</v>
      </c>
      <c r="I2021" s="209" t="s">
        <v>187</v>
      </c>
      <c r="J2021" s="209" t="s">
        <v>103</v>
      </c>
      <c r="K2021" s="218" t="s">
        <v>6675</v>
      </c>
      <c r="L2021" s="217">
        <v>42240</v>
      </c>
      <c r="M2021" s="218" t="s">
        <v>1654</v>
      </c>
      <c r="N2021" s="219" t="s">
        <v>185</v>
      </c>
      <c r="O2021" s="217">
        <v>42240</v>
      </c>
      <c r="P2021" s="220">
        <f t="shared" si="747"/>
        <v>0</v>
      </c>
      <c r="Q2021" s="218" t="s">
        <v>6675</v>
      </c>
      <c r="R2021" s="216" t="s">
        <v>17</v>
      </c>
      <c r="S2021" s="218" t="s">
        <v>101</v>
      </c>
      <c r="T2021" s="218" t="s">
        <v>1496</v>
      </c>
      <c r="U2021" s="217">
        <v>42240</v>
      </c>
      <c r="V2021" s="221" t="s">
        <v>186</v>
      </c>
      <c r="W2021" s="213">
        <f t="shared" si="745"/>
        <v>0</v>
      </c>
      <c r="X2021" s="213" t="str">
        <f t="shared" si="746"/>
        <v>Correcto</v>
      </c>
    </row>
    <row r="2022" spans="1:24" ht="18" customHeight="1" x14ac:dyDescent="0.25">
      <c r="A2022" s="214">
        <v>2013</v>
      </c>
      <c r="B2022" s="206" t="s">
        <v>6676</v>
      </c>
      <c r="C2022" s="207">
        <v>42240</v>
      </c>
      <c r="D2022" s="216">
        <v>2</v>
      </c>
      <c r="E2022" s="216" t="s">
        <v>93</v>
      </c>
      <c r="F2022" s="209" t="s">
        <v>1201</v>
      </c>
      <c r="G2022" s="209" t="s">
        <v>202</v>
      </c>
      <c r="H2022" s="217">
        <v>42241</v>
      </c>
      <c r="I2022" s="209" t="s">
        <v>187</v>
      </c>
      <c r="J2022" s="209" t="s">
        <v>103</v>
      </c>
      <c r="K2022" s="218" t="s">
        <v>6677</v>
      </c>
      <c r="L2022" s="217">
        <v>42241</v>
      </c>
      <c r="M2022" s="218" t="s">
        <v>1654</v>
      </c>
      <c r="N2022" s="219" t="s">
        <v>185</v>
      </c>
      <c r="O2022" s="217">
        <v>42241</v>
      </c>
      <c r="P2022" s="220">
        <f t="shared" si="747"/>
        <v>1</v>
      </c>
      <c r="Q2022" s="218" t="s">
        <v>6677</v>
      </c>
      <c r="R2022" s="216" t="s">
        <v>17</v>
      </c>
      <c r="S2022" s="218" t="s">
        <v>101</v>
      </c>
      <c r="T2022" s="218" t="s">
        <v>1286</v>
      </c>
      <c r="U2022" s="217">
        <v>42242</v>
      </c>
      <c r="V2022" s="221" t="s">
        <v>186</v>
      </c>
      <c r="W2022" s="213">
        <f t="shared" si="745"/>
        <v>0</v>
      </c>
      <c r="X2022" s="213" t="str">
        <f t="shared" si="746"/>
        <v>Correcto</v>
      </c>
    </row>
    <row r="2023" spans="1:24" ht="18" customHeight="1" x14ac:dyDescent="0.25">
      <c r="A2023" s="214">
        <v>2014</v>
      </c>
      <c r="B2023" s="206" t="s">
        <v>6678</v>
      </c>
      <c r="C2023" s="207">
        <v>42240</v>
      </c>
      <c r="D2023" s="216">
        <v>28</v>
      </c>
      <c r="E2023" s="216" t="s">
        <v>93</v>
      </c>
      <c r="F2023" s="209" t="s">
        <v>1654</v>
      </c>
      <c r="G2023" s="209" t="s">
        <v>202</v>
      </c>
      <c r="H2023" s="217">
        <v>42241</v>
      </c>
      <c r="I2023" s="209" t="s">
        <v>187</v>
      </c>
      <c r="J2023" s="209" t="s">
        <v>103</v>
      </c>
      <c r="K2023" s="218" t="s">
        <v>6679</v>
      </c>
      <c r="L2023" s="217">
        <v>42241</v>
      </c>
      <c r="M2023" s="218" t="s">
        <v>1654</v>
      </c>
      <c r="N2023" s="219" t="s">
        <v>185</v>
      </c>
      <c r="O2023" s="217">
        <v>42241</v>
      </c>
      <c r="P2023" s="220">
        <f t="shared" si="747"/>
        <v>1</v>
      </c>
      <c r="Q2023" s="218" t="s">
        <v>6679</v>
      </c>
      <c r="R2023" s="216" t="s">
        <v>17</v>
      </c>
      <c r="S2023" s="218" t="s">
        <v>101</v>
      </c>
      <c r="T2023" s="218" t="s">
        <v>1286</v>
      </c>
      <c r="U2023" s="217">
        <v>42242</v>
      </c>
      <c r="V2023" s="221" t="s">
        <v>186</v>
      </c>
      <c r="W2023" s="213">
        <f t="shared" si="745"/>
        <v>0</v>
      </c>
      <c r="X2023" s="213" t="str">
        <f t="shared" si="746"/>
        <v>Correcto</v>
      </c>
    </row>
    <row r="2024" spans="1:24" ht="18" customHeight="1" x14ac:dyDescent="0.25">
      <c r="A2024" s="214">
        <v>2015</v>
      </c>
      <c r="B2024" s="206" t="s">
        <v>6680</v>
      </c>
      <c r="C2024" s="207">
        <v>42240</v>
      </c>
      <c r="D2024" s="216">
        <v>18</v>
      </c>
      <c r="E2024" s="216" t="s">
        <v>93</v>
      </c>
      <c r="F2024" s="209" t="s">
        <v>1654</v>
      </c>
      <c r="G2024" s="209" t="s">
        <v>202</v>
      </c>
      <c r="H2024" s="217">
        <v>42241</v>
      </c>
      <c r="I2024" s="209" t="s">
        <v>187</v>
      </c>
      <c r="J2024" s="209" t="s">
        <v>103</v>
      </c>
      <c r="K2024" s="218" t="s">
        <v>6681</v>
      </c>
      <c r="L2024" s="217">
        <v>42241</v>
      </c>
      <c r="M2024" s="218" t="s">
        <v>1654</v>
      </c>
      <c r="N2024" s="219" t="s">
        <v>185</v>
      </c>
      <c r="O2024" s="217">
        <v>42241</v>
      </c>
      <c r="P2024" s="220">
        <f t="shared" si="747"/>
        <v>1</v>
      </c>
      <c r="Q2024" s="218" t="s">
        <v>6681</v>
      </c>
      <c r="R2024" s="216" t="s">
        <v>17</v>
      </c>
      <c r="S2024" s="218" t="s">
        <v>101</v>
      </c>
      <c r="T2024" s="218" t="s">
        <v>6157</v>
      </c>
      <c r="U2024" s="217">
        <v>42242</v>
      </c>
      <c r="V2024" s="221" t="s">
        <v>186</v>
      </c>
      <c r="W2024" s="213">
        <f t="shared" si="745"/>
        <v>0</v>
      </c>
      <c r="X2024" s="213" t="str">
        <f t="shared" si="746"/>
        <v>Correcto</v>
      </c>
    </row>
    <row r="2025" spans="1:24" ht="18" customHeight="1" x14ac:dyDescent="0.25">
      <c r="A2025" s="214">
        <v>2016</v>
      </c>
      <c r="B2025" s="206" t="s">
        <v>6682</v>
      </c>
      <c r="C2025" s="207">
        <v>42240</v>
      </c>
      <c r="D2025" s="216">
        <v>2</v>
      </c>
      <c r="E2025" s="216" t="s">
        <v>93</v>
      </c>
      <c r="F2025" s="209" t="s">
        <v>1654</v>
      </c>
      <c r="G2025" s="209" t="s">
        <v>202</v>
      </c>
      <c r="H2025" s="217">
        <v>42241</v>
      </c>
      <c r="I2025" s="209" t="s">
        <v>187</v>
      </c>
      <c r="J2025" s="209" t="s">
        <v>103</v>
      </c>
      <c r="K2025" s="218" t="s">
        <v>6683</v>
      </c>
      <c r="L2025" s="217">
        <v>42241</v>
      </c>
      <c r="M2025" s="218" t="s">
        <v>1654</v>
      </c>
      <c r="N2025" s="219" t="s">
        <v>185</v>
      </c>
      <c r="O2025" s="217">
        <v>42241</v>
      </c>
      <c r="P2025" s="220">
        <f t="shared" si="747"/>
        <v>1</v>
      </c>
      <c r="Q2025" s="218" t="s">
        <v>6683</v>
      </c>
      <c r="R2025" s="216" t="s">
        <v>17</v>
      </c>
      <c r="S2025" s="218" t="s">
        <v>101</v>
      </c>
      <c r="T2025" s="218" t="s">
        <v>6684</v>
      </c>
      <c r="U2025" s="217">
        <v>42242</v>
      </c>
      <c r="V2025" s="221" t="s">
        <v>186</v>
      </c>
      <c r="W2025" s="213">
        <f t="shared" si="745"/>
        <v>0</v>
      </c>
      <c r="X2025" s="213" t="str">
        <f t="shared" si="746"/>
        <v>Correcto</v>
      </c>
    </row>
    <row r="2026" spans="1:24" ht="18" customHeight="1" x14ac:dyDescent="0.25">
      <c r="A2026" s="214">
        <v>2017</v>
      </c>
      <c r="B2026" s="206" t="s">
        <v>6685</v>
      </c>
      <c r="C2026" s="207">
        <v>42240</v>
      </c>
      <c r="D2026" s="216">
        <v>2</v>
      </c>
      <c r="E2026" s="216" t="s">
        <v>93</v>
      </c>
      <c r="F2026" s="209" t="s">
        <v>1654</v>
      </c>
      <c r="G2026" s="209" t="s">
        <v>202</v>
      </c>
      <c r="H2026" s="217">
        <v>42241</v>
      </c>
      <c r="I2026" s="209" t="s">
        <v>187</v>
      </c>
      <c r="J2026" s="209" t="s">
        <v>103</v>
      </c>
      <c r="K2026" s="218" t="s">
        <v>6686</v>
      </c>
      <c r="L2026" s="217">
        <v>42241</v>
      </c>
      <c r="M2026" s="218" t="s">
        <v>1654</v>
      </c>
      <c r="N2026" s="219" t="s">
        <v>185</v>
      </c>
      <c r="O2026" s="217">
        <v>42241</v>
      </c>
      <c r="P2026" s="220">
        <f t="shared" si="747"/>
        <v>1</v>
      </c>
      <c r="Q2026" s="218" t="s">
        <v>6686</v>
      </c>
      <c r="R2026" s="216" t="s">
        <v>17</v>
      </c>
      <c r="S2026" s="218" t="s">
        <v>1496</v>
      </c>
      <c r="T2026" s="218" t="s">
        <v>6687</v>
      </c>
      <c r="U2026" s="217">
        <v>42241</v>
      </c>
      <c r="V2026" s="221" t="s">
        <v>6131</v>
      </c>
      <c r="W2026" s="213">
        <f t="shared" si="745"/>
        <v>0</v>
      </c>
      <c r="X2026" s="213" t="str">
        <f t="shared" si="746"/>
        <v>Correcto</v>
      </c>
    </row>
    <row r="2027" spans="1:24" ht="18" customHeight="1" x14ac:dyDescent="0.25">
      <c r="A2027" s="214">
        <v>2018</v>
      </c>
      <c r="B2027" s="206" t="s">
        <v>6688</v>
      </c>
      <c r="C2027" s="207">
        <v>42240</v>
      </c>
      <c r="D2027" s="216">
        <v>2</v>
      </c>
      <c r="E2027" s="216" t="s">
        <v>93</v>
      </c>
      <c r="F2027" s="209" t="s">
        <v>1654</v>
      </c>
      <c r="G2027" s="209" t="s">
        <v>202</v>
      </c>
      <c r="H2027" s="217">
        <v>42241</v>
      </c>
      <c r="I2027" s="209" t="s">
        <v>187</v>
      </c>
      <c r="J2027" s="209" t="s">
        <v>103</v>
      </c>
      <c r="K2027" s="218" t="s">
        <v>6689</v>
      </c>
      <c r="L2027" s="217">
        <v>42241</v>
      </c>
      <c r="M2027" s="218" t="s">
        <v>1654</v>
      </c>
      <c r="N2027" s="219" t="s">
        <v>185</v>
      </c>
      <c r="O2027" s="217">
        <v>42241</v>
      </c>
      <c r="P2027" s="220">
        <f t="shared" si="747"/>
        <v>1</v>
      </c>
      <c r="Q2027" s="218" t="s">
        <v>6689</v>
      </c>
      <c r="R2027" s="216" t="s">
        <v>17</v>
      </c>
      <c r="S2027" s="218" t="s">
        <v>101</v>
      </c>
      <c r="T2027" s="218" t="s">
        <v>3938</v>
      </c>
      <c r="U2027" s="217">
        <v>42242</v>
      </c>
      <c r="V2027" s="221" t="s">
        <v>186</v>
      </c>
      <c r="W2027" s="213">
        <f t="shared" si="745"/>
        <v>0</v>
      </c>
      <c r="X2027" s="213" t="str">
        <f t="shared" si="746"/>
        <v>Correcto</v>
      </c>
    </row>
    <row r="2028" spans="1:24" ht="18" customHeight="1" x14ac:dyDescent="0.25">
      <c r="A2028" s="214">
        <v>2019</v>
      </c>
      <c r="B2028" s="206" t="s">
        <v>6690</v>
      </c>
      <c r="C2028" s="207">
        <v>42240</v>
      </c>
      <c r="D2028" s="216">
        <v>2</v>
      </c>
      <c r="E2028" s="216" t="s">
        <v>93</v>
      </c>
      <c r="F2028" s="209" t="s">
        <v>1654</v>
      </c>
      <c r="G2028" s="209" t="s">
        <v>202</v>
      </c>
      <c r="H2028" s="217">
        <v>42241</v>
      </c>
      <c r="I2028" s="209" t="s">
        <v>187</v>
      </c>
      <c r="J2028" s="209" t="s">
        <v>103</v>
      </c>
      <c r="K2028" s="218" t="s">
        <v>6691</v>
      </c>
      <c r="L2028" s="217">
        <v>42241</v>
      </c>
      <c r="M2028" s="218" t="s">
        <v>1654</v>
      </c>
      <c r="N2028" s="219" t="s">
        <v>185</v>
      </c>
      <c r="O2028" s="217">
        <v>42241</v>
      </c>
      <c r="P2028" s="220">
        <f t="shared" si="747"/>
        <v>1</v>
      </c>
      <c r="Q2028" s="218" t="s">
        <v>6691</v>
      </c>
      <c r="R2028" s="216" t="s">
        <v>17</v>
      </c>
      <c r="S2028" s="218" t="s">
        <v>101</v>
      </c>
      <c r="T2028" s="218" t="s">
        <v>6692</v>
      </c>
      <c r="U2028" s="217">
        <v>42242</v>
      </c>
      <c r="V2028" s="221" t="s">
        <v>186</v>
      </c>
      <c r="W2028" s="213">
        <f t="shared" si="745"/>
        <v>0</v>
      </c>
      <c r="X2028" s="213" t="str">
        <f t="shared" si="746"/>
        <v>Correcto</v>
      </c>
    </row>
    <row r="2029" spans="1:24" ht="18" customHeight="1" x14ac:dyDescent="0.25">
      <c r="A2029" s="214">
        <v>2020</v>
      </c>
      <c r="B2029" s="206" t="s">
        <v>6693</v>
      </c>
      <c r="C2029" s="207">
        <v>42240</v>
      </c>
      <c r="D2029" s="216">
        <v>2</v>
      </c>
      <c r="E2029" s="216" t="s">
        <v>93</v>
      </c>
      <c r="F2029" s="209" t="s">
        <v>1654</v>
      </c>
      <c r="G2029" s="209" t="s">
        <v>202</v>
      </c>
      <c r="H2029" s="217">
        <v>42241</v>
      </c>
      <c r="I2029" s="209" t="s">
        <v>187</v>
      </c>
      <c r="J2029" s="209" t="s">
        <v>103</v>
      </c>
      <c r="K2029" s="218" t="s">
        <v>6694</v>
      </c>
      <c r="L2029" s="217">
        <v>42241</v>
      </c>
      <c r="M2029" s="218" t="s">
        <v>1654</v>
      </c>
      <c r="N2029" s="219" t="s">
        <v>185</v>
      </c>
      <c r="O2029" s="217">
        <v>42241</v>
      </c>
      <c r="P2029" s="220">
        <f t="shared" si="747"/>
        <v>1</v>
      </c>
      <c r="Q2029" s="218" t="s">
        <v>6694</v>
      </c>
      <c r="R2029" s="216" t="s">
        <v>17</v>
      </c>
      <c r="S2029" s="218" t="s">
        <v>6695</v>
      </c>
      <c r="T2029" s="218" t="s">
        <v>6696</v>
      </c>
      <c r="U2029" s="217">
        <v>42242</v>
      </c>
      <c r="V2029" s="221" t="s">
        <v>186</v>
      </c>
      <c r="W2029" s="213">
        <f t="shared" si="745"/>
        <v>0</v>
      </c>
      <c r="X2029" s="213" t="str">
        <f t="shared" si="746"/>
        <v>Correcto</v>
      </c>
    </row>
    <row r="2030" spans="1:24" ht="18" customHeight="1" x14ac:dyDescent="0.25">
      <c r="A2030" s="214">
        <v>2021</v>
      </c>
      <c r="B2030" s="206" t="s">
        <v>6697</v>
      </c>
      <c r="C2030" s="207">
        <v>42240</v>
      </c>
      <c r="D2030" s="216">
        <v>2</v>
      </c>
      <c r="E2030" s="216" t="s">
        <v>93</v>
      </c>
      <c r="F2030" s="209" t="s">
        <v>1654</v>
      </c>
      <c r="G2030" s="209" t="s">
        <v>202</v>
      </c>
      <c r="H2030" s="217">
        <v>42241</v>
      </c>
      <c r="I2030" s="209" t="s">
        <v>6698</v>
      </c>
      <c r="J2030" s="209" t="s">
        <v>103</v>
      </c>
      <c r="K2030" s="218" t="s">
        <v>6699</v>
      </c>
      <c r="L2030" s="217">
        <v>42242</v>
      </c>
      <c r="M2030" s="218" t="s">
        <v>6700</v>
      </c>
      <c r="N2030" s="219" t="s">
        <v>6701</v>
      </c>
      <c r="O2030" s="217">
        <v>42247</v>
      </c>
      <c r="P2030" s="220">
        <f t="shared" si="747"/>
        <v>7</v>
      </c>
      <c r="Q2030" s="218"/>
      <c r="R2030" s="216" t="s">
        <v>17</v>
      </c>
      <c r="S2030" s="218" t="s">
        <v>101</v>
      </c>
      <c r="T2030" s="218" t="s">
        <v>6702</v>
      </c>
      <c r="U2030" s="217"/>
      <c r="V2030" s="221"/>
      <c r="W2030" s="213">
        <f t="shared" si="745"/>
        <v>3</v>
      </c>
      <c r="X2030" s="213" t="str">
        <f t="shared" si="746"/>
        <v>Incorrecto</v>
      </c>
    </row>
    <row r="2031" spans="1:24" ht="18" customHeight="1" x14ac:dyDescent="0.25">
      <c r="A2031" s="214">
        <v>2022</v>
      </c>
      <c r="B2031" s="206" t="s">
        <v>6703</v>
      </c>
      <c r="C2031" s="207">
        <v>42240</v>
      </c>
      <c r="D2031" s="216">
        <v>2</v>
      </c>
      <c r="E2031" s="216" t="s">
        <v>93</v>
      </c>
      <c r="F2031" s="209" t="s">
        <v>1654</v>
      </c>
      <c r="G2031" s="209" t="s">
        <v>202</v>
      </c>
      <c r="H2031" s="217">
        <v>42241</v>
      </c>
      <c r="I2031" s="209" t="s">
        <v>187</v>
      </c>
      <c r="J2031" s="209" t="s">
        <v>103</v>
      </c>
      <c r="K2031" s="218" t="s">
        <v>6704</v>
      </c>
      <c r="L2031" s="217">
        <v>42241</v>
      </c>
      <c r="M2031" s="218" t="s">
        <v>1654</v>
      </c>
      <c r="N2031" s="219" t="s">
        <v>185</v>
      </c>
      <c r="O2031" s="217">
        <v>42241</v>
      </c>
      <c r="P2031" s="220">
        <f t="shared" si="747"/>
        <v>1</v>
      </c>
      <c r="Q2031" s="218" t="s">
        <v>6704</v>
      </c>
      <c r="R2031" s="216" t="s">
        <v>17</v>
      </c>
      <c r="S2031" s="218" t="s">
        <v>6705</v>
      </c>
      <c r="T2031" s="218">
        <v>1102242615</v>
      </c>
      <c r="U2031" s="217">
        <v>42241</v>
      </c>
      <c r="V2031" s="221" t="s">
        <v>186</v>
      </c>
      <c r="W2031" s="213">
        <f t="shared" si="745"/>
        <v>0</v>
      </c>
      <c r="X2031" s="213" t="str">
        <f t="shared" si="746"/>
        <v>Correcto</v>
      </c>
    </row>
    <row r="2032" spans="1:24" ht="18" customHeight="1" x14ac:dyDescent="0.25">
      <c r="A2032" s="214">
        <v>2023</v>
      </c>
      <c r="B2032" s="206" t="s">
        <v>6706</v>
      </c>
      <c r="C2032" s="207">
        <v>42240</v>
      </c>
      <c r="D2032" s="216">
        <v>2</v>
      </c>
      <c r="E2032" s="216" t="s">
        <v>93</v>
      </c>
      <c r="F2032" s="209" t="s">
        <v>1654</v>
      </c>
      <c r="G2032" s="209" t="s">
        <v>202</v>
      </c>
      <c r="H2032" s="217">
        <v>42241</v>
      </c>
      <c r="I2032" s="209" t="s">
        <v>187</v>
      </c>
      <c r="J2032" s="209" t="s">
        <v>103</v>
      </c>
      <c r="K2032" s="218" t="s">
        <v>6707</v>
      </c>
      <c r="L2032" s="217">
        <v>42241</v>
      </c>
      <c r="M2032" s="218" t="s">
        <v>1654</v>
      </c>
      <c r="N2032" s="219" t="s">
        <v>185</v>
      </c>
      <c r="O2032" s="217">
        <v>42241</v>
      </c>
      <c r="P2032" s="220">
        <f t="shared" si="747"/>
        <v>1</v>
      </c>
      <c r="Q2032" s="218" t="s">
        <v>6707</v>
      </c>
      <c r="R2032" s="216" t="s">
        <v>17</v>
      </c>
      <c r="S2032" s="218" t="s">
        <v>101</v>
      </c>
      <c r="T2032" s="218" t="s">
        <v>6708</v>
      </c>
      <c r="U2032" s="217">
        <v>42242</v>
      </c>
      <c r="V2032" s="221" t="s">
        <v>186</v>
      </c>
      <c r="W2032" s="213">
        <f t="shared" si="745"/>
        <v>0</v>
      </c>
      <c r="X2032" s="213" t="str">
        <f t="shared" si="746"/>
        <v>Correcto</v>
      </c>
    </row>
    <row r="2033" spans="1:24" ht="18" customHeight="1" x14ac:dyDescent="0.25">
      <c r="A2033" s="214">
        <v>2024</v>
      </c>
      <c r="B2033" s="206" t="s">
        <v>6709</v>
      </c>
      <c r="C2033" s="207">
        <v>42240</v>
      </c>
      <c r="D2033" s="216">
        <v>1</v>
      </c>
      <c r="E2033" s="216" t="s">
        <v>93</v>
      </c>
      <c r="F2033" s="209" t="s">
        <v>1654</v>
      </c>
      <c r="G2033" s="209" t="s">
        <v>202</v>
      </c>
      <c r="H2033" s="217">
        <v>42241</v>
      </c>
      <c r="I2033" s="209" t="s">
        <v>187</v>
      </c>
      <c r="J2033" s="209" t="s">
        <v>103</v>
      </c>
      <c r="K2033" s="218" t="s">
        <v>6710</v>
      </c>
      <c r="L2033" s="217">
        <v>42241</v>
      </c>
      <c r="M2033" s="218" t="s">
        <v>1654</v>
      </c>
      <c r="N2033" s="219" t="s">
        <v>185</v>
      </c>
      <c r="O2033" s="217">
        <v>42241</v>
      </c>
      <c r="P2033" s="220">
        <f t="shared" si="747"/>
        <v>1</v>
      </c>
      <c r="Q2033" s="218" t="s">
        <v>6710</v>
      </c>
      <c r="R2033" s="216" t="s">
        <v>17</v>
      </c>
      <c r="S2033" s="218" t="s">
        <v>6711</v>
      </c>
      <c r="T2033" s="218" t="s">
        <v>6712</v>
      </c>
      <c r="U2033" s="217">
        <v>42241</v>
      </c>
      <c r="V2033" s="221" t="s">
        <v>6131</v>
      </c>
      <c r="W2033" s="213">
        <f t="shared" si="745"/>
        <v>0</v>
      </c>
      <c r="X2033" s="213" t="str">
        <f t="shared" si="746"/>
        <v>Correcto</v>
      </c>
    </row>
    <row r="2034" spans="1:24" ht="18" customHeight="1" x14ac:dyDescent="0.25">
      <c r="A2034" s="214">
        <v>2025</v>
      </c>
      <c r="B2034" s="206" t="s">
        <v>6713</v>
      </c>
      <c r="C2034" s="207">
        <v>42240</v>
      </c>
      <c r="D2034" s="216">
        <v>2</v>
      </c>
      <c r="E2034" s="216" t="s">
        <v>93</v>
      </c>
      <c r="F2034" s="209" t="s">
        <v>1654</v>
      </c>
      <c r="G2034" s="209" t="s">
        <v>202</v>
      </c>
      <c r="H2034" s="217">
        <v>42241</v>
      </c>
      <c r="I2034" s="209" t="s">
        <v>187</v>
      </c>
      <c r="J2034" s="209" t="s">
        <v>103</v>
      </c>
      <c r="K2034" s="218" t="s">
        <v>6714</v>
      </c>
      <c r="L2034" s="217">
        <v>42241</v>
      </c>
      <c r="M2034" s="218" t="s">
        <v>1654</v>
      </c>
      <c r="N2034" s="219" t="s">
        <v>185</v>
      </c>
      <c r="O2034" s="217">
        <v>42241</v>
      </c>
      <c r="P2034" s="220">
        <f t="shared" si="747"/>
        <v>1</v>
      </c>
      <c r="Q2034" s="218" t="s">
        <v>6714</v>
      </c>
      <c r="R2034" s="216" t="s">
        <v>17</v>
      </c>
      <c r="S2034" s="218" t="s">
        <v>6715</v>
      </c>
      <c r="T2034" s="218" t="s">
        <v>6716</v>
      </c>
      <c r="U2034" s="217">
        <v>42242</v>
      </c>
      <c r="V2034" s="221" t="s">
        <v>186</v>
      </c>
      <c r="W2034" s="213">
        <f t="shared" si="745"/>
        <v>0</v>
      </c>
      <c r="X2034" s="213" t="str">
        <f t="shared" si="746"/>
        <v>Correcto</v>
      </c>
    </row>
    <row r="2035" spans="1:24" ht="18" customHeight="1" x14ac:dyDescent="0.25">
      <c r="A2035" s="214">
        <v>2026</v>
      </c>
      <c r="B2035" s="206" t="s">
        <v>6717</v>
      </c>
      <c r="C2035" s="207">
        <v>42240</v>
      </c>
      <c r="D2035" s="216">
        <v>2</v>
      </c>
      <c r="E2035" s="216" t="s">
        <v>93</v>
      </c>
      <c r="F2035" s="209" t="s">
        <v>1654</v>
      </c>
      <c r="G2035" s="209" t="s">
        <v>202</v>
      </c>
      <c r="H2035" s="217">
        <v>42241</v>
      </c>
      <c r="I2035" s="209" t="s">
        <v>187</v>
      </c>
      <c r="J2035" s="209" t="s">
        <v>103</v>
      </c>
      <c r="K2035" s="218" t="s">
        <v>6718</v>
      </c>
      <c r="L2035" s="217">
        <v>42241</v>
      </c>
      <c r="M2035" s="218" t="s">
        <v>1654</v>
      </c>
      <c r="N2035" s="219" t="s">
        <v>185</v>
      </c>
      <c r="O2035" s="217">
        <v>42241</v>
      </c>
      <c r="P2035" s="220">
        <f t="shared" si="747"/>
        <v>1</v>
      </c>
      <c r="Q2035" s="218" t="s">
        <v>6718</v>
      </c>
      <c r="R2035" s="216" t="s">
        <v>17</v>
      </c>
      <c r="S2035" s="218" t="s">
        <v>6715</v>
      </c>
      <c r="T2035" s="218" t="s">
        <v>6719</v>
      </c>
      <c r="U2035" s="217">
        <v>42242</v>
      </c>
      <c r="V2035" s="221" t="s">
        <v>186</v>
      </c>
      <c r="W2035" s="213">
        <f t="shared" si="745"/>
        <v>0</v>
      </c>
      <c r="X2035" s="213" t="str">
        <f t="shared" si="746"/>
        <v>Correcto</v>
      </c>
    </row>
    <row r="2036" spans="1:24" ht="18" customHeight="1" x14ac:dyDescent="0.25">
      <c r="A2036" s="214">
        <v>2027</v>
      </c>
      <c r="B2036" s="206" t="s">
        <v>6720</v>
      </c>
      <c r="C2036" s="207">
        <v>42240</v>
      </c>
      <c r="D2036" s="216">
        <v>2</v>
      </c>
      <c r="E2036" s="216" t="s">
        <v>93</v>
      </c>
      <c r="F2036" s="209" t="s">
        <v>1654</v>
      </c>
      <c r="G2036" s="209" t="s">
        <v>202</v>
      </c>
      <c r="H2036" s="217">
        <v>42241</v>
      </c>
      <c r="I2036" s="209" t="s">
        <v>187</v>
      </c>
      <c r="J2036" s="209" t="s">
        <v>103</v>
      </c>
      <c r="K2036" s="218" t="s">
        <v>6721</v>
      </c>
      <c r="L2036" s="217">
        <v>42241</v>
      </c>
      <c r="M2036" s="218" t="s">
        <v>1654</v>
      </c>
      <c r="N2036" s="219" t="s">
        <v>185</v>
      </c>
      <c r="O2036" s="217">
        <v>42241</v>
      </c>
      <c r="P2036" s="220">
        <f t="shared" si="747"/>
        <v>1</v>
      </c>
      <c r="Q2036" s="218" t="s">
        <v>6721</v>
      </c>
      <c r="R2036" s="216" t="s">
        <v>17</v>
      </c>
      <c r="S2036" s="218" t="s">
        <v>6722</v>
      </c>
      <c r="T2036" s="218" t="s">
        <v>6723</v>
      </c>
      <c r="U2036" s="217">
        <v>42242</v>
      </c>
      <c r="V2036" s="221" t="s">
        <v>186</v>
      </c>
      <c r="W2036" s="213">
        <f t="shared" si="745"/>
        <v>0</v>
      </c>
      <c r="X2036" s="213" t="str">
        <f t="shared" si="746"/>
        <v>Correcto</v>
      </c>
    </row>
    <row r="2037" spans="1:24" ht="18" customHeight="1" x14ac:dyDescent="0.25">
      <c r="A2037" s="214">
        <v>2028</v>
      </c>
      <c r="B2037" s="206" t="s">
        <v>6724</v>
      </c>
      <c r="C2037" s="207">
        <v>42241</v>
      </c>
      <c r="D2037" s="216">
        <v>2</v>
      </c>
      <c r="E2037" s="216" t="s">
        <v>93</v>
      </c>
      <c r="F2037" s="209" t="s">
        <v>1654</v>
      </c>
      <c r="G2037" s="209" t="s">
        <v>202</v>
      </c>
      <c r="H2037" s="217">
        <v>42241</v>
      </c>
      <c r="I2037" s="209" t="s">
        <v>187</v>
      </c>
      <c r="J2037" s="209" t="s">
        <v>103</v>
      </c>
      <c r="K2037" s="218" t="s">
        <v>6725</v>
      </c>
      <c r="L2037" s="217">
        <v>42241</v>
      </c>
      <c r="M2037" s="218" t="s">
        <v>1654</v>
      </c>
      <c r="N2037" s="219" t="s">
        <v>185</v>
      </c>
      <c r="O2037" s="217">
        <v>42241</v>
      </c>
      <c r="P2037" s="220">
        <f t="shared" si="747"/>
        <v>0</v>
      </c>
      <c r="Q2037" s="218" t="s">
        <v>6725</v>
      </c>
      <c r="R2037" s="216" t="s">
        <v>17</v>
      </c>
      <c r="S2037" s="218" t="s">
        <v>101</v>
      </c>
      <c r="T2037" s="218" t="s">
        <v>2730</v>
      </c>
      <c r="U2037" s="217">
        <v>42242</v>
      </c>
      <c r="V2037" s="221" t="s">
        <v>186</v>
      </c>
      <c r="W2037" s="213">
        <f t="shared" si="745"/>
        <v>0</v>
      </c>
      <c r="X2037" s="213" t="str">
        <f t="shared" si="746"/>
        <v>Correcto</v>
      </c>
    </row>
    <row r="2038" spans="1:24" ht="18" customHeight="1" x14ac:dyDescent="0.25">
      <c r="A2038" s="214">
        <v>2029</v>
      </c>
      <c r="B2038" s="206" t="s">
        <v>6726</v>
      </c>
      <c r="C2038" s="207">
        <v>42241</v>
      </c>
      <c r="D2038" s="216">
        <v>2</v>
      </c>
      <c r="E2038" s="216" t="s">
        <v>93</v>
      </c>
      <c r="F2038" s="209" t="s">
        <v>1654</v>
      </c>
      <c r="G2038" s="209" t="s">
        <v>202</v>
      </c>
      <c r="H2038" s="217">
        <v>42241</v>
      </c>
      <c r="I2038" s="209" t="s">
        <v>187</v>
      </c>
      <c r="J2038" s="209" t="s">
        <v>103</v>
      </c>
      <c r="K2038" s="218" t="s">
        <v>6727</v>
      </c>
      <c r="L2038" s="217">
        <v>42241</v>
      </c>
      <c r="M2038" s="218" t="s">
        <v>1654</v>
      </c>
      <c r="N2038" s="219" t="s">
        <v>185</v>
      </c>
      <c r="O2038" s="217">
        <v>42241</v>
      </c>
      <c r="P2038" s="220">
        <f t="shared" si="747"/>
        <v>0</v>
      </c>
      <c r="Q2038" s="218" t="s">
        <v>6727</v>
      </c>
      <c r="R2038" s="216" t="s">
        <v>17</v>
      </c>
      <c r="S2038" s="218" t="s">
        <v>101</v>
      </c>
      <c r="T2038" s="218" t="s">
        <v>996</v>
      </c>
      <c r="U2038" s="217">
        <v>42242</v>
      </c>
      <c r="V2038" s="221" t="s">
        <v>186</v>
      </c>
      <c r="W2038" s="213">
        <f t="shared" ref="W2038:W2081" si="748">COUNTBLANK(C2038:V2038)</f>
        <v>0</v>
      </c>
      <c r="X2038" s="213" t="str">
        <f t="shared" ref="X2038:X2081" si="749">IF(W2038=0,"Correcto","Incorrecto")</f>
        <v>Correcto</v>
      </c>
    </row>
    <row r="2039" spans="1:24" ht="18" customHeight="1" x14ac:dyDescent="0.25">
      <c r="A2039" s="214">
        <v>2030</v>
      </c>
      <c r="B2039" s="206" t="s">
        <v>6728</v>
      </c>
      <c r="C2039" s="207">
        <v>42241</v>
      </c>
      <c r="D2039" s="216">
        <v>2</v>
      </c>
      <c r="E2039" s="216" t="s">
        <v>93</v>
      </c>
      <c r="F2039" s="209" t="s">
        <v>1654</v>
      </c>
      <c r="G2039" s="209" t="s">
        <v>202</v>
      </c>
      <c r="H2039" s="217">
        <v>42241</v>
      </c>
      <c r="I2039" s="209" t="s">
        <v>187</v>
      </c>
      <c r="J2039" s="209" t="s">
        <v>103</v>
      </c>
      <c r="K2039" s="218" t="s">
        <v>6729</v>
      </c>
      <c r="L2039" s="217">
        <v>42241</v>
      </c>
      <c r="M2039" s="218" t="s">
        <v>1654</v>
      </c>
      <c r="N2039" s="219" t="s">
        <v>185</v>
      </c>
      <c r="O2039" s="217">
        <v>42241</v>
      </c>
      <c r="P2039" s="220">
        <f t="shared" si="747"/>
        <v>0</v>
      </c>
      <c r="Q2039" s="218" t="s">
        <v>6729</v>
      </c>
      <c r="R2039" s="216" t="s">
        <v>17</v>
      </c>
      <c r="S2039" s="218" t="s">
        <v>101</v>
      </c>
      <c r="T2039" s="218" t="s">
        <v>1007</v>
      </c>
      <c r="U2039" s="217">
        <v>42242</v>
      </c>
      <c r="V2039" s="221" t="s">
        <v>186</v>
      </c>
      <c r="W2039" s="213">
        <f t="shared" si="748"/>
        <v>0</v>
      </c>
      <c r="X2039" s="213" t="str">
        <f t="shared" si="749"/>
        <v>Correcto</v>
      </c>
    </row>
    <row r="2040" spans="1:24" ht="18" customHeight="1" x14ac:dyDescent="0.25">
      <c r="A2040" s="214">
        <v>2031</v>
      </c>
      <c r="B2040" s="206" t="s">
        <v>6730</v>
      </c>
      <c r="C2040" s="207">
        <v>42241</v>
      </c>
      <c r="D2040" s="216">
        <v>2</v>
      </c>
      <c r="E2040" s="216" t="s">
        <v>93</v>
      </c>
      <c r="F2040" s="209" t="s">
        <v>1654</v>
      </c>
      <c r="G2040" s="209" t="s">
        <v>202</v>
      </c>
      <c r="H2040" s="217">
        <v>42241</v>
      </c>
      <c r="I2040" s="209" t="s">
        <v>187</v>
      </c>
      <c r="J2040" s="209" t="s">
        <v>103</v>
      </c>
      <c r="K2040" s="218" t="s">
        <v>6731</v>
      </c>
      <c r="L2040" s="217">
        <v>42241</v>
      </c>
      <c r="M2040" s="218" t="s">
        <v>1654</v>
      </c>
      <c r="N2040" s="219" t="s">
        <v>185</v>
      </c>
      <c r="O2040" s="217">
        <v>42241</v>
      </c>
      <c r="P2040" s="220">
        <f t="shared" si="747"/>
        <v>0</v>
      </c>
      <c r="Q2040" s="218" t="s">
        <v>6731</v>
      </c>
      <c r="R2040" s="216" t="s">
        <v>17</v>
      </c>
      <c r="S2040" s="218" t="s">
        <v>101</v>
      </c>
      <c r="T2040" s="218" t="s">
        <v>996</v>
      </c>
      <c r="U2040" s="217">
        <v>42242</v>
      </c>
      <c r="V2040" s="221" t="s">
        <v>186</v>
      </c>
      <c r="W2040" s="213">
        <f t="shared" si="748"/>
        <v>0</v>
      </c>
      <c r="X2040" s="213" t="str">
        <f t="shared" si="749"/>
        <v>Correcto</v>
      </c>
    </row>
    <row r="2041" spans="1:24" ht="18" customHeight="1" x14ac:dyDescent="0.25">
      <c r="A2041" s="214">
        <v>2032</v>
      </c>
      <c r="B2041" s="206" t="s">
        <v>6732</v>
      </c>
      <c r="C2041" s="207">
        <v>42241</v>
      </c>
      <c r="D2041" s="216">
        <v>47</v>
      </c>
      <c r="E2041" s="216" t="s">
        <v>93</v>
      </c>
      <c r="F2041" s="209" t="s">
        <v>1654</v>
      </c>
      <c r="G2041" s="209" t="s">
        <v>202</v>
      </c>
      <c r="H2041" s="217">
        <v>42243</v>
      </c>
      <c r="I2041" s="209" t="s">
        <v>187</v>
      </c>
      <c r="J2041" s="209" t="s">
        <v>103</v>
      </c>
      <c r="K2041" s="218" t="s">
        <v>6733</v>
      </c>
      <c r="L2041" s="217">
        <v>42243</v>
      </c>
      <c r="M2041" s="218" t="s">
        <v>1654</v>
      </c>
      <c r="N2041" s="219" t="s">
        <v>188</v>
      </c>
      <c r="O2041" s="217">
        <v>42243</v>
      </c>
      <c r="P2041" s="220">
        <f t="shared" ref="P2041:P2081" si="750">O2041-C2041</f>
        <v>2</v>
      </c>
      <c r="Q2041" s="218" t="s">
        <v>6733</v>
      </c>
      <c r="R2041" s="216" t="s">
        <v>17</v>
      </c>
      <c r="S2041" s="218" t="s">
        <v>6617</v>
      </c>
      <c r="T2041" s="218" t="s">
        <v>6618</v>
      </c>
      <c r="U2041" s="217">
        <v>42243</v>
      </c>
      <c r="V2041" s="221" t="s">
        <v>186</v>
      </c>
      <c r="W2041" s="213">
        <f t="shared" si="748"/>
        <v>0</v>
      </c>
      <c r="X2041" s="213" t="str">
        <f t="shared" si="749"/>
        <v>Correcto</v>
      </c>
    </row>
    <row r="2042" spans="1:24" ht="18" customHeight="1" x14ac:dyDescent="0.25">
      <c r="A2042" s="214">
        <v>2033</v>
      </c>
      <c r="B2042" s="206" t="s">
        <v>6734</v>
      </c>
      <c r="C2042" s="207">
        <v>42241</v>
      </c>
      <c r="D2042" s="216">
        <v>2</v>
      </c>
      <c r="E2042" s="216" t="s">
        <v>93</v>
      </c>
      <c r="F2042" s="209" t="s">
        <v>1654</v>
      </c>
      <c r="G2042" s="209" t="s">
        <v>202</v>
      </c>
      <c r="H2042" s="217">
        <v>42241</v>
      </c>
      <c r="I2042" s="209" t="s">
        <v>187</v>
      </c>
      <c r="J2042" s="209" t="s">
        <v>103</v>
      </c>
      <c r="K2042" s="218" t="s">
        <v>6735</v>
      </c>
      <c r="L2042" s="217">
        <v>42241</v>
      </c>
      <c r="M2042" s="218" t="s">
        <v>1654</v>
      </c>
      <c r="N2042" s="219" t="s">
        <v>185</v>
      </c>
      <c r="O2042" s="217">
        <v>42241</v>
      </c>
      <c r="P2042" s="220">
        <f t="shared" si="750"/>
        <v>0</v>
      </c>
      <c r="Q2042" s="218" t="s">
        <v>6735</v>
      </c>
      <c r="R2042" s="216" t="s">
        <v>17</v>
      </c>
      <c r="S2042" s="218" t="s">
        <v>101</v>
      </c>
      <c r="T2042" s="218" t="s">
        <v>6617</v>
      </c>
      <c r="U2042" s="217">
        <v>42242</v>
      </c>
      <c r="V2042" s="221" t="s">
        <v>186</v>
      </c>
      <c r="W2042" s="213">
        <f t="shared" si="748"/>
        <v>0</v>
      </c>
      <c r="X2042" s="213" t="str">
        <f t="shared" si="749"/>
        <v>Correcto</v>
      </c>
    </row>
    <row r="2043" spans="1:24" ht="18" customHeight="1" x14ac:dyDescent="0.25">
      <c r="A2043" s="214">
        <v>2034</v>
      </c>
      <c r="B2043" s="206" t="s">
        <v>6736</v>
      </c>
      <c r="C2043" s="207">
        <v>42241</v>
      </c>
      <c r="D2043" s="216">
        <v>2</v>
      </c>
      <c r="E2043" s="216" t="s">
        <v>93</v>
      </c>
      <c r="F2043" s="209" t="s">
        <v>1654</v>
      </c>
      <c r="G2043" s="209" t="s">
        <v>202</v>
      </c>
      <c r="H2043" s="217">
        <v>42243</v>
      </c>
      <c r="I2043" s="209" t="s">
        <v>187</v>
      </c>
      <c r="J2043" s="209" t="s">
        <v>103</v>
      </c>
      <c r="K2043" s="218" t="s">
        <v>6737</v>
      </c>
      <c r="L2043" s="217">
        <v>42243</v>
      </c>
      <c r="M2043" s="218" t="s">
        <v>1654</v>
      </c>
      <c r="N2043" s="219" t="s">
        <v>185</v>
      </c>
      <c r="O2043" s="217">
        <v>42243</v>
      </c>
      <c r="P2043" s="220">
        <f t="shared" si="750"/>
        <v>2</v>
      </c>
      <c r="Q2043" s="218" t="s">
        <v>6737</v>
      </c>
      <c r="R2043" s="216" t="s">
        <v>17</v>
      </c>
      <c r="S2043" s="218" t="s">
        <v>6738</v>
      </c>
      <c r="T2043" s="218" t="s">
        <v>6739</v>
      </c>
      <c r="U2043" s="217">
        <v>42244</v>
      </c>
      <c r="V2043" s="221" t="s">
        <v>186</v>
      </c>
      <c r="W2043" s="213">
        <f t="shared" si="748"/>
        <v>0</v>
      </c>
      <c r="X2043" s="213" t="str">
        <f t="shared" si="749"/>
        <v>Correcto</v>
      </c>
    </row>
    <row r="2044" spans="1:24" ht="18" customHeight="1" x14ac:dyDescent="0.25">
      <c r="A2044" s="214">
        <v>2035</v>
      </c>
      <c r="B2044" s="206" t="s">
        <v>6740</v>
      </c>
      <c r="C2044" s="207">
        <v>42241</v>
      </c>
      <c r="D2044" s="216">
        <v>2</v>
      </c>
      <c r="E2044" s="216" t="s">
        <v>93</v>
      </c>
      <c r="F2044" s="209" t="s">
        <v>1654</v>
      </c>
      <c r="G2044" s="209" t="s">
        <v>202</v>
      </c>
      <c r="H2044" s="217">
        <v>42243</v>
      </c>
      <c r="I2044" s="209" t="s">
        <v>187</v>
      </c>
      <c r="J2044" s="209" t="s">
        <v>103</v>
      </c>
      <c r="K2044" s="218" t="s">
        <v>6741</v>
      </c>
      <c r="L2044" s="217">
        <v>42243</v>
      </c>
      <c r="M2044" s="218" t="s">
        <v>1654</v>
      </c>
      <c r="N2044" s="219" t="s">
        <v>185</v>
      </c>
      <c r="O2044" s="217">
        <v>42243</v>
      </c>
      <c r="P2044" s="220">
        <f t="shared" si="750"/>
        <v>2</v>
      </c>
      <c r="Q2044" s="218" t="s">
        <v>6741</v>
      </c>
      <c r="R2044" s="216" t="s">
        <v>17</v>
      </c>
      <c r="S2044" s="218" t="s">
        <v>6742</v>
      </c>
      <c r="T2044" s="218" t="s">
        <v>6743</v>
      </c>
      <c r="U2044" s="217">
        <v>42243</v>
      </c>
      <c r="V2044" s="221" t="s">
        <v>6131</v>
      </c>
      <c r="W2044" s="213">
        <f t="shared" si="748"/>
        <v>0</v>
      </c>
      <c r="X2044" s="213" t="str">
        <f t="shared" si="749"/>
        <v>Correcto</v>
      </c>
    </row>
    <row r="2045" spans="1:24" ht="18" customHeight="1" x14ac:dyDescent="0.25">
      <c r="A2045" s="214">
        <v>2036</v>
      </c>
      <c r="B2045" s="206" t="s">
        <v>6744</v>
      </c>
      <c r="C2045" s="207">
        <v>42241</v>
      </c>
      <c r="D2045" s="216">
        <v>2</v>
      </c>
      <c r="E2045" s="216" t="s">
        <v>93</v>
      </c>
      <c r="F2045" s="209" t="s">
        <v>1654</v>
      </c>
      <c r="G2045" s="209" t="s">
        <v>202</v>
      </c>
      <c r="H2045" s="217">
        <v>42243</v>
      </c>
      <c r="I2045" s="209" t="s">
        <v>187</v>
      </c>
      <c r="J2045" s="209" t="s">
        <v>103</v>
      </c>
      <c r="K2045" s="218" t="s">
        <v>6745</v>
      </c>
      <c r="L2045" s="217">
        <v>42243</v>
      </c>
      <c r="M2045" s="218" t="s">
        <v>1654</v>
      </c>
      <c r="N2045" s="219" t="s">
        <v>185</v>
      </c>
      <c r="O2045" s="217">
        <v>42243</v>
      </c>
      <c r="P2045" s="220">
        <f t="shared" si="750"/>
        <v>2</v>
      </c>
      <c r="Q2045" s="218" t="s">
        <v>6745</v>
      </c>
      <c r="R2045" s="216" t="s">
        <v>17</v>
      </c>
      <c r="S2045" s="218" t="s">
        <v>6746</v>
      </c>
      <c r="T2045" s="218" t="s">
        <v>6747</v>
      </c>
      <c r="U2045" s="217">
        <v>42243</v>
      </c>
      <c r="V2045" s="221" t="s">
        <v>186</v>
      </c>
      <c r="W2045" s="213">
        <f t="shared" si="748"/>
        <v>0</v>
      </c>
      <c r="X2045" s="213" t="str">
        <f t="shared" si="749"/>
        <v>Correcto</v>
      </c>
    </row>
    <row r="2046" spans="1:24" ht="18" customHeight="1" x14ac:dyDescent="0.25">
      <c r="A2046" s="214">
        <v>2037</v>
      </c>
      <c r="B2046" s="206" t="s">
        <v>6748</v>
      </c>
      <c r="C2046" s="207">
        <v>42242</v>
      </c>
      <c r="D2046" s="216">
        <v>2</v>
      </c>
      <c r="E2046" s="216" t="s">
        <v>93</v>
      </c>
      <c r="F2046" s="209" t="s">
        <v>1654</v>
      </c>
      <c r="G2046" s="209" t="s">
        <v>202</v>
      </c>
      <c r="H2046" s="217">
        <v>42243</v>
      </c>
      <c r="I2046" s="209" t="s">
        <v>187</v>
      </c>
      <c r="J2046" s="209" t="s">
        <v>103</v>
      </c>
      <c r="K2046" s="218" t="s">
        <v>6749</v>
      </c>
      <c r="L2046" s="217">
        <v>42243</v>
      </c>
      <c r="M2046" s="218" t="s">
        <v>1654</v>
      </c>
      <c r="N2046" s="219" t="s">
        <v>185</v>
      </c>
      <c r="O2046" s="217">
        <v>42243</v>
      </c>
      <c r="P2046" s="220">
        <f t="shared" si="750"/>
        <v>1</v>
      </c>
      <c r="Q2046" s="218" t="s">
        <v>6749</v>
      </c>
      <c r="R2046" s="216" t="s">
        <v>17</v>
      </c>
      <c r="S2046" s="218" t="s">
        <v>6750</v>
      </c>
      <c r="T2046" s="218" t="s">
        <v>6751</v>
      </c>
      <c r="U2046" s="217">
        <v>42244</v>
      </c>
      <c r="V2046" s="221" t="s">
        <v>186</v>
      </c>
      <c r="W2046" s="213">
        <f t="shared" si="748"/>
        <v>0</v>
      </c>
      <c r="X2046" s="213" t="str">
        <f t="shared" si="749"/>
        <v>Correcto</v>
      </c>
    </row>
    <row r="2047" spans="1:24" ht="18" customHeight="1" x14ac:dyDescent="0.25">
      <c r="A2047" s="214">
        <v>2038</v>
      </c>
      <c r="B2047" s="206" t="s">
        <v>6752</v>
      </c>
      <c r="C2047" s="207">
        <v>42242</v>
      </c>
      <c r="D2047" s="216">
        <v>2</v>
      </c>
      <c r="E2047" s="216" t="s">
        <v>93</v>
      </c>
      <c r="F2047" s="209" t="s">
        <v>1654</v>
      </c>
      <c r="G2047" s="209" t="s">
        <v>202</v>
      </c>
      <c r="H2047" s="217">
        <v>42244</v>
      </c>
      <c r="I2047" s="209" t="s">
        <v>187</v>
      </c>
      <c r="J2047" s="209" t="s">
        <v>103</v>
      </c>
      <c r="K2047" s="218" t="s">
        <v>6753</v>
      </c>
      <c r="L2047" s="217">
        <v>42244</v>
      </c>
      <c r="M2047" s="218" t="s">
        <v>1654</v>
      </c>
      <c r="N2047" s="219" t="s">
        <v>185</v>
      </c>
      <c r="O2047" s="217">
        <v>42244</v>
      </c>
      <c r="P2047" s="220">
        <f t="shared" si="750"/>
        <v>2</v>
      </c>
      <c r="Q2047" s="218" t="s">
        <v>6753</v>
      </c>
      <c r="R2047" s="216" t="s">
        <v>17</v>
      </c>
      <c r="S2047" s="218" t="s">
        <v>101</v>
      </c>
      <c r="T2047" s="218" t="s">
        <v>1012</v>
      </c>
      <c r="U2047" s="217">
        <v>42247</v>
      </c>
      <c r="V2047" s="221" t="s">
        <v>186</v>
      </c>
      <c r="W2047" s="213">
        <f t="shared" si="748"/>
        <v>0</v>
      </c>
      <c r="X2047" s="213" t="str">
        <f t="shared" si="749"/>
        <v>Correcto</v>
      </c>
    </row>
    <row r="2048" spans="1:24" ht="18" customHeight="1" x14ac:dyDescent="0.25">
      <c r="A2048" s="214">
        <v>2039</v>
      </c>
      <c r="B2048" s="206" t="s">
        <v>6754</v>
      </c>
      <c r="C2048" s="207">
        <v>42242</v>
      </c>
      <c r="D2048" s="216">
        <v>6</v>
      </c>
      <c r="E2048" s="216" t="s">
        <v>93</v>
      </c>
      <c r="F2048" s="209" t="s">
        <v>1654</v>
      </c>
      <c r="G2048" s="209" t="s">
        <v>202</v>
      </c>
      <c r="H2048" s="217">
        <v>42244</v>
      </c>
      <c r="I2048" s="209" t="s">
        <v>187</v>
      </c>
      <c r="J2048" s="209" t="s">
        <v>103</v>
      </c>
      <c r="K2048" s="218" t="s">
        <v>6755</v>
      </c>
      <c r="L2048" s="217">
        <v>42244</v>
      </c>
      <c r="M2048" s="218" t="s">
        <v>1654</v>
      </c>
      <c r="N2048" s="219" t="s">
        <v>185</v>
      </c>
      <c r="O2048" s="217">
        <v>42244</v>
      </c>
      <c r="P2048" s="220">
        <f t="shared" si="750"/>
        <v>2</v>
      </c>
      <c r="Q2048" s="218" t="s">
        <v>6755</v>
      </c>
      <c r="R2048" s="216" t="s">
        <v>17</v>
      </c>
      <c r="S2048" s="218" t="s">
        <v>101</v>
      </c>
      <c r="T2048" s="218" t="s">
        <v>3938</v>
      </c>
      <c r="U2048" s="217">
        <v>42155</v>
      </c>
      <c r="V2048" s="221" t="s">
        <v>186</v>
      </c>
      <c r="W2048" s="213">
        <f t="shared" si="748"/>
        <v>0</v>
      </c>
      <c r="X2048" s="213" t="str">
        <f t="shared" si="749"/>
        <v>Correcto</v>
      </c>
    </row>
    <row r="2049" spans="1:24" ht="18" customHeight="1" x14ac:dyDescent="0.25">
      <c r="A2049" s="214">
        <v>2040</v>
      </c>
      <c r="B2049" s="206" t="s">
        <v>6756</v>
      </c>
      <c r="C2049" s="207">
        <v>42242</v>
      </c>
      <c r="D2049" s="216">
        <v>7</v>
      </c>
      <c r="E2049" s="216" t="s">
        <v>93</v>
      </c>
      <c r="F2049" s="209" t="s">
        <v>1654</v>
      </c>
      <c r="G2049" s="209" t="s">
        <v>202</v>
      </c>
      <c r="H2049" s="217">
        <v>42244</v>
      </c>
      <c r="I2049" s="209" t="s">
        <v>187</v>
      </c>
      <c r="J2049" s="209" t="s">
        <v>103</v>
      </c>
      <c r="K2049" s="218" t="s">
        <v>6757</v>
      </c>
      <c r="L2049" s="217">
        <v>42244</v>
      </c>
      <c r="M2049" s="218" t="s">
        <v>1654</v>
      </c>
      <c r="N2049" s="219" t="s">
        <v>185</v>
      </c>
      <c r="O2049" s="217">
        <v>42244</v>
      </c>
      <c r="P2049" s="220">
        <f t="shared" si="750"/>
        <v>2</v>
      </c>
      <c r="Q2049" s="218" t="s">
        <v>6757</v>
      </c>
      <c r="R2049" s="216" t="s">
        <v>17</v>
      </c>
      <c r="S2049" s="218" t="s">
        <v>101</v>
      </c>
      <c r="T2049" s="218" t="s">
        <v>2555</v>
      </c>
      <c r="U2049" s="217">
        <v>42155</v>
      </c>
      <c r="V2049" s="221" t="s">
        <v>186</v>
      </c>
      <c r="W2049" s="213">
        <f t="shared" si="748"/>
        <v>0</v>
      </c>
      <c r="X2049" s="213" t="str">
        <f t="shared" si="749"/>
        <v>Correcto</v>
      </c>
    </row>
    <row r="2050" spans="1:24" ht="18" customHeight="1" x14ac:dyDescent="0.25">
      <c r="A2050" s="214">
        <v>2041</v>
      </c>
      <c r="B2050" s="206" t="s">
        <v>6758</v>
      </c>
      <c r="C2050" s="207">
        <v>42242</v>
      </c>
      <c r="D2050" s="216">
        <v>2</v>
      </c>
      <c r="E2050" s="216" t="s">
        <v>93</v>
      </c>
      <c r="F2050" s="209" t="s">
        <v>1201</v>
      </c>
      <c r="G2050" s="209" t="s">
        <v>202</v>
      </c>
      <c r="H2050" s="217">
        <v>42244</v>
      </c>
      <c r="I2050" s="209" t="s">
        <v>187</v>
      </c>
      <c r="J2050" s="209" t="s">
        <v>103</v>
      </c>
      <c r="K2050" s="218" t="s">
        <v>6759</v>
      </c>
      <c r="L2050" s="217">
        <v>42244</v>
      </c>
      <c r="M2050" s="218" t="s">
        <v>1654</v>
      </c>
      <c r="N2050" s="219" t="s">
        <v>185</v>
      </c>
      <c r="O2050" s="217">
        <v>42244</v>
      </c>
      <c r="P2050" s="220">
        <f t="shared" si="750"/>
        <v>2</v>
      </c>
      <c r="Q2050" s="218" t="s">
        <v>6759</v>
      </c>
      <c r="R2050" s="216" t="s">
        <v>605</v>
      </c>
      <c r="S2050" s="218" t="s">
        <v>101</v>
      </c>
      <c r="T2050" s="218" t="s">
        <v>6820</v>
      </c>
      <c r="U2050" s="217">
        <v>42244</v>
      </c>
      <c r="V2050" s="221" t="s">
        <v>186</v>
      </c>
      <c r="W2050" s="213">
        <f t="shared" si="748"/>
        <v>0</v>
      </c>
      <c r="X2050" s="213" t="str">
        <f t="shared" si="749"/>
        <v>Correcto</v>
      </c>
    </row>
    <row r="2051" spans="1:24" ht="18" customHeight="1" x14ac:dyDescent="0.25">
      <c r="A2051" s="214">
        <v>2042</v>
      </c>
      <c r="B2051" s="206" t="s">
        <v>6760</v>
      </c>
      <c r="C2051" s="207">
        <v>42242</v>
      </c>
      <c r="D2051" s="216">
        <v>13</v>
      </c>
      <c r="E2051" s="216" t="s">
        <v>93</v>
      </c>
      <c r="F2051" s="209" t="s">
        <v>1654</v>
      </c>
      <c r="G2051" s="209" t="s">
        <v>202</v>
      </c>
      <c r="H2051" s="217">
        <v>42244</v>
      </c>
      <c r="I2051" s="209" t="s">
        <v>187</v>
      </c>
      <c r="J2051" s="209" t="s">
        <v>103</v>
      </c>
      <c r="K2051" s="218" t="s">
        <v>6761</v>
      </c>
      <c r="L2051" s="217">
        <v>42244</v>
      </c>
      <c r="M2051" s="218" t="s">
        <v>1654</v>
      </c>
      <c r="N2051" s="219" t="s">
        <v>185</v>
      </c>
      <c r="O2051" s="217">
        <v>42244</v>
      </c>
      <c r="P2051" s="220">
        <f t="shared" si="750"/>
        <v>2</v>
      </c>
      <c r="Q2051" s="218" t="s">
        <v>6761</v>
      </c>
      <c r="R2051" s="216" t="s">
        <v>17</v>
      </c>
      <c r="S2051" s="218" t="s">
        <v>101</v>
      </c>
      <c r="T2051" s="218" t="s">
        <v>1286</v>
      </c>
      <c r="U2051" s="217">
        <v>42247</v>
      </c>
      <c r="V2051" s="221" t="s">
        <v>186</v>
      </c>
      <c r="W2051" s="213">
        <f t="shared" si="748"/>
        <v>0</v>
      </c>
      <c r="X2051" s="213" t="str">
        <f t="shared" si="749"/>
        <v>Correcto</v>
      </c>
    </row>
    <row r="2052" spans="1:24" ht="18" customHeight="1" x14ac:dyDescent="0.25">
      <c r="A2052" s="214">
        <v>2043</v>
      </c>
      <c r="B2052" s="206" t="s">
        <v>6762</v>
      </c>
      <c r="C2052" s="207">
        <v>42242</v>
      </c>
      <c r="D2052" s="216">
        <v>2</v>
      </c>
      <c r="E2052" s="216" t="s">
        <v>93</v>
      </c>
      <c r="F2052" s="209" t="s">
        <v>1654</v>
      </c>
      <c r="G2052" s="209" t="s">
        <v>202</v>
      </c>
      <c r="H2052" s="217">
        <v>42244</v>
      </c>
      <c r="I2052" s="209" t="s">
        <v>187</v>
      </c>
      <c r="J2052" s="209" t="s">
        <v>103</v>
      </c>
      <c r="K2052" s="218" t="s">
        <v>6763</v>
      </c>
      <c r="L2052" s="217">
        <v>42244</v>
      </c>
      <c r="M2052" s="218" t="s">
        <v>1654</v>
      </c>
      <c r="N2052" s="219" t="s">
        <v>185</v>
      </c>
      <c r="O2052" s="217">
        <v>42244</v>
      </c>
      <c r="P2052" s="220">
        <f t="shared" si="750"/>
        <v>2</v>
      </c>
      <c r="Q2052" s="218" t="s">
        <v>6763</v>
      </c>
      <c r="R2052" s="216" t="s">
        <v>977</v>
      </c>
      <c r="S2052" s="218" t="s">
        <v>101</v>
      </c>
      <c r="T2052" s="218" t="s">
        <v>1496</v>
      </c>
      <c r="U2052" s="217">
        <v>42244</v>
      </c>
      <c r="V2052" s="221" t="s">
        <v>186</v>
      </c>
      <c r="W2052" s="213">
        <f t="shared" si="748"/>
        <v>0</v>
      </c>
      <c r="X2052" s="213" t="str">
        <f t="shared" si="749"/>
        <v>Correcto</v>
      </c>
    </row>
    <row r="2053" spans="1:24" ht="18" customHeight="1" x14ac:dyDescent="0.25">
      <c r="A2053" s="214">
        <v>2044</v>
      </c>
      <c r="B2053" s="206" t="s">
        <v>6764</v>
      </c>
      <c r="C2053" s="207">
        <v>42242</v>
      </c>
      <c r="D2053" s="216">
        <v>2</v>
      </c>
      <c r="E2053" s="216" t="s">
        <v>93</v>
      </c>
      <c r="F2053" s="209" t="s">
        <v>1654</v>
      </c>
      <c r="G2053" s="209" t="s">
        <v>202</v>
      </c>
      <c r="H2053" s="217">
        <v>42244</v>
      </c>
      <c r="I2053" s="209" t="s">
        <v>187</v>
      </c>
      <c r="J2053" s="209" t="s">
        <v>103</v>
      </c>
      <c r="K2053" s="218" t="s">
        <v>6765</v>
      </c>
      <c r="L2053" s="217">
        <v>42244</v>
      </c>
      <c r="M2053" s="218" t="s">
        <v>1654</v>
      </c>
      <c r="N2053" s="219" t="s">
        <v>185</v>
      </c>
      <c r="O2053" s="217">
        <v>42244</v>
      </c>
      <c r="P2053" s="220">
        <f t="shared" si="750"/>
        <v>2</v>
      </c>
      <c r="Q2053" s="218" t="s">
        <v>6765</v>
      </c>
      <c r="R2053" s="216" t="s">
        <v>17</v>
      </c>
      <c r="S2053" s="218" t="s">
        <v>6766</v>
      </c>
      <c r="T2053" s="218" t="s">
        <v>6821</v>
      </c>
      <c r="U2053" s="217">
        <v>42244</v>
      </c>
      <c r="V2053" s="221" t="s">
        <v>6131</v>
      </c>
      <c r="W2053" s="213">
        <f t="shared" si="748"/>
        <v>0</v>
      </c>
      <c r="X2053" s="213" t="str">
        <f t="shared" si="749"/>
        <v>Correcto</v>
      </c>
    </row>
    <row r="2054" spans="1:24" ht="18" customHeight="1" x14ac:dyDescent="0.25">
      <c r="A2054" s="214">
        <v>2045</v>
      </c>
      <c r="B2054" s="206" t="s">
        <v>6767</v>
      </c>
      <c r="C2054" s="207">
        <v>42242</v>
      </c>
      <c r="D2054" s="216">
        <v>2</v>
      </c>
      <c r="E2054" s="216" t="s">
        <v>93</v>
      </c>
      <c r="F2054" s="209" t="s">
        <v>1654</v>
      </c>
      <c r="G2054" s="209" t="s">
        <v>202</v>
      </c>
      <c r="H2054" s="217">
        <v>42243</v>
      </c>
      <c r="I2054" s="209" t="s">
        <v>187</v>
      </c>
      <c r="J2054" s="209" t="s">
        <v>103</v>
      </c>
      <c r="K2054" s="218" t="s">
        <v>6768</v>
      </c>
      <c r="L2054" s="217">
        <v>42243</v>
      </c>
      <c r="M2054" s="218" t="s">
        <v>1654</v>
      </c>
      <c r="N2054" s="219" t="s">
        <v>185</v>
      </c>
      <c r="O2054" s="217">
        <v>42243</v>
      </c>
      <c r="P2054" s="220">
        <f t="shared" si="750"/>
        <v>1</v>
      </c>
      <c r="Q2054" s="218" t="s">
        <v>6768</v>
      </c>
      <c r="R2054" s="216" t="s">
        <v>17</v>
      </c>
      <c r="S2054" s="218" t="s">
        <v>6769</v>
      </c>
      <c r="T2054" s="218" t="s">
        <v>6819</v>
      </c>
      <c r="U2054" s="217">
        <v>42243</v>
      </c>
      <c r="V2054" s="221" t="s">
        <v>6131</v>
      </c>
      <c r="W2054" s="213">
        <f t="shared" si="748"/>
        <v>0</v>
      </c>
      <c r="X2054" s="213" t="str">
        <f t="shared" si="749"/>
        <v>Correcto</v>
      </c>
    </row>
    <row r="2055" spans="1:24" ht="18" customHeight="1" x14ac:dyDescent="0.25">
      <c r="A2055" s="214">
        <v>2046</v>
      </c>
      <c r="B2055" s="206" t="s">
        <v>6770</v>
      </c>
      <c r="C2055" s="207">
        <v>42242</v>
      </c>
      <c r="D2055" s="216">
        <v>3</v>
      </c>
      <c r="E2055" s="216" t="s">
        <v>93</v>
      </c>
      <c r="F2055" s="209" t="s">
        <v>1654</v>
      </c>
      <c r="G2055" s="209" t="s">
        <v>202</v>
      </c>
      <c r="H2055" s="217">
        <v>42243</v>
      </c>
      <c r="I2055" s="209" t="s">
        <v>187</v>
      </c>
      <c r="J2055" s="209" t="s">
        <v>103</v>
      </c>
      <c r="K2055" s="218" t="s">
        <v>6771</v>
      </c>
      <c r="L2055" s="217">
        <v>42243</v>
      </c>
      <c r="M2055" s="218" t="s">
        <v>1654</v>
      </c>
      <c r="N2055" s="219" t="s">
        <v>185</v>
      </c>
      <c r="O2055" s="217">
        <v>42243</v>
      </c>
      <c r="P2055" s="220">
        <f t="shared" si="750"/>
        <v>1</v>
      </c>
      <c r="Q2055" s="218" t="s">
        <v>6771</v>
      </c>
      <c r="R2055" s="216" t="s">
        <v>17</v>
      </c>
      <c r="S2055" s="218" t="s">
        <v>6772</v>
      </c>
      <c r="T2055" s="218" t="s">
        <v>6822</v>
      </c>
      <c r="U2055" s="217">
        <v>42243</v>
      </c>
      <c r="V2055" s="221" t="s">
        <v>6131</v>
      </c>
      <c r="W2055" s="213">
        <f t="shared" si="748"/>
        <v>0</v>
      </c>
      <c r="X2055" s="213" t="str">
        <f t="shared" si="749"/>
        <v>Correcto</v>
      </c>
    </row>
    <row r="2056" spans="1:24" ht="18" customHeight="1" x14ac:dyDescent="0.25">
      <c r="A2056" s="214">
        <v>2047</v>
      </c>
      <c r="B2056" s="206" t="s">
        <v>6773</v>
      </c>
      <c r="C2056" s="207">
        <v>42242</v>
      </c>
      <c r="D2056" s="216">
        <v>3</v>
      </c>
      <c r="E2056" s="216" t="s">
        <v>93</v>
      </c>
      <c r="F2056" s="209" t="s">
        <v>1654</v>
      </c>
      <c r="G2056" s="209" t="s">
        <v>202</v>
      </c>
      <c r="H2056" s="217">
        <v>42243</v>
      </c>
      <c r="I2056" s="209" t="s">
        <v>187</v>
      </c>
      <c r="J2056" s="209" t="s">
        <v>103</v>
      </c>
      <c r="K2056" s="218" t="s">
        <v>6774</v>
      </c>
      <c r="L2056" s="217">
        <v>42243</v>
      </c>
      <c r="M2056" s="218" t="s">
        <v>1654</v>
      </c>
      <c r="N2056" s="219" t="s">
        <v>185</v>
      </c>
      <c r="O2056" s="217">
        <v>42243</v>
      </c>
      <c r="P2056" s="220">
        <f t="shared" si="750"/>
        <v>1</v>
      </c>
      <c r="Q2056" s="218" t="s">
        <v>6774</v>
      </c>
      <c r="R2056" s="216" t="s">
        <v>17</v>
      </c>
      <c r="S2056" s="218" t="s">
        <v>6775</v>
      </c>
      <c r="T2056" s="218" t="s">
        <v>6823</v>
      </c>
      <c r="U2056" s="217">
        <v>42243</v>
      </c>
      <c r="V2056" s="221" t="s">
        <v>6131</v>
      </c>
      <c r="W2056" s="213">
        <f t="shared" si="748"/>
        <v>0</v>
      </c>
      <c r="X2056" s="213" t="str">
        <f t="shared" si="749"/>
        <v>Correcto</v>
      </c>
    </row>
    <row r="2057" spans="1:24" ht="18" customHeight="1" x14ac:dyDescent="0.25">
      <c r="A2057" s="214">
        <v>2048</v>
      </c>
      <c r="B2057" s="206" t="s">
        <v>6776</v>
      </c>
      <c r="C2057" s="207">
        <v>42242</v>
      </c>
      <c r="D2057" s="216">
        <v>2</v>
      </c>
      <c r="E2057" s="216" t="s">
        <v>93</v>
      </c>
      <c r="F2057" s="209" t="s">
        <v>1654</v>
      </c>
      <c r="G2057" s="209" t="s">
        <v>202</v>
      </c>
      <c r="H2057" s="217">
        <v>42243</v>
      </c>
      <c r="I2057" s="209" t="s">
        <v>187</v>
      </c>
      <c r="J2057" s="209" t="s">
        <v>103</v>
      </c>
      <c r="K2057" s="218" t="s">
        <v>6777</v>
      </c>
      <c r="L2057" s="217">
        <v>42243</v>
      </c>
      <c r="M2057" s="218" t="s">
        <v>1654</v>
      </c>
      <c r="N2057" s="219" t="s">
        <v>185</v>
      </c>
      <c r="O2057" s="217">
        <v>42243</v>
      </c>
      <c r="P2057" s="220">
        <f t="shared" si="750"/>
        <v>1</v>
      </c>
      <c r="Q2057" s="218" t="s">
        <v>6777</v>
      </c>
      <c r="R2057" s="216" t="s">
        <v>17</v>
      </c>
      <c r="S2057" s="218" t="s">
        <v>6778</v>
      </c>
      <c r="T2057" s="218" t="s">
        <v>6824</v>
      </c>
      <c r="U2057" s="217">
        <v>42243</v>
      </c>
      <c r="V2057" s="221" t="s">
        <v>6131</v>
      </c>
      <c r="W2057" s="213">
        <f t="shared" si="748"/>
        <v>0</v>
      </c>
      <c r="X2057" s="213" t="str">
        <f t="shared" si="749"/>
        <v>Correcto</v>
      </c>
    </row>
    <row r="2058" spans="1:24" ht="18" customHeight="1" x14ac:dyDescent="0.25">
      <c r="A2058" s="214">
        <v>2049</v>
      </c>
      <c r="B2058" s="206" t="s">
        <v>6779</v>
      </c>
      <c r="C2058" s="207">
        <v>42242</v>
      </c>
      <c r="D2058" s="216">
        <v>2</v>
      </c>
      <c r="E2058" s="216" t="s">
        <v>93</v>
      </c>
      <c r="F2058" s="209" t="s">
        <v>1654</v>
      </c>
      <c r="G2058" s="209" t="s">
        <v>202</v>
      </c>
      <c r="H2058" s="217">
        <v>42243</v>
      </c>
      <c r="I2058" s="209" t="s">
        <v>187</v>
      </c>
      <c r="J2058" s="209" t="s">
        <v>103</v>
      </c>
      <c r="K2058" s="218" t="s">
        <v>6780</v>
      </c>
      <c r="L2058" s="217">
        <v>42243</v>
      </c>
      <c r="M2058" s="218" t="s">
        <v>1654</v>
      </c>
      <c r="N2058" s="219" t="s">
        <v>185</v>
      </c>
      <c r="O2058" s="217">
        <v>42243</v>
      </c>
      <c r="P2058" s="220">
        <f t="shared" si="750"/>
        <v>1</v>
      </c>
      <c r="Q2058" s="218" t="s">
        <v>6780</v>
      </c>
      <c r="R2058" s="216" t="s">
        <v>17</v>
      </c>
      <c r="S2058" s="218" t="s">
        <v>6781</v>
      </c>
      <c r="T2058" s="218" t="s">
        <v>6825</v>
      </c>
      <c r="U2058" s="217">
        <v>42243</v>
      </c>
      <c r="V2058" s="221" t="s">
        <v>6131</v>
      </c>
      <c r="W2058" s="213">
        <f t="shared" si="748"/>
        <v>0</v>
      </c>
      <c r="X2058" s="213" t="str">
        <f t="shared" si="749"/>
        <v>Correcto</v>
      </c>
    </row>
    <row r="2059" spans="1:24" ht="18" customHeight="1" x14ac:dyDescent="0.25">
      <c r="A2059" s="214">
        <v>2050</v>
      </c>
      <c r="B2059" s="206" t="s">
        <v>6782</v>
      </c>
      <c r="C2059" s="207">
        <v>42242</v>
      </c>
      <c r="D2059" s="216">
        <v>4</v>
      </c>
      <c r="E2059" s="216" t="s">
        <v>93</v>
      </c>
      <c r="F2059" s="209" t="s">
        <v>1654</v>
      </c>
      <c r="G2059" s="209" t="s">
        <v>202</v>
      </c>
      <c r="H2059" s="217">
        <v>42243</v>
      </c>
      <c r="I2059" s="209" t="s">
        <v>187</v>
      </c>
      <c r="J2059" s="209" t="s">
        <v>103</v>
      </c>
      <c r="K2059" s="218" t="s">
        <v>6783</v>
      </c>
      <c r="L2059" s="217">
        <v>42243</v>
      </c>
      <c r="M2059" s="218" t="s">
        <v>1654</v>
      </c>
      <c r="N2059" s="219" t="s">
        <v>185</v>
      </c>
      <c r="O2059" s="217">
        <v>42243</v>
      </c>
      <c r="P2059" s="220">
        <f t="shared" si="750"/>
        <v>1</v>
      </c>
      <c r="Q2059" s="218" t="s">
        <v>6783</v>
      </c>
      <c r="R2059" s="216" t="s">
        <v>17</v>
      </c>
      <c r="S2059" s="218" t="s">
        <v>6784</v>
      </c>
      <c r="T2059" s="218" t="s">
        <v>6785</v>
      </c>
      <c r="U2059" s="217">
        <v>42244</v>
      </c>
      <c r="V2059" s="221" t="s">
        <v>186</v>
      </c>
      <c r="W2059" s="213">
        <f t="shared" si="748"/>
        <v>0</v>
      </c>
      <c r="X2059" s="213" t="str">
        <f t="shared" si="749"/>
        <v>Correcto</v>
      </c>
    </row>
    <row r="2060" spans="1:24" ht="18" customHeight="1" x14ac:dyDescent="0.25">
      <c r="A2060" s="214">
        <v>2051</v>
      </c>
      <c r="B2060" s="206" t="s">
        <v>6786</v>
      </c>
      <c r="C2060" s="207">
        <v>42242</v>
      </c>
      <c r="D2060" s="216">
        <v>2</v>
      </c>
      <c r="E2060" s="216" t="s">
        <v>93</v>
      </c>
      <c r="F2060" s="209" t="s">
        <v>1654</v>
      </c>
      <c r="G2060" s="209" t="s">
        <v>202</v>
      </c>
      <c r="H2060" s="217">
        <v>42244</v>
      </c>
      <c r="I2060" s="209" t="s">
        <v>187</v>
      </c>
      <c r="J2060" s="209" t="s">
        <v>103</v>
      </c>
      <c r="K2060" s="218" t="s">
        <v>6787</v>
      </c>
      <c r="L2060" s="217">
        <v>42244</v>
      </c>
      <c r="M2060" s="218" t="s">
        <v>1654</v>
      </c>
      <c r="N2060" s="219" t="s">
        <v>185</v>
      </c>
      <c r="O2060" s="217">
        <v>42244</v>
      </c>
      <c r="P2060" s="220">
        <f t="shared" si="750"/>
        <v>2</v>
      </c>
      <c r="Q2060" s="218" t="s">
        <v>6787</v>
      </c>
      <c r="R2060" s="216" t="s">
        <v>17</v>
      </c>
      <c r="S2060" s="218" t="s">
        <v>6788</v>
      </c>
      <c r="T2060" s="218" t="s">
        <v>6826</v>
      </c>
      <c r="U2060" s="217">
        <v>42244</v>
      </c>
      <c r="V2060" s="221" t="s">
        <v>6131</v>
      </c>
      <c r="W2060" s="213">
        <f t="shared" si="748"/>
        <v>0</v>
      </c>
      <c r="X2060" s="213" t="str">
        <f t="shared" si="749"/>
        <v>Correcto</v>
      </c>
    </row>
    <row r="2061" spans="1:24" ht="18" customHeight="1" x14ac:dyDescent="0.25">
      <c r="A2061" s="214">
        <v>2052</v>
      </c>
      <c r="B2061" s="206" t="s">
        <v>6789</v>
      </c>
      <c r="C2061" s="207">
        <v>42243</v>
      </c>
      <c r="D2061" s="216">
        <v>3</v>
      </c>
      <c r="E2061" s="216" t="s">
        <v>93</v>
      </c>
      <c r="F2061" s="209" t="s">
        <v>1654</v>
      </c>
      <c r="G2061" s="209" t="s">
        <v>202</v>
      </c>
      <c r="H2061" s="217">
        <v>42244</v>
      </c>
      <c r="I2061" s="209" t="s">
        <v>187</v>
      </c>
      <c r="J2061" s="209" t="s">
        <v>103</v>
      </c>
      <c r="K2061" s="218" t="s">
        <v>6790</v>
      </c>
      <c r="L2061" s="217">
        <v>42244</v>
      </c>
      <c r="M2061" s="218" t="s">
        <v>1654</v>
      </c>
      <c r="N2061" s="219" t="s">
        <v>185</v>
      </c>
      <c r="O2061" s="217">
        <v>42244</v>
      </c>
      <c r="P2061" s="220">
        <f t="shared" si="750"/>
        <v>1</v>
      </c>
      <c r="Q2061" s="218" t="s">
        <v>6790</v>
      </c>
      <c r="R2061" s="216" t="s">
        <v>17</v>
      </c>
      <c r="S2061" s="218" t="s">
        <v>101</v>
      </c>
      <c r="T2061" s="218" t="s">
        <v>6529</v>
      </c>
      <c r="U2061" s="217">
        <v>42247</v>
      </c>
      <c r="V2061" s="221" t="s">
        <v>186</v>
      </c>
      <c r="W2061" s="213">
        <f t="shared" si="748"/>
        <v>0</v>
      </c>
      <c r="X2061" s="213" t="str">
        <f t="shared" si="749"/>
        <v>Correcto</v>
      </c>
    </row>
    <row r="2062" spans="1:24" ht="18" customHeight="1" x14ac:dyDescent="0.25">
      <c r="A2062" s="214">
        <v>2053</v>
      </c>
      <c r="B2062" s="206" t="s">
        <v>6791</v>
      </c>
      <c r="C2062" s="207">
        <v>42243</v>
      </c>
      <c r="D2062" s="216">
        <v>2</v>
      </c>
      <c r="E2062" s="216" t="s">
        <v>93</v>
      </c>
      <c r="F2062" s="209" t="s">
        <v>1654</v>
      </c>
      <c r="G2062" s="209" t="s">
        <v>202</v>
      </c>
      <c r="H2062" s="217">
        <v>42244</v>
      </c>
      <c r="I2062" s="209" t="s">
        <v>187</v>
      </c>
      <c r="J2062" s="209" t="s">
        <v>103</v>
      </c>
      <c r="K2062" s="218" t="s">
        <v>6792</v>
      </c>
      <c r="L2062" s="217">
        <v>42244</v>
      </c>
      <c r="M2062" s="218" t="s">
        <v>1654</v>
      </c>
      <c r="N2062" s="219" t="s">
        <v>185</v>
      </c>
      <c r="O2062" s="217">
        <v>42244</v>
      </c>
      <c r="P2062" s="220">
        <f t="shared" si="750"/>
        <v>1</v>
      </c>
      <c r="Q2062" s="218" t="s">
        <v>6792</v>
      </c>
      <c r="R2062" s="216" t="s">
        <v>17</v>
      </c>
      <c r="S2062" s="218" t="s">
        <v>101</v>
      </c>
      <c r="T2062" s="218" t="s">
        <v>3938</v>
      </c>
      <c r="U2062" s="217">
        <v>42247</v>
      </c>
      <c r="V2062" s="221" t="s">
        <v>186</v>
      </c>
      <c r="W2062" s="213">
        <f t="shared" si="748"/>
        <v>0</v>
      </c>
      <c r="X2062" s="213" t="str">
        <f t="shared" si="749"/>
        <v>Correcto</v>
      </c>
    </row>
    <row r="2063" spans="1:24" ht="18" customHeight="1" x14ac:dyDescent="0.25">
      <c r="A2063" s="214">
        <v>2054</v>
      </c>
      <c r="B2063" s="206" t="s">
        <v>6793</v>
      </c>
      <c r="C2063" s="207">
        <v>42243</v>
      </c>
      <c r="D2063" s="216">
        <v>2</v>
      </c>
      <c r="E2063" s="216" t="s">
        <v>93</v>
      </c>
      <c r="F2063" s="209" t="s">
        <v>1654</v>
      </c>
      <c r="G2063" s="209" t="s">
        <v>202</v>
      </c>
      <c r="H2063" s="217">
        <v>42244</v>
      </c>
      <c r="I2063" s="209" t="s">
        <v>187</v>
      </c>
      <c r="J2063" s="209" t="s">
        <v>103</v>
      </c>
      <c r="K2063" s="218" t="s">
        <v>6794</v>
      </c>
      <c r="L2063" s="217">
        <v>42244</v>
      </c>
      <c r="M2063" s="218" t="s">
        <v>1654</v>
      </c>
      <c r="N2063" s="219" t="s">
        <v>185</v>
      </c>
      <c r="O2063" s="217">
        <v>42244</v>
      </c>
      <c r="P2063" s="220">
        <f t="shared" si="750"/>
        <v>1</v>
      </c>
      <c r="Q2063" s="218" t="s">
        <v>6794</v>
      </c>
      <c r="R2063" s="216" t="s">
        <v>17</v>
      </c>
      <c r="S2063" s="218" t="s">
        <v>1007</v>
      </c>
      <c r="T2063" s="218" t="s">
        <v>1007</v>
      </c>
      <c r="U2063" s="217">
        <v>42247</v>
      </c>
      <c r="V2063" s="221" t="s">
        <v>186</v>
      </c>
      <c r="W2063" s="213">
        <f t="shared" si="748"/>
        <v>0</v>
      </c>
      <c r="X2063" s="213" t="str">
        <f t="shared" si="749"/>
        <v>Correcto</v>
      </c>
    </row>
    <row r="2064" spans="1:24" ht="18" customHeight="1" x14ac:dyDescent="0.25">
      <c r="A2064" s="214">
        <v>2055</v>
      </c>
      <c r="B2064" s="206" t="s">
        <v>6795</v>
      </c>
      <c r="C2064" s="207">
        <v>42243</v>
      </c>
      <c r="D2064" s="216">
        <v>2</v>
      </c>
      <c r="E2064" s="216" t="s">
        <v>93</v>
      </c>
      <c r="F2064" s="209" t="s">
        <v>1654</v>
      </c>
      <c r="G2064" s="209" t="s">
        <v>202</v>
      </c>
      <c r="H2064" s="217">
        <v>42247</v>
      </c>
      <c r="I2064" s="209" t="s">
        <v>187</v>
      </c>
      <c r="J2064" s="209" t="s">
        <v>103</v>
      </c>
      <c r="K2064" s="218" t="s">
        <v>6827</v>
      </c>
      <c r="L2064" s="217">
        <v>42247</v>
      </c>
      <c r="M2064" s="218" t="s">
        <v>1654</v>
      </c>
      <c r="N2064" s="219" t="s">
        <v>185</v>
      </c>
      <c r="O2064" s="217">
        <v>42247</v>
      </c>
      <c r="P2064" s="220">
        <f t="shared" si="750"/>
        <v>4</v>
      </c>
      <c r="Q2064" s="218" t="s">
        <v>6827</v>
      </c>
      <c r="R2064" s="216" t="s">
        <v>17</v>
      </c>
      <c r="S2064" s="218" t="s">
        <v>101</v>
      </c>
      <c r="T2064" s="218" t="s">
        <v>1496</v>
      </c>
      <c r="U2064" s="217">
        <v>42247</v>
      </c>
      <c r="V2064" s="221" t="s">
        <v>186</v>
      </c>
      <c r="W2064" s="213">
        <f t="shared" si="748"/>
        <v>0</v>
      </c>
      <c r="X2064" s="213" t="str">
        <f t="shared" si="749"/>
        <v>Correcto</v>
      </c>
    </row>
    <row r="2065" spans="1:24" ht="18" customHeight="1" x14ac:dyDescent="0.25">
      <c r="A2065" s="214">
        <v>2056</v>
      </c>
      <c r="B2065" s="206" t="s">
        <v>6796</v>
      </c>
      <c r="C2065" s="207">
        <v>42243</v>
      </c>
      <c r="D2065" s="216">
        <v>4</v>
      </c>
      <c r="E2065" s="216" t="s">
        <v>93</v>
      </c>
      <c r="F2065" s="209" t="s">
        <v>1654</v>
      </c>
      <c r="G2065" s="209" t="s">
        <v>202</v>
      </c>
      <c r="H2065" s="217">
        <v>42247</v>
      </c>
      <c r="I2065" s="209" t="s">
        <v>187</v>
      </c>
      <c r="J2065" s="209" t="s">
        <v>103</v>
      </c>
      <c r="K2065" s="218" t="s">
        <v>6828</v>
      </c>
      <c r="L2065" s="217">
        <v>42247</v>
      </c>
      <c r="M2065" s="218" t="s">
        <v>1654</v>
      </c>
      <c r="N2065" s="219" t="s">
        <v>185</v>
      </c>
      <c r="O2065" s="217">
        <v>42247</v>
      </c>
      <c r="P2065" s="220">
        <f t="shared" si="750"/>
        <v>4</v>
      </c>
      <c r="Q2065" s="218" t="s">
        <v>6828</v>
      </c>
      <c r="R2065" s="216" t="s">
        <v>17</v>
      </c>
      <c r="S2065" s="218" t="s">
        <v>6797</v>
      </c>
      <c r="T2065" s="218" t="s">
        <v>6833</v>
      </c>
      <c r="U2065" s="217">
        <v>42247</v>
      </c>
      <c r="V2065" s="221" t="s">
        <v>186</v>
      </c>
      <c r="W2065" s="213">
        <f t="shared" si="748"/>
        <v>0</v>
      </c>
      <c r="X2065" s="213" t="str">
        <f t="shared" si="749"/>
        <v>Correcto</v>
      </c>
    </row>
    <row r="2066" spans="1:24" ht="18" customHeight="1" x14ac:dyDescent="0.25">
      <c r="A2066" s="214">
        <v>2057</v>
      </c>
      <c r="B2066" s="206" t="s">
        <v>6798</v>
      </c>
      <c r="C2066" s="207">
        <v>42243</v>
      </c>
      <c r="D2066" s="216">
        <v>4</v>
      </c>
      <c r="E2066" s="216" t="s">
        <v>93</v>
      </c>
      <c r="F2066" s="209" t="s">
        <v>1654</v>
      </c>
      <c r="G2066" s="209" t="s">
        <v>202</v>
      </c>
      <c r="H2066" s="217">
        <v>42247</v>
      </c>
      <c r="I2066" s="209" t="s">
        <v>187</v>
      </c>
      <c r="J2066" s="209" t="s">
        <v>103</v>
      </c>
      <c r="K2066" s="218" t="s">
        <v>6829</v>
      </c>
      <c r="L2066" s="217">
        <v>42247</v>
      </c>
      <c r="M2066" s="218" t="s">
        <v>1654</v>
      </c>
      <c r="N2066" s="219" t="s">
        <v>185</v>
      </c>
      <c r="O2066" s="217">
        <v>42247</v>
      </c>
      <c r="P2066" s="220">
        <f t="shared" si="750"/>
        <v>4</v>
      </c>
      <c r="Q2066" s="218" t="s">
        <v>6829</v>
      </c>
      <c r="R2066" s="216" t="s">
        <v>17</v>
      </c>
      <c r="S2066" s="218" t="s">
        <v>6799</v>
      </c>
      <c r="T2066" s="218" t="s">
        <v>6834</v>
      </c>
      <c r="U2066" s="217">
        <v>42247</v>
      </c>
      <c r="V2066" s="221" t="s">
        <v>6131</v>
      </c>
      <c r="W2066" s="213">
        <f t="shared" si="748"/>
        <v>0</v>
      </c>
      <c r="X2066" s="213" t="str">
        <f t="shared" si="749"/>
        <v>Correcto</v>
      </c>
    </row>
    <row r="2067" spans="1:24" ht="18" customHeight="1" x14ac:dyDescent="0.25">
      <c r="A2067" s="214">
        <v>2058</v>
      </c>
      <c r="B2067" s="206" t="s">
        <v>6800</v>
      </c>
      <c r="C2067" s="207">
        <v>42243</v>
      </c>
      <c r="D2067" s="216">
        <v>2</v>
      </c>
      <c r="E2067" s="216" t="s">
        <v>93</v>
      </c>
      <c r="F2067" s="209" t="s">
        <v>1914</v>
      </c>
      <c r="G2067" s="209" t="s">
        <v>202</v>
      </c>
      <c r="H2067" s="217">
        <v>42247</v>
      </c>
      <c r="I2067" s="209" t="s">
        <v>187</v>
      </c>
      <c r="J2067" s="209" t="s">
        <v>103</v>
      </c>
      <c r="K2067" s="218" t="s">
        <v>6830</v>
      </c>
      <c r="L2067" s="217">
        <v>42247</v>
      </c>
      <c r="M2067" s="218" t="s">
        <v>1654</v>
      </c>
      <c r="N2067" s="219" t="s">
        <v>185</v>
      </c>
      <c r="O2067" s="217">
        <v>42247</v>
      </c>
      <c r="P2067" s="220">
        <f t="shared" si="750"/>
        <v>4</v>
      </c>
      <c r="Q2067" s="218" t="s">
        <v>6830</v>
      </c>
      <c r="R2067" s="216" t="s">
        <v>17</v>
      </c>
      <c r="S2067" s="218" t="s">
        <v>101</v>
      </c>
      <c r="T2067" s="218" t="s">
        <v>6157</v>
      </c>
      <c r="U2067" s="217">
        <v>42247</v>
      </c>
      <c r="V2067" s="221" t="s">
        <v>186</v>
      </c>
      <c r="W2067" s="213">
        <f t="shared" si="748"/>
        <v>0</v>
      </c>
      <c r="X2067" s="213" t="str">
        <f t="shared" si="749"/>
        <v>Correcto</v>
      </c>
    </row>
    <row r="2068" spans="1:24" ht="18" customHeight="1" x14ac:dyDescent="0.25">
      <c r="A2068" s="214">
        <v>2059</v>
      </c>
      <c r="B2068" s="206" t="s">
        <v>6801</v>
      </c>
      <c r="C2068" s="207">
        <v>42243</v>
      </c>
      <c r="D2068" s="216">
        <v>2</v>
      </c>
      <c r="E2068" s="216" t="s">
        <v>93</v>
      </c>
      <c r="F2068" s="209" t="s">
        <v>1914</v>
      </c>
      <c r="G2068" s="209" t="s">
        <v>202</v>
      </c>
      <c r="H2068" s="217">
        <v>42247</v>
      </c>
      <c r="I2068" s="209" t="s">
        <v>187</v>
      </c>
      <c r="J2068" s="209" t="s">
        <v>103</v>
      </c>
      <c r="K2068" s="218" t="s">
        <v>6831</v>
      </c>
      <c r="L2068" s="217">
        <v>42247</v>
      </c>
      <c r="M2068" s="218" t="s">
        <v>1654</v>
      </c>
      <c r="N2068" s="219" t="s">
        <v>185</v>
      </c>
      <c r="O2068" s="217">
        <v>42247</v>
      </c>
      <c r="P2068" s="220">
        <f t="shared" si="750"/>
        <v>4</v>
      </c>
      <c r="Q2068" s="218" t="s">
        <v>6831</v>
      </c>
      <c r="R2068" s="216" t="s">
        <v>17</v>
      </c>
      <c r="S2068" s="218" t="s">
        <v>101</v>
      </c>
      <c r="T2068" s="218" t="s">
        <v>6608</v>
      </c>
      <c r="U2068" s="217">
        <v>42247</v>
      </c>
      <c r="V2068" s="221" t="s">
        <v>186</v>
      </c>
      <c r="W2068" s="213">
        <f t="shared" si="748"/>
        <v>0</v>
      </c>
      <c r="X2068" s="213" t="str">
        <f t="shared" si="749"/>
        <v>Correcto</v>
      </c>
    </row>
    <row r="2069" spans="1:24" ht="18" customHeight="1" x14ac:dyDescent="0.25">
      <c r="A2069" s="214">
        <v>2060</v>
      </c>
      <c r="B2069" s="206" t="s">
        <v>6802</v>
      </c>
      <c r="C2069" s="207">
        <v>42243</v>
      </c>
      <c r="D2069" s="216">
        <v>3</v>
      </c>
      <c r="E2069" s="216" t="s">
        <v>93</v>
      </c>
      <c r="F2069" s="209" t="s">
        <v>1914</v>
      </c>
      <c r="G2069" s="209" t="s">
        <v>202</v>
      </c>
      <c r="H2069" s="217">
        <v>42247</v>
      </c>
      <c r="I2069" s="209" t="s">
        <v>187</v>
      </c>
      <c r="J2069" s="209" t="s">
        <v>103</v>
      </c>
      <c r="K2069" s="218" t="s">
        <v>6832</v>
      </c>
      <c r="L2069" s="217">
        <v>42247</v>
      </c>
      <c r="M2069" s="218" t="s">
        <v>1914</v>
      </c>
      <c r="N2069" s="219" t="s">
        <v>185</v>
      </c>
      <c r="O2069" s="217">
        <v>42247</v>
      </c>
      <c r="P2069" s="220">
        <f t="shared" si="750"/>
        <v>4</v>
      </c>
      <c r="Q2069" s="218" t="s">
        <v>6832</v>
      </c>
      <c r="R2069" s="216" t="s">
        <v>17</v>
      </c>
      <c r="S2069" s="218" t="s">
        <v>101</v>
      </c>
      <c r="T2069" s="218" t="s">
        <v>6365</v>
      </c>
      <c r="U2069" s="217">
        <v>42247</v>
      </c>
      <c r="V2069" s="221" t="s">
        <v>186</v>
      </c>
      <c r="W2069" s="213">
        <f t="shared" si="748"/>
        <v>0</v>
      </c>
      <c r="X2069" s="213" t="str">
        <f t="shared" si="749"/>
        <v>Correcto</v>
      </c>
    </row>
    <row r="2070" spans="1:24" ht="18" customHeight="1" x14ac:dyDescent="0.25">
      <c r="A2070" s="214">
        <v>2061</v>
      </c>
      <c r="B2070" s="206" t="s">
        <v>6803</v>
      </c>
      <c r="C2070" s="207">
        <v>42243</v>
      </c>
      <c r="D2070" s="216"/>
      <c r="E2070" s="216" t="s">
        <v>93</v>
      </c>
      <c r="F2070" s="209" t="s">
        <v>1914</v>
      </c>
      <c r="G2070" s="209" t="s">
        <v>202</v>
      </c>
      <c r="H2070" s="217"/>
      <c r="I2070" s="209" t="s">
        <v>187</v>
      </c>
      <c r="J2070" s="209" t="s">
        <v>103</v>
      </c>
      <c r="K2070" s="218"/>
      <c r="L2070" s="217"/>
      <c r="M2070" s="218" t="s">
        <v>1914</v>
      </c>
      <c r="N2070" s="219"/>
      <c r="O2070" s="217"/>
      <c r="P2070" s="220">
        <f t="shared" si="750"/>
        <v>-42243</v>
      </c>
      <c r="Q2070" s="218"/>
      <c r="R2070" s="216" t="s">
        <v>17</v>
      </c>
      <c r="S2070" s="218" t="s">
        <v>2226</v>
      </c>
      <c r="T2070" s="218"/>
      <c r="U2070" s="217"/>
      <c r="V2070" s="221"/>
      <c r="W2070" s="213">
        <f t="shared" si="748"/>
        <v>10</v>
      </c>
      <c r="X2070" s="213" t="str">
        <f t="shared" si="749"/>
        <v>Incorrecto</v>
      </c>
    </row>
    <row r="2071" spans="1:24" ht="18" customHeight="1" x14ac:dyDescent="0.25">
      <c r="A2071" s="214">
        <v>2062</v>
      </c>
      <c r="B2071" s="206" t="s">
        <v>6804</v>
      </c>
      <c r="C2071" s="207">
        <v>42243</v>
      </c>
      <c r="D2071" s="216"/>
      <c r="E2071" s="216" t="s">
        <v>93</v>
      </c>
      <c r="F2071" s="209" t="s">
        <v>1914</v>
      </c>
      <c r="G2071" s="209" t="s">
        <v>202</v>
      </c>
      <c r="H2071" s="217"/>
      <c r="I2071" s="209" t="s">
        <v>187</v>
      </c>
      <c r="J2071" s="209" t="s">
        <v>103</v>
      </c>
      <c r="K2071" s="218"/>
      <c r="L2071" s="217"/>
      <c r="M2071" s="218" t="s">
        <v>1914</v>
      </c>
      <c r="N2071" s="219"/>
      <c r="O2071" s="217"/>
      <c r="P2071" s="220">
        <f t="shared" si="750"/>
        <v>-42243</v>
      </c>
      <c r="Q2071" s="218"/>
      <c r="R2071" s="216" t="s">
        <v>17</v>
      </c>
      <c r="S2071" s="218" t="s">
        <v>6805</v>
      </c>
      <c r="T2071" s="218"/>
      <c r="U2071" s="217"/>
      <c r="V2071" s="221"/>
      <c r="W2071" s="213">
        <f t="shared" si="748"/>
        <v>10</v>
      </c>
      <c r="X2071" s="213" t="str">
        <f t="shared" si="749"/>
        <v>Incorrecto</v>
      </c>
    </row>
    <row r="2072" spans="1:24" ht="18" customHeight="1" x14ac:dyDescent="0.25">
      <c r="A2072" s="214">
        <v>2063</v>
      </c>
      <c r="B2072" s="206" t="s">
        <v>6806</v>
      </c>
      <c r="C2072" s="207">
        <v>42243</v>
      </c>
      <c r="D2072" s="216">
        <v>2</v>
      </c>
      <c r="E2072" s="216" t="s">
        <v>93</v>
      </c>
      <c r="F2072" s="209" t="s">
        <v>1914</v>
      </c>
      <c r="G2072" s="209" t="s">
        <v>202</v>
      </c>
      <c r="H2072" s="217">
        <v>42247</v>
      </c>
      <c r="I2072" s="209" t="s">
        <v>187</v>
      </c>
      <c r="J2072" s="209" t="s">
        <v>103</v>
      </c>
      <c r="K2072" s="218" t="s">
        <v>6835</v>
      </c>
      <c r="L2072" s="217">
        <v>42247</v>
      </c>
      <c r="M2072" s="218" t="s">
        <v>1914</v>
      </c>
      <c r="N2072" s="219" t="s">
        <v>185</v>
      </c>
      <c r="O2072" s="217">
        <v>42247</v>
      </c>
      <c r="P2072" s="220">
        <f t="shared" si="750"/>
        <v>4</v>
      </c>
      <c r="Q2072" s="218" t="s">
        <v>6835</v>
      </c>
      <c r="R2072" s="216" t="s">
        <v>17</v>
      </c>
      <c r="S2072" s="218" t="s">
        <v>101</v>
      </c>
      <c r="T2072" s="218" t="s">
        <v>6660</v>
      </c>
      <c r="U2072" s="217">
        <v>42247</v>
      </c>
      <c r="V2072" s="221" t="s">
        <v>186</v>
      </c>
      <c r="W2072" s="213">
        <f t="shared" si="748"/>
        <v>0</v>
      </c>
      <c r="X2072" s="213" t="str">
        <f t="shared" si="749"/>
        <v>Correcto</v>
      </c>
    </row>
    <row r="2073" spans="1:24" ht="18" customHeight="1" x14ac:dyDescent="0.25">
      <c r="A2073" s="214">
        <v>2064</v>
      </c>
      <c r="B2073" s="206" t="s">
        <v>6807</v>
      </c>
      <c r="C2073" s="207">
        <v>42243</v>
      </c>
      <c r="D2073" s="216"/>
      <c r="E2073" s="216" t="s">
        <v>93</v>
      </c>
      <c r="F2073" s="209" t="s">
        <v>1914</v>
      </c>
      <c r="G2073" s="209" t="s">
        <v>202</v>
      </c>
      <c r="H2073" s="217"/>
      <c r="I2073" s="209" t="s">
        <v>187</v>
      </c>
      <c r="J2073" s="209" t="s">
        <v>103</v>
      </c>
      <c r="K2073" s="218"/>
      <c r="L2073" s="217"/>
      <c r="M2073" s="218" t="s">
        <v>1914</v>
      </c>
      <c r="N2073" s="219"/>
      <c r="O2073" s="217"/>
      <c r="P2073" s="220">
        <f t="shared" si="750"/>
        <v>-42243</v>
      </c>
      <c r="Q2073" s="218"/>
      <c r="R2073" s="216" t="s">
        <v>17</v>
      </c>
      <c r="S2073" s="218" t="s">
        <v>2258</v>
      </c>
      <c r="T2073" s="218"/>
      <c r="U2073" s="217"/>
      <c r="V2073" s="221"/>
      <c r="W2073" s="213">
        <f t="shared" si="748"/>
        <v>10</v>
      </c>
      <c r="X2073" s="213" t="str">
        <f t="shared" si="749"/>
        <v>Incorrecto</v>
      </c>
    </row>
    <row r="2074" spans="1:24" ht="18" customHeight="1" x14ac:dyDescent="0.25">
      <c r="A2074" s="214">
        <v>2065</v>
      </c>
      <c r="B2074" s="206" t="s">
        <v>6808</v>
      </c>
      <c r="C2074" s="207">
        <v>42243</v>
      </c>
      <c r="D2074" s="216">
        <v>2</v>
      </c>
      <c r="E2074" s="216" t="s">
        <v>93</v>
      </c>
      <c r="F2074" s="209" t="s">
        <v>1914</v>
      </c>
      <c r="G2074" s="209" t="s">
        <v>202</v>
      </c>
      <c r="H2074" s="217">
        <v>42247</v>
      </c>
      <c r="I2074" s="209" t="s">
        <v>187</v>
      </c>
      <c r="J2074" s="209" t="s">
        <v>103</v>
      </c>
      <c r="K2074" s="218" t="s">
        <v>6836</v>
      </c>
      <c r="L2074" s="217">
        <v>42247</v>
      </c>
      <c r="M2074" s="218" t="s">
        <v>1914</v>
      </c>
      <c r="N2074" s="219" t="s">
        <v>185</v>
      </c>
      <c r="O2074" s="217">
        <v>42247</v>
      </c>
      <c r="P2074" s="220">
        <f t="shared" si="750"/>
        <v>4</v>
      </c>
      <c r="Q2074" s="218" t="s">
        <v>6836</v>
      </c>
      <c r="R2074" s="216" t="s">
        <v>977</v>
      </c>
      <c r="S2074" s="218" t="s">
        <v>101</v>
      </c>
      <c r="T2074" s="218" t="s">
        <v>3664</v>
      </c>
      <c r="U2074" s="217">
        <v>42247</v>
      </c>
      <c r="V2074" s="221" t="s">
        <v>186</v>
      </c>
      <c r="W2074" s="213">
        <f t="shared" si="748"/>
        <v>0</v>
      </c>
      <c r="X2074" s="213" t="str">
        <f t="shared" si="749"/>
        <v>Correcto</v>
      </c>
    </row>
    <row r="2075" spans="1:24" ht="18" customHeight="1" x14ac:dyDescent="0.25">
      <c r="A2075" s="214">
        <v>2066</v>
      </c>
      <c r="B2075" s="206" t="s">
        <v>6809</v>
      </c>
      <c r="C2075" s="207">
        <v>42244</v>
      </c>
      <c r="D2075" s="216"/>
      <c r="E2075" s="216" t="s">
        <v>93</v>
      </c>
      <c r="F2075" s="209" t="s">
        <v>1914</v>
      </c>
      <c r="G2075" s="209" t="s">
        <v>202</v>
      </c>
      <c r="H2075" s="217"/>
      <c r="I2075" s="209" t="s">
        <v>187</v>
      </c>
      <c r="J2075" s="209" t="s">
        <v>103</v>
      </c>
      <c r="K2075" s="218"/>
      <c r="L2075" s="217"/>
      <c r="M2075" s="218" t="s">
        <v>1914</v>
      </c>
      <c r="N2075" s="219"/>
      <c r="O2075" s="217"/>
      <c r="P2075" s="220">
        <f t="shared" si="750"/>
        <v>-42244</v>
      </c>
      <c r="Q2075" s="218"/>
      <c r="R2075" s="216" t="s">
        <v>17</v>
      </c>
      <c r="S2075" s="218" t="s">
        <v>1150</v>
      </c>
      <c r="T2075" s="218"/>
      <c r="U2075" s="217"/>
      <c r="V2075" s="221"/>
      <c r="W2075" s="213">
        <f t="shared" si="748"/>
        <v>10</v>
      </c>
      <c r="X2075" s="213" t="str">
        <f t="shared" si="749"/>
        <v>Incorrecto</v>
      </c>
    </row>
    <row r="2076" spans="1:24" ht="18" customHeight="1" x14ac:dyDescent="0.25">
      <c r="A2076" s="214">
        <v>2067</v>
      </c>
      <c r="B2076" s="206" t="s">
        <v>6810</v>
      </c>
      <c r="C2076" s="207">
        <v>42244</v>
      </c>
      <c r="D2076" s="216"/>
      <c r="E2076" s="216" t="s">
        <v>93</v>
      </c>
      <c r="F2076" s="209" t="s">
        <v>1914</v>
      </c>
      <c r="G2076" s="209" t="s">
        <v>202</v>
      </c>
      <c r="H2076" s="217"/>
      <c r="I2076" s="209" t="s">
        <v>187</v>
      </c>
      <c r="J2076" s="209" t="s">
        <v>103</v>
      </c>
      <c r="K2076" s="218"/>
      <c r="L2076" s="217"/>
      <c r="M2076" s="218" t="s">
        <v>1914</v>
      </c>
      <c r="N2076" s="219"/>
      <c r="O2076" s="217"/>
      <c r="P2076" s="220">
        <f t="shared" si="750"/>
        <v>-42244</v>
      </c>
      <c r="Q2076" s="218"/>
      <c r="R2076" s="216" t="s">
        <v>17</v>
      </c>
      <c r="S2076" s="218" t="s">
        <v>1286</v>
      </c>
      <c r="T2076" s="218"/>
      <c r="U2076" s="217"/>
      <c r="V2076" s="221"/>
      <c r="W2076" s="213">
        <f t="shared" si="748"/>
        <v>10</v>
      </c>
      <c r="X2076" s="213" t="str">
        <f t="shared" si="749"/>
        <v>Incorrecto</v>
      </c>
    </row>
    <row r="2077" spans="1:24" ht="18" customHeight="1" x14ac:dyDescent="0.25">
      <c r="A2077" s="214">
        <v>2068</v>
      </c>
      <c r="B2077" s="206" t="s">
        <v>6811</v>
      </c>
      <c r="C2077" s="207">
        <v>42244</v>
      </c>
      <c r="D2077" s="216"/>
      <c r="E2077" s="216" t="s">
        <v>93</v>
      </c>
      <c r="F2077" s="209" t="s">
        <v>1914</v>
      </c>
      <c r="G2077" s="209" t="s">
        <v>202</v>
      </c>
      <c r="H2077" s="217"/>
      <c r="I2077" s="209" t="s">
        <v>187</v>
      </c>
      <c r="J2077" s="209" t="s">
        <v>103</v>
      </c>
      <c r="K2077" s="218"/>
      <c r="L2077" s="217"/>
      <c r="M2077" s="218" t="s">
        <v>1914</v>
      </c>
      <c r="N2077" s="219"/>
      <c r="O2077" s="217"/>
      <c r="P2077" s="220">
        <f t="shared" si="750"/>
        <v>-42244</v>
      </c>
      <c r="Q2077" s="218"/>
      <c r="R2077" s="216" t="s">
        <v>17</v>
      </c>
      <c r="S2077" s="218" t="s">
        <v>1150</v>
      </c>
      <c r="T2077" s="218"/>
      <c r="U2077" s="217"/>
      <c r="V2077" s="221"/>
      <c r="W2077" s="213">
        <f t="shared" si="748"/>
        <v>10</v>
      </c>
      <c r="X2077" s="213" t="str">
        <f t="shared" si="749"/>
        <v>Incorrecto</v>
      </c>
    </row>
    <row r="2078" spans="1:24" ht="18" customHeight="1" x14ac:dyDescent="0.25">
      <c r="A2078" s="214">
        <v>2069</v>
      </c>
      <c r="B2078" s="206" t="s">
        <v>6812</v>
      </c>
      <c r="C2078" s="207">
        <v>42244</v>
      </c>
      <c r="D2078" s="216">
        <v>2</v>
      </c>
      <c r="E2078" s="216" t="s">
        <v>93</v>
      </c>
      <c r="F2078" s="209" t="s">
        <v>1914</v>
      </c>
      <c r="G2078" s="209" t="s">
        <v>202</v>
      </c>
      <c r="H2078" s="217">
        <v>42247</v>
      </c>
      <c r="I2078" s="209" t="s">
        <v>187</v>
      </c>
      <c r="J2078" s="209" t="s">
        <v>103</v>
      </c>
      <c r="K2078" s="218" t="s">
        <v>6837</v>
      </c>
      <c r="L2078" s="217">
        <v>42247</v>
      </c>
      <c r="M2078" s="218" t="s">
        <v>1914</v>
      </c>
      <c r="N2078" s="219" t="s">
        <v>185</v>
      </c>
      <c r="O2078" s="217">
        <v>42247</v>
      </c>
      <c r="P2078" s="220">
        <f t="shared" si="750"/>
        <v>3</v>
      </c>
      <c r="Q2078" s="218" t="s">
        <v>6837</v>
      </c>
      <c r="R2078" s="216" t="s">
        <v>17</v>
      </c>
      <c r="S2078" s="218" t="s">
        <v>101</v>
      </c>
      <c r="T2078" s="218" t="s">
        <v>1496</v>
      </c>
      <c r="U2078" s="217">
        <v>42247</v>
      </c>
      <c r="V2078" s="221" t="s">
        <v>186</v>
      </c>
      <c r="W2078" s="213">
        <f t="shared" si="748"/>
        <v>0</v>
      </c>
      <c r="X2078" s="213" t="str">
        <f t="shared" si="749"/>
        <v>Correcto</v>
      </c>
    </row>
    <row r="2079" spans="1:24" ht="18" customHeight="1" x14ac:dyDescent="0.25">
      <c r="A2079" s="214">
        <v>2070</v>
      </c>
      <c r="B2079" s="206" t="s">
        <v>6813</v>
      </c>
      <c r="C2079" s="207">
        <v>42244</v>
      </c>
      <c r="D2079" s="216">
        <v>2</v>
      </c>
      <c r="E2079" s="216" t="s">
        <v>93</v>
      </c>
      <c r="F2079" s="209" t="s">
        <v>1914</v>
      </c>
      <c r="G2079" s="209" t="s">
        <v>202</v>
      </c>
      <c r="H2079" s="217">
        <v>42247</v>
      </c>
      <c r="I2079" s="209" t="s">
        <v>187</v>
      </c>
      <c r="J2079" s="209" t="s">
        <v>103</v>
      </c>
      <c r="K2079" s="218" t="s">
        <v>6838</v>
      </c>
      <c r="L2079" s="217">
        <v>42247</v>
      </c>
      <c r="M2079" s="218" t="s">
        <v>1914</v>
      </c>
      <c r="N2079" s="219" t="s">
        <v>185</v>
      </c>
      <c r="O2079" s="217">
        <v>42247</v>
      </c>
      <c r="P2079" s="220">
        <f t="shared" si="750"/>
        <v>3</v>
      </c>
      <c r="Q2079" s="222" t="s">
        <v>6838</v>
      </c>
      <c r="R2079" s="216" t="s">
        <v>17</v>
      </c>
      <c r="S2079" s="218" t="s">
        <v>6814</v>
      </c>
      <c r="T2079" s="218" t="s">
        <v>6840</v>
      </c>
      <c r="U2079" s="217">
        <v>42247</v>
      </c>
      <c r="V2079" s="221" t="s">
        <v>6131</v>
      </c>
      <c r="W2079" s="213">
        <f t="shared" si="748"/>
        <v>0</v>
      </c>
      <c r="X2079" s="213" t="str">
        <f t="shared" si="749"/>
        <v>Correcto</v>
      </c>
    </row>
    <row r="2080" spans="1:24" ht="18" customHeight="1" x14ac:dyDescent="0.25">
      <c r="A2080" s="214">
        <v>2071</v>
      </c>
      <c r="B2080" s="206" t="s">
        <v>6815</v>
      </c>
      <c r="C2080" s="207">
        <v>42244</v>
      </c>
      <c r="D2080" s="216">
        <v>4</v>
      </c>
      <c r="E2080" s="216" t="s">
        <v>93</v>
      </c>
      <c r="F2080" s="209" t="s">
        <v>1914</v>
      </c>
      <c r="G2080" s="209" t="s">
        <v>202</v>
      </c>
      <c r="H2080" s="217">
        <v>42247</v>
      </c>
      <c r="I2080" s="209" t="s">
        <v>187</v>
      </c>
      <c r="J2080" s="209" t="s">
        <v>103</v>
      </c>
      <c r="K2080" s="218" t="s">
        <v>6839</v>
      </c>
      <c r="L2080" s="217">
        <v>42247</v>
      </c>
      <c r="M2080" s="218" t="s">
        <v>1914</v>
      </c>
      <c r="N2080" s="219" t="s">
        <v>185</v>
      </c>
      <c r="O2080" s="217">
        <v>42247</v>
      </c>
      <c r="P2080" s="220">
        <f t="shared" si="750"/>
        <v>3</v>
      </c>
      <c r="Q2080" s="222" t="s">
        <v>6839</v>
      </c>
      <c r="R2080" s="216" t="s">
        <v>17</v>
      </c>
      <c r="S2080" s="218" t="s">
        <v>6309</v>
      </c>
      <c r="T2080" s="218" t="s">
        <v>6841</v>
      </c>
      <c r="U2080" s="217">
        <v>42247</v>
      </c>
      <c r="V2080" s="221" t="s">
        <v>6131</v>
      </c>
      <c r="W2080" s="213">
        <f t="shared" si="748"/>
        <v>0</v>
      </c>
      <c r="X2080" s="213" t="str">
        <f t="shared" si="749"/>
        <v>Correcto</v>
      </c>
    </row>
    <row r="2081" spans="1:24" ht="18" customHeight="1" x14ac:dyDescent="0.25">
      <c r="A2081" s="214">
        <v>2072</v>
      </c>
      <c r="B2081" s="206" t="s">
        <v>6816</v>
      </c>
      <c r="C2081" s="207">
        <v>42244</v>
      </c>
      <c r="D2081" s="216"/>
      <c r="E2081" s="216" t="s">
        <v>93</v>
      </c>
      <c r="F2081" s="209" t="s">
        <v>1914</v>
      </c>
      <c r="G2081" s="209" t="s">
        <v>202</v>
      </c>
      <c r="H2081" s="217"/>
      <c r="I2081" s="209" t="s">
        <v>187</v>
      </c>
      <c r="J2081" s="209" t="s">
        <v>103</v>
      </c>
      <c r="K2081" s="218"/>
      <c r="L2081" s="217"/>
      <c r="M2081" s="218" t="s">
        <v>1914</v>
      </c>
      <c r="N2081" s="219"/>
      <c r="O2081" s="217"/>
      <c r="P2081" s="220">
        <f t="shared" si="750"/>
        <v>-42244</v>
      </c>
      <c r="Q2081" s="218"/>
      <c r="R2081" s="216" t="s">
        <v>17</v>
      </c>
      <c r="S2081" s="218" t="s">
        <v>6817</v>
      </c>
      <c r="T2081" s="218"/>
      <c r="U2081" s="217"/>
      <c r="V2081" s="221"/>
      <c r="W2081" s="213">
        <f t="shared" si="748"/>
        <v>10</v>
      </c>
      <c r="X2081" s="213" t="str">
        <f t="shared" si="749"/>
        <v>Incorrecto</v>
      </c>
    </row>
    <row r="2082" spans="1:24" ht="18" customHeight="1" x14ac:dyDescent="0.25">
      <c r="A2082" s="214"/>
      <c r="B2082" s="206"/>
      <c r="C2082" s="207"/>
      <c r="D2082" s="208"/>
      <c r="E2082" s="209"/>
      <c r="F2082" s="206"/>
      <c r="G2082" s="209"/>
      <c r="H2082" s="210"/>
      <c r="I2082" s="209"/>
      <c r="J2082" s="209"/>
      <c r="K2082" s="209"/>
      <c r="L2082" s="210"/>
      <c r="M2082" s="206"/>
      <c r="N2082" s="211"/>
      <c r="O2082" s="210"/>
      <c r="P2082" s="212"/>
      <c r="Q2082" s="209"/>
      <c r="R2082" s="211"/>
      <c r="S2082" s="206"/>
      <c r="T2082" s="206"/>
      <c r="U2082" s="210"/>
      <c r="V2082" s="211"/>
      <c r="W2082" s="213"/>
      <c r="X2082" s="213"/>
    </row>
    <row r="2083" spans="1:24" ht="18" customHeight="1" x14ac:dyDescent="0.25">
      <c r="A2083" s="214"/>
      <c r="B2083" s="206"/>
      <c r="C2083" s="207"/>
      <c r="D2083" s="208"/>
      <c r="E2083" s="209"/>
      <c r="F2083" s="206"/>
      <c r="G2083" s="209"/>
      <c r="H2083" s="210"/>
      <c r="I2083" s="209"/>
      <c r="J2083" s="209"/>
      <c r="K2083" s="209"/>
      <c r="L2083" s="210"/>
      <c r="M2083" s="206"/>
      <c r="N2083" s="211"/>
      <c r="O2083" s="210"/>
      <c r="P2083" s="212"/>
      <c r="Q2083" s="209"/>
      <c r="R2083" s="211"/>
      <c r="S2083" s="206"/>
      <c r="T2083" s="206"/>
      <c r="U2083" s="210"/>
      <c r="V2083" s="211"/>
      <c r="W2083" s="213"/>
      <c r="X2083" s="213"/>
    </row>
    <row r="2084" spans="1:24" ht="18" customHeight="1" x14ac:dyDescent="0.25">
      <c r="A2084" s="214"/>
      <c r="B2084" s="206"/>
      <c r="C2084" s="207"/>
      <c r="D2084" s="208"/>
      <c r="E2084" s="209"/>
      <c r="F2084" s="206"/>
      <c r="G2084" s="209"/>
      <c r="H2084" s="210"/>
      <c r="I2084" s="209"/>
      <c r="J2084" s="209"/>
      <c r="K2084" s="209"/>
      <c r="L2084" s="210"/>
      <c r="M2084" s="206"/>
      <c r="N2084" s="211"/>
      <c r="O2084" s="210"/>
      <c r="P2084" s="212"/>
      <c r="Q2084" s="209"/>
      <c r="R2084" s="211"/>
      <c r="S2084" s="206"/>
      <c r="T2084" s="206"/>
      <c r="U2084" s="210"/>
      <c r="V2084" s="211"/>
      <c r="W2084" s="213"/>
      <c r="X2084" s="213"/>
    </row>
    <row r="2085" spans="1:24" ht="18" customHeight="1" x14ac:dyDescent="0.25">
      <c r="A2085" s="214"/>
      <c r="B2085" s="206"/>
      <c r="C2085" s="207"/>
      <c r="D2085" s="208"/>
      <c r="E2085" s="209"/>
      <c r="F2085" s="206"/>
      <c r="G2085" s="209"/>
      <c r="H2085" s="210"/>
      <c r="I2085" s="209"/>
      <c r="J2085" s="209"/>
      <c r="K2085" s="209"/>
      <c r="L2085" s="210"/>
      <c r="M2085" s="206"/>
      <c r="N2085" s="211"/>
      <c r="O2085" s="210"/>
      <c r="P2085" s="212"/>
      <c r="Q2085" s="209"/>
      <c r="R2085" s="211"/>
      <c r="S2085" s="206"/>
      <c r="T2085" s="206"/>
      <c r="U2085" s="210"/>
      <c r="V2085" s="211"/>
      <c r="W2085" s="213"/>
      <c r="X2085" s="213"/>
    </row>
    <row r="2086" spans="1:24" ht="18" customHeight="1" x14ac:dyDescent="0.25">
      <c r="A2086" s="214"/>
      <c r="B2086" s="206"/>
      <c r="C2086" s="207"/>
      <c r="D2086" s="208"/>
      <c r="E2086" s="209"/>
      <c r="F2086" s="206"/>
      <c r="G2086" s="209"/>
      <c r="H2086" s="210"/>
      <c r="I2086" s="209"/>
      <c r="J2086" s="209"/>
      <c r="K2086" s="209"/>
      <c r="L2086" s="210"/>
      <c r="M2086" s="206"/>
      <c r="N2086" s="211"/>
      <c r="O2086" s="210"/>
      <c r="P2086" s="212"/>
      <c r="Q2086" s="209"/>
      <c r="R2086" s="211"/>
      <c r="S2086" s="206"/>
      <c r="T2086" s="206"/>
      <c r="U2086" s="210"/>
      <c r="V2086" s="211"/>
      <c r="W2086" s="213"/>
      <c r="X2086" s="213"/>
    </row>
    <row r="2087" spans="1:24" ht="18" customHeight="1" x14ac:dyDescent="0.25">
      <c r="A2087" s="214"/>
      <c r="B2087" s="206"/>
      <c r="C2087" s="207"/>
      <c r="D2087" s="208"/>
      <c r="E2087" s="209"/>
      <c r="F2087" s="206"/>
      <c r="G2087" s="209"/>
      <c r="H2087" s="210"/>
      <c r="I2087" s="209"/>
      <c r="J2087" s="209"/>
      <c r="K2087" s="209"/>
      <c r="L2087" s="210"/>
      <c r="M2087" s="206"/>
      <c r="N2087" s="211"/>
      <c r="O2087" s="210"/>
      <c r="P2087" s="212"/>
      <c r="Q2087" s="209"/>
      <c r="R2087" s="211"/>
      <c r="S2087" s="206"/>
      <c r="T2087" s="206"/>
      <c r="U2087" s="210"/>
      <c r="V2087" s="211"/>
      <c r="W2087" s="213"/>
      <c r="X2087" s="213"/>
    </row>
    <row r="2088" spans="1:24" ht="18" customHeight="1" x14ac:dyDescent="0.25">
      <c r="A2088" s="214"/>
      <c r="B2088" s="206"/>
      <c r="C2088" s="207"/>
      <c r="D2088" s="208"/>
      <c r="E2088" s="209"/>
      <c r="F2088" s="206"/>
      <c r="G2088" s="209"/>
      <c r="H2088" s="210"/>
      <c r="I2088" s="209"/>
      <c r="J2088" s="209"/>
      <c r="K2088" s="209"/>
      <c r="L2088" s="210"/>
      <c r="M2088" s="206"/>
      <c r="N2088" s="211"/>
      <c r="O2088" s="210"/>
      <c r="P2088" s="212"/>
      <c r="Q2088" s="209"/>
      <c r="R2088" s="211"/>
      <c r="S2088" s="206"/>
      <c r="T2088" s="206"/>
      <c r="U2088" s="210"/>
      <c r="V2088" s="211"/>
      <c r="W2088" s="213"/>
      <c r="X2088" s="213"/>
    </row>
    <row r="2089" spans="1:24" ht="18" customHeight="1" x14ac:dyDescent="0.25">
      <c r="A2089" s="214"/>
      <c r="B2089" s="206"/>
      <c r="C2089" s="207"/>
      <c r="D2089" s="208"/>
      <c r="E2089" s="209"/>
      <c r="F2089" s="206"/>
      <c r="G2089" s="209"/>
      <c r="H2089" s="210"/>
      <c r="I2089" s="209"/>
      <c r="J2089" s="209"/>
      <c r="K2089" s="209"/>
      <c r="L2089" s="210"/>
      <c r="M2089" s="206"/>
      <c r="N2089" s="211"/>
      <c r="O2089" s="210"/>
      <c r="P2089" s="212"/>
      <c r="Q2089" s="209"/>
      <c r="R2089" s="211"/>
      <c r="S2089" s="206"/>
      <c r="T2089" s="206"/>
      <c r="U2089" s="210"/>
      <c r="V2089" s="211"/>
      <c r="W2089" s="213"/>
      <c r="X2089" s="213"/>
    </row>
    <row r="2090" spans="1:24" ht="18" customHeight="1" x14ac:dyDescent="0.25">
      <c r="A2090" s="214"/>
      <c r="B2090" s="206"/>
      <c r="C2090" s="207"/>
      <c r="D2090" s="208"/>
      <c r="E2090" s="209"/>
      <c r="F2090" s="206"/>
      <c r="G2090" s="209"/>
      <c r="H2090" s="210"/>
      <c r="I2090" s="209"/>
      <c r="J2090" s="209"/>
      <c r="K2090" s="209"/>
      <c r="L2090" s="210"/>
      <c r="M2090" s="206"/>
      <c r="N2090" s="211"/>
      <c r="O2090" s="210"/>
      <c r="P2090" s="212"/>
      <c r="Q2090" s="209"/>
      <c r="R2090" s="211"/>
      <c r="S2090" s="206"/>
      <c r="T2090" s="206"/>
      <c r="U2090" s="210"/>
      <c r="V2090" s="211"/>
      <c r="W2090" s="213"/>
      <c r="X2090" s="213"/>
    </row>
    <row r="2091" spans="1:24" ht="18" customHeight="1" x14ac:dyDescent="0.25">
      <c r="A2091" s="214"/>
      <c r="B2091" s="206"/>
      <c r="C2091" s="207"/>
      <c r="D2091" s="208"/>
      <c r="E2091" s="209"/>
      <c r="F2091" s="206"/>
      <c r="G2091" s="209"/>
      <c r="H2091" s="210"/>
      <c r="I2091" s="209"/>
      <c r="J2091" s="209"/>
      <c r="K2091" s="209"/>
      <c r="L2091" s="210"/>
      <c r="M2091" s="206"/>
      <c r="N2091" s="211"/>
      <c r="O2091" s="210"/>
      <c r="P2091" s="212"/>
      <c r="Q2091" s="209"/>
      <c r="R2091" s="211"/>
      <c r="S2091" s="206"/>
      <c r="T2091" s="206"/>
      <c r="U2091" s="210"/>
      <c r="V2091" s="211"/>
      <c r="W2091" s="213"/>
      <c r="X2091" s="213"/>
    </row>
    <row r="2092" spans="1:24" ht="18" customHeight="1" x14ac:dyDescent="0.25">
      <c r="A2092" s="214"/>
      <c r="B2092" s="206"/>
      <c r="C2092" s="207"/>
      <c r="D2092" s="208"/>
      <c r="E2092" s="209"/>
      <c r="F2092" s="206"/>
      <c r="G2092" s="209"/>
      <c r="H2092" s="210"/>
      <c r="I2092" s="209"/>
      <c r="J2092" s="209"/>
      <c r="K2092" s="209"/>
      <c r="L2092" s="210"/>
      <c r="M2092" s="206"/>
      <c r="N2092" s="211"/>
      <c r="O2092" s="210"/>
      <c r="P2092" s="212"/>
      <c r="Q2092" s="209"/>
      <c r="R2092" s="211"/>
      <c r="S2092" s="206"/>
      <c r="T2092" s="206"/>
      <c r="U2092" s="210"/>
      <c r="V2092" s="211"/>
      <c r="W2092" s="213"/>
      <c r="X2092" s="213"/>
    </row>
    <row r="2093" spans="1:24" ht="18" customHeight="1" x14ac:dyDescent="0.25">
      <c r="A2093" s="214"/>
      <c r="B2093" s="206"/>
      <c r="C2093" s="207"/>
      <c r="D2093" s="208"/>
      <c r="E2093" s="209"/>
      <c r="F2093" s="206"/>
      <c r="G2093" s="209"/>
      <c r="H2093" s="210"/>
      <c r="I2093" s="209"/>
      <c r="J2093" s="209"/>
      <c r="K2093" s="209"/>
      <c r="L2093" s="210"/>
      <c r="M2093" s="206"/>
      <c r="N2093" s="211"/>
      <c r="O2093" s="210"/>
      <c r="P2093" s="212"/>
      <c r="Q2093" s="209"/>
      <c r="R2093" s="211"/>
      <c r="S2093" s="206"/>
      <c r="T2093" s="206"/>
      <c r="U2093" s="210"/>
      <c r="V2093" s="211"/>
      <c r="W2093" s="213"/>
      <c r="X2093" s="213"/>
    </row>
    <row r="2094" spans="1:24" ht="18" customHeight="1" x14ac:dyDescent="0.25">
      <c r="A2094" s="214"/>
      <c r="B2094" s="206"/>
      <c r="C2094" s="207"/>
      <c r="D2094" s="208"/>
      <c r="E2094" s="209"/>
      <c r="F2094" s="206"/>
      <c r="G2094" s="209"/>
      <c r="H2094" s="210"/>
      <c r="I2094" s="209"/>
      <c r="J2094" s="209"/>
      <c r="K2094" s="209"/>
      <c r="L2094" s="210"/>
      <c r="M2094" s="206"/>
      <c r="N2094" s="211"/>
      <c r="O2094" s="210"/>
      <c r="P2094" s="212"/>
      <c r="Q2094" s="209"/>
      <c r="R2094" s="211"/>
      <c r="S2094" s="206"/>
      <c r="T2094" s="206"/>
      <c r="U2094" s="210"/>
      <c r="V2094" s="211"/>
      <c r="W2094" s="213"/>
      <c r="X2094" s="213"/>
    </row>
    <row r="2095" spans="1:24" ht="18" customHeight="1" x14ac:dyDescent="0.25">
      <c r="A2095" s="214"/>
      <c r="B2095" s="206"/>
      <c r="C2095" s="207"/>
      <c r="D2095" s="208"/>
      <c r="E2095" s="209"/>
      <c r="F2095" s="206"/>
      <c r="G2095" s="209"/>
      <c r="H2095" s="210"/>
      <c r="I2095" s="209"/>
      <c r="J2095" s="209"/>
      <c r="K2095" s="209"/>
      <c r="L2095" s="210"/>
      <c r="M2095" s="206"/>
      <c r="N2095" s="211"/>
      <c r="O2095" s="210"/>
      <c r="P2095" s="212"/>
      <c r="Q2095" s="209"/>
      <c r="R2095" s="211"/>
      <c r="S2095" s="206"/>
      <c r="T2095" s="206"/>
      <c r="U2095" s="210"/>
      <c r="V2095" s="211"/>
      <c r="W2095" s="213"/>
      <c r="X2095" s="213"/>
    </row>
    <row r="2096" spans="1:24" ht="18" customHeight="1" x14ac:dyDescent="0.25">
      <c r="A2096" s="214"/>
      <c r="B2096" s="206"/>
      <c r="C2096" s="207"/>
      <c r="D2096" s="208"/>
      <c r="E2096" s="209"/>
      <c r="F2096" s="206"/>
      <c r="G2096" s="209"/>
      <c r="H2096" s="210"/>
      <c r="I2096" s="209"/>
      <c r="J2096" s="209"/>
      <c r="K2096" s="209"/>
      <c r="L2096" s="210"/>
      <c r="M2096" s="206"/>
      <c r="N2096" s="211"/>
      <c r="O2096" s="210"/>
      <c r="P2096" s="212"/>
      <c r="Q2096" s="209"/>
      <c r="R2096" s="211"/>
      <c r="S2096" s="206"/>
      <c r="T2096" s="206"/>
      <c r="U2096" s="210"/>
      <c r="V2096" s="211"/>
      <c r="W2096" s="213"/>
      <c r="X2096" s="213"/>
    </row>
    <row r="2097" spans="1:24" ht="18" customHeight="1" x14ac:dyDescent="0.25">
      <c r="A2097" s="214"/>
      <c r="B2097" s="206"/>
      <c r="C2097" s="207"/>
      <c r="D2097" s="208"/>
      <c r="E2097" s="209"/>
      <c r="F2097" s="206"/>
      <c r="G2097" s="209"/>
      <c r="H2097" s="210"/>
      <c r="I2097" s="209"/>
      <c r="J2097" s="209"/>
      <c r="K2097" s="209"/>
      <c r="L2097" s="210"/>
      <c r="M2097" s="206"/>
      <c r="N2097" s="211"/>
      <c r="O2097" s="210"/>
      <c r="P2097" s="212"/>
      <c r="Q2097" s="209"/>
      <c r="R2097" s="211"/>
      <c r="S2097" s="206"/>
      <c r="T2097" s="206"/>
      <c r="U2097" s="210"/>
      <c r="V2097" s="211"/>
      <c r="W2097" s="213"/>
      <c r="X2097" s="213"/>
    </row>
    <row r="2098" spans="1:24" ht="18" customHeight="1" x14ac:dyDescent="0.25">
      <c r="A2098" s="214"/>
      <c r="B2098" s="206"/>
      <c r="C2098" s="207"/>
      <c r="D2098" s="208"/>
      <c r="E2098" s="209"/>
      <c r="F2098" s="206"/>
      <c r="G2098" s="209"/>
      <c r="H2098" s="210"/>
      <c r="I2098" s="209"/>
      <c r="J2098" s="209"/>
      <c r="K2098" s="209"/>
      <c r="L2098" s="210"/>
      <c r="M2098" s="206"/>
      <c r="N2098" s="211"/>
      <c r="O2098" s="210"/>
      <c r="P2098" s="212"/>
      <c r="Q2098" s="209"/>
      <c r="R2098" s="211"/>
      <c r="S2098" s="206"/>
      <c r="T2098" s="206"/>
      <c r="U2098" s="210"/>
      <c r="V2098" s="211"/>
      <c r="W2098" s="213"/>
      <c r="X2098" s="213"/>
    </row>
    <row r="2099" spans="1:24" ht="18" customHeight="1" x14ac:dyDescent="0.25">
      <c r="A2099" s="214"/>
      <c r="B2099" s="206"/>
      <c r="C2099" s="207"/>
      <c r="D2099" s="208"/>
      <c r="E2099" s="209"/>
      <c r="F2099" s="206"/>
      <c r="G2099" s="209"/>
      <c r="H2099" s="210"/>
      <c r="I2099" s="209"/>
      <c r="J2099" s="209"/>
      <c r="K2099" s="209"/>
      <c r="L2099" s="210"/>
      <c r="M2099" s="206"/>
      <c r="N2099" s="211"/>
      <c r="O2099" s="210"/>
      <c r="P2099" s="212"/>
      <c r="Q2099" s="209"/>
      <c r="R2099" s="211"/>
      <c r="S2099" s="206"/>
      <c r="T2099" s="206"/>
      <c r="U2099" s="210"/>
      <c r="V2099" s="211"/>
      <c r="W2099" s="213"/>
      <c r="X2099" s="213"/>
    </row>
    <row r="2100" spans="1:24" ht="18" customHeight="1" x14ac:dyDescent="0.25">
      <c r="A2100" s="214"/>
      <c r="B2100" s="206"/>
      <c r="C2100" s="207"/>
      <c r="D2100" s="208"/>
      <c r="E2100" s="209"/>
      <c r="F2100" s="206"/>
      <c r="G2100" s="209"/>
      <c r="H2100" s="210"/>
      <c r="I2100" s="209"/>
      <c r="J2100" s="209"/>
      <c r="K2100" s="209"/>
      <c r="L2100" s="210"/>
      <c r="M2100" s="206"/>
      <c r="N2100" s="211"/>
      <c r="O2100" s="210"/>
      <c r="P2100" s="212"/>
      <c r="Q2100" s="209"/>
      <c r="R2100" s="211"/>
      <c r="S2100" s="206"/>
      <c r="T2100" s="206"/>
      <c r="U2100" s="210"/>
      <c r="V2100" s="211"/>
      <c r="W2100" s="213"/>
      <c r="X2100" s="213"/>
    </row>
    <row r="2101" spans="1:24" ht="18" customHeight="1" x14ac:dyDescent="0.25">
      <c r="A2101" s="214"/>
      <c r="B2101" s="206"/>
      <c r="C2101" s="207"/>
      <c r="D2101" s="208"/>
      <c r="E2101" s="209"/>
      <c r="F2101" s="206"/>
      <c r="G2101" s="209"/>
      <c r="H2101" s="210"/>
      <c r="I2101" s="209"/>
      <c r="J2101" s="209"/>
      <c r="K2101" s="209"/>
      <c r="L2101" s="210"/>
      <c r="M2101" s="206"/>
      <c r="N2101" s="211"/>
      <c r="O2101" s="210"/>
      <c r="P2101" s="212"/>
      <c r="Q2101" s="209"/>
      <c r="R2101" s="211"/>
      <c r="S2101" s="206"/>
      <c r="T2101" s="206"/>
      <c r="U2101" s="210"/>
      <c r="V2101" s="211"/>
      <c r="W2101" s="213"/>
      <c r="X2101" s="213"/>
    </row>
    <row r="2102" spans="1:24" ht="18" customHeight="1" x14ac:dyDescent="0.25">
      <c r="A2102" s="214"/>
      <c r="B2102" s="206"/>
      <c r="C2102" s="207"/>
      <c r="D2102" s="208"/>
      <c r="E2102" s="209"/>
      <c r="F2102" s="206"/>
      <c r="G2102" s="209"/>
      <c r="H2102" s="210"/>
      <c r="I2102" s="209"/>
      <c r="J2102" s="209"/>
      <c r="K2102" s="209"/>
      <c r="L2102" s="210"/>
      <c r="M2102" s="206"/>
      <c r="N2102" s="211"/>
      <c r="O2102" s="210"/>
      <c r="P2102" s="212"/>
      <c r="Q2102" s="209"/>
      <c r="R2102" s="211"/>
      <c r="S2102" s="206"/>
      <c r="T2102" s="206"/>
      <c r="U2102" s="210"/>
      <c r="V2102" s="211"/>
      <c r="W2102" s="213"/>
      <c r="X2102" s="213"/>
    </row>
    <row r="2103" spans="1:24" ht="18" customHeight="1" x14ac:dyDescent="0.25">
      <c r="A2103" s="214"/>
      <c r="B2103" s="206"/>
      <c r="C2103" s="207"/>
      <c r="D2103" s="208"/>
      <c r="E2103" s="209"/>
      <c r="F2103" s="206"/>
      <c r="G2103" s="209"/>
      <c r="H2103" s="210"/>
      <c r="I2103" s="209"/>
      <c r="J2103" s="209"/>
      <c r="K2103" s="209"/>
      <c r="L2103" s="210"/>
      <c r="M2103" s="206"/>
      <c r="N2103" s="211"/>
      <c r="O2103" s="210"/>
      <c r="P2103" s="212"/>
      <c r="Q2103" s="209"/>
      <c r="R2103" s="211"/>
      <c r="S2103" s="206"/>
      <c r="T2103" s="206"/>
      <c r="U2103" s="210"/>
      <c r="V2103" s="211"/>
      <c r="W2103" s="213"/>
      <c r="X2103" s="213"/>
    </row>
    <row r="2104" spans="1:24" ht="18" customHeight="1" x14ac:dyDescent="0.25">
      <c r="A2104" s="214"/>
      <c r="B2104" s="206"/>
      <c r="C2104" s="207"/>
      <c r="D2104" s="208"/>
      <c r="E2104" s="209"/>
      <c r="F2104" s="206"/>
      <c r="G2104" s="209"/>
      <c r="H2104" s="210"/>
      <c r="I2104" s="209"/>
      <c r="J2104" s="209"/>
      <c r="K2104" s="209"/>
      <c r="L2104" s="210"/>
      <c r="M2104" s="206"/>
      <c r="N2104" s="211"/>
      <c r="O2104" s="210"/>
      <c r="P2104" s="212"/>
      <c r="Q2104" s="209"/>
      <c r="R2104" s="211"/>
      <c r="S2104" s="206"/>
      <c r="T2104" s="206"/>
      <c r="U2104" s="210"/>
      <c r="V2104" s="211"/>
      <c r="W2104" s="213"/>
      <c r="X2104" s="213"/>
    </row>
    <row r="2105" spans="1:24" ht="18" customHeight="1" x14ac:dyDescent="0.25">
      <c r="A2105" s="214"/>
      <c r="B2105" s="206"/>
      <c r="C2105" s="207"/>
      <c r="D2105" s="208"/>
      <c r="E2105" s="209"/>
      <c r="F2105" s="206"/>
      <c r="G2105" s="209"/>
      <c r="H2105" s="210"/>
      <c r="I2105" s="209"/>
      <c r="J2105" s="209"/>
      <c r="K2105" s="209"/>
      <c r="L2105" s="210"/>
      <c r="M2105" s="206"/>
      <c r="N2105" s="211"/>
      <c r="O2105" s="210"/>
      <c r="P2105" s="212"/>
      <c r="Q2105" s="209"/>
      <c r="R2105" s="211"/>
      <c r="S2105" s="206"/>
      <c r="T2105" s="206"/>
      <c r="U2105" s="210"/>
      <c r="V2105" s="211"/>
      <c r="W2105" s="213"/>
      <c r="X2105" s="213"/>
    </row>
    <row r="2106" spans="1:24" ht="18" customHeight="1" x14ac:dyDescent="0.25">
      <c r="A2106" s="214"/>
      <c r="B2106" s="206"/>
      <c r="C2106" s="207"/>
      <c r="D2106" s="208"/>
      <c r="E2106" s="209"/>
      <c r="F2106" s="206"/>
      <c r="G2106" s="209"/>
      <c r="H2106" s="210"/>
      <c r="I2106" s="209"/>
      <c r="J2106" s="209"/>
      <c r="K2106" s="209"/>
      <c r="L2106" s="210"/>
      <c r="M2106" s="206"/>
      <c r="N2106" s="211"/>
      <c r="O2106" s="210"/>
      <c r="P2106" s="212"/>
      <c r="Q2106" s="209"/>
      <c r="R2106" s="211"/>
      <c r="S2106" s="206"/>
      <c r="T2106" s="206"/>
      <c r="U2106" s="210"/>
      <c r="V2106" s="211"/>
      <c r="W2106" s="213"/>
      <c r="X2106" s="213"/>
    </row>
    <row r="2107" spans="1:24" ht="18" customHeight="1" x14ac:dyDescent="0.25">
      <c r="A2107" s="214"/>
      <c r="B2107" s="206"/>
      <c r="C2107" s="207"/>
      <c r="D2107" s="208"/>
      <c r="E2107" s="209"/>
      <c r="F2107" s="206"/>
      <c r="G2107" s="209"/>
      <c r="H2107" s="210"/>
      <c r="I2107" s="209"/>
      <c r="J2107" s="209"/>
      <c r="K2107" s="209"/>
      <c r="L2107" s="210"/>
      <c r="M2107" s="206"/>
      <c r="N2107" s="211"/>
      <c r="O2107" s="210"/>
      <c r="P2107" s="212"/>
      <c r="Q2107" s="209"/>
      <c r="R2107" s="211"/>
      <c r="S2107" s="206"/>
      <c r="T2107" s="206"/>
      <c r="U2107" s="210"/>
      <c r="V2107" s="211"/>
      <c r="W2107" s="213"/>
      <c r="X2107" s="213"/>
    </row>
    <row r="2108" spans="1:24" ht="18" customHeight="1" x14ac:dyDescent="0.25">
      <c r="A2108" s="214"/>
      <c r="B2108" s="206"/>
      <c r="C2108" s="207"/>
      <c r="D2108" s="208"/>
      <c r="E2108" s="209"/>
      <c r="F2108" s="206"/>
      <c r="G2108" s="209"/>
      <c r="H2108" s="210"/>
      <c r="I2108" s="209"/>
      <c r="J2108" s="209"/>
      <c r="K2108" s="209"/>
      <c r="L2108" s="210"/>
      <c r="M2108" s="206"/>
      <c r="N2108" s="211"/>
      <c r="O2108" s="210"/>
      <c r="P2108" s="212"/>
      <c r="Q2108" s="209"/>
      <c r="R2108" s="211"/>
      <c r="S2108" s="206"/>
      <c r="T2108" s="206"/>
      <c r="U2108" s="210"/>
      <c r="V2108" s="211"/>
      <c r="W2108" s="213"/>
      <c r="X2108" s="213"/>
    </row>
    <row r="2109" spans="1:24" ht="18" customHeight="1" x14ac:dyDescent="0.25">
      <c r="A2109" s="214"/>
      <c r="B2109" s="206"/>
      <c r="C2109" s="207"/>
      <c r="D2109" s="208"/>
      <c r="E2109" s="209"/>
      <c r="F2109" s="206"/>
      <c r="G2109" s="209"/>
      <c r="H2109" s="210"/>
      <c r="I2109" s="209"/>
      <c r="J2109" s="209"/>
      <c r="K2109" s="209"/>
      <c r="L2109" s="210"/>
      <c r="M2109" s="206"/>
      <c r="N2109" s="211"/>
      <c r="O2109" s="210"/>
      <c r="P2109" s="212"/>
      <c r="Q2109" s="209"/>
      <c r="R2109" s="211"/>
      <c r="S2109" s="206"/>
      <c r="T2109" s="206"/>
      <c r="U2109" s="210"/>
      <c r="V2109" s="211"/>
      <c r="W2109" s="213"/>
      <c r="X2109" s="213"/>
    </row>
    <row r="2110" spans="1:24" ht="18" customHeight="1" x14ac:dyDescent="0.25">
      <c r="A2110" s="214"/>
      <c r="B2110" s="206"/>
      <c r="C2110" s="207"/>
      <c r="D2110" s="208"/>
      <c r="E2110" s="209"/>
      <c r="F2110" s="206"/>
      <c r="G2110" s="209"/>
      <c r="H2110" s="210"/>
      <c r="I2110" s="209"/>
      <c r="J2110" s="209"/>
      <c r="K2110" s="209"/>
      <c r="L2110" s="210"/>
      <c r="M2110" s="206"/>
      <c r="N2110" s="211"/>
      <c r="O2110" s="210"/>
      <c r="P2110" s="212"/>
      <c r="Q2110" s="209"/>
      <c r="R2110" s="211"/>
      <c r="S2110" s="206"/>
      <c r="T2110" s="206"/>
      <c r="U2110" s="210"/>
      <c r="V2110" s="211"/>
      <c r="W2110" s="213"/>
      <c r="X2110" s="213"/>
    </row>
    <row r="2111" spans="1:24" ht="18" customHeight="1" x14ac:dyDescent="0.25">
      <c r="A2111" s="214"/>
      <c r="B2111" s="206"/>
      <c r="C2111" s="207"/>
      <c r="D2111" s="208"/>
      <c r="E2111" s="209"/>
      <c r="F2111" s="206"/>
      <c r="G2111" s="209"/>
      <c r="H2111" s="210"/>
      <c r="I2111" s="209"/>
      <c r="J2111" s="209"/>
      <c r="K2111" s="209"/>
      <c r="L2111" s="210"/>
      <c r="M2111" s="206"/>
      <c r="N2111" s="211"/>
      <c r="O2111" s="210"/>
      <c r="P2111" s="212"/>
      <c r="Q2111" s="209"/>
      <c r="R2111" s="211"/>
      <c r="S2111" s="206"/>
      <c r="T2111" s="206"/>
      <c r="U2111" s="210"/>
      <c r="V2111" s="211"/>
      <c r="W2111" s="213"/>
      <c r="X2111" s="213"/>
    </row>
    <row r="2112" spans="1:24" ht="18" customHeight="1" x14ac:dyDescent="0.25">
      <c r="A2112" s="214"/>
      <c r="B2112" s="206"/>
      <c r="C2112" s="207"/>
      <c r="D2112" s="208"/>
      <c r="E2112" s="209"/>
      <c r="F2112" s="206"/>
      <c r="G2112" s="209"/>
      <c r="H2112" s="210"/>
      <c r="I2112" s="209"/>
      <c r="J2112" s="209"/>
      <c r="K2112" s="209"/>
      <c r="L2112" s="210"/>
      <c r="M2112" s="206"/>
      <c r="N2112" s="211"/>
      <c r="O2112" s="210"/>
      <c r="P2112" s="212"/>
      <c r="Q2112" s="209"/>
      <c r="R2112" s="211"/>
      <c r="S2112" s="206"/>
      <c r="T2112" s="206"/>
      <c r="U2112" s="210"/>
      <c r="V2112" s="211"/>
      <c r="W2112" s="213"/>
      <c r="X2112" s="213"/>
    </row>
    <row r="2113" spans="1:24" ht="18" customHeight="1" x14ac:dyDescent="0.25">
      <c r="A2113" s="214"/>
      <c r="B2113" s="206"/>
      <c r="C2113" s="207"/>
      <c r="D2113" s="208"/>
      <c r="E2113" s="209"/>
      <c r="F2113" s="206"/>
      <c r="G2113" s="209"/>
      <c r="H2113" s="210"/>
      <c r="I2113" s="209"/>
      <c r="J2113" s="209"/>
      <c r="K2113" s="209"/>
      <c r="L2113" s="210"/>
      <c r="M2113" s="206"/>
      <c r="N2113" s="211"/>
      <c r="O2113" s="210"/>
      <c r="P2113" s="212"/>
      <c r="Q2113" s="209"/>
      <c r="R2113" s="211"/>
      <c r="S2113" s="206"/>
      <c r="T2113" s="206"/>
      <c r="U2113" s="210"/>
      <c r="V2113" s="211"/>
      <c r="W2113" s="213"/>
      <c r="X2113" s="213"/>
    </row>
    <row r="2114" spans="1:24" ht="18" customHeight="1" x14ac:dyDescent="0.25">
      <c r="A2114" s="214"/>
      <c r="B2114" s="206"/>
      <c r="C2114" s="207"/>
      <c r="D2114" s="208"/>
      <c r="E2114" s="209"/>
      <c r="F2114" s="206"/>
      <c r="G2114" s="209"/>
      <c r="H2114" s="210"/>
      <c r="I2114" s="209"/>
      <c r="J2114" s="209"/>
      <c r="K2114" s="209"/>
      <c r="L2114" s="210"/>
      <c r="M2114" s="206"/>
      <c r="N2114" s="211"/>
      <c r="O2114" s="210"/>
      <c r="P2114" s="212"/>
      <c r="Q2114" s="209"/>
      <c r="R2114" s="211"/>
      <c r="S2114" s="206"/>
      <c r="T2114" s="206"/>
      <c r="U2114" s="210"/>
      <c r="V2114" s="211"/>
      <c r="W2114" s="213"/>
      <c r="X2114" s="213"/>
    </row>
    <row r="2115" spans="1:24" ht="18" customHeight="1" x14ac:dyDescent="0.25">
      <c r="A2115" s="214"/>
      <c r="B2115" s="206"/>
      <c r="C2115" s="207"/>
      <c r="D2115" s="208"/>
      <c r="E2115" s="209"/>
      <c r="F2115" s="206"/>
      <c r="G2115" s="209"/>
      <c r="H2115" s="210"/>
      <c r="I2115" s="209"/>
      <c r="J2115" s="209"/>
      <c r="K2115" s="209"/>
      <c r="L2115" s="210"/>
      <c r="M2115" s="206"/>
      <c r="N2115" s="211"/>
      <c r="O2115" s="210"/>
      <c r="P2115" s="212"/>
      <c r="Q2115" s="209"/>
      <c r="R2115" s="211"/>
      <c r="S2115" s="206"/>
      <c r="T2115" s="206"/>
      <c r="U2115" s="210"/>
      <c r="V2115" s="211"/>
      <c r="W2115" s="213"/>
      <c r="X2115" s="213"/>
    </row>
    <row r="2116" spans="1:24" ht="18" customHeight="1" x14ac:dyDescent="0.25">
      <c r="A2116" s="214"/>
      <c r="B2116" s="206"/>
      <c r="C2116" s="207"/>
      <c r="D2116" s="208"/>
      <c r="E2116" s="209"/>
      <c r="F2116" s="206"/>
      <c r="G2116" s="209"/>
      <c r="H2116" s="210"/>
      <c r="I2116" s="209"/>
      <c r="J2116" s="209"/>
      <c r="K2116" s="209"/>
      <c r="L2116" s="210"/>
      <c r="M2116" s="206"/>
      <c r="N2116" s="211"/>
      <c r="O2116" s="210"/>
      <c r="P2116" s="212"/>
      <c r="Q2116" s="209"/>
      <c r="R2116" s="211"/>
      <c r="S2116" s="206"/>
      <c r="T2116" s="206"/>
      <c r="U2116" s="210"/>
      <c r="V2116" s="211"/>
      <c r="W2116" s="213"/>
      <c r="X2116" s="213"/>
    </row>
    <row r="2117" spans="1:24" ht="18" customHeight="1" x14ac:dyDescent="0.25">
      <c r="A2117" s="214"/>
      <c r="B2117" s="206"/>
      <c r="C2117" s="207"/>
      <c r="D2117" s="208"/>
      <c r="E2117" s="209"/>
      <c r="F2117" s="206"/>
      <c r="G2117" s="209"/>
      <c r="H2117" s="210"/>
      <c r="I2117" s="209"/>
      <c r="J2117" s="209"/>
      <c r="K2117" s="209"/>
      <c r="L2117" s="210"/>
      <c r="M2117" s="206"/>
      <c r="N2117" s="211"/>
      <c r="O2117" s="210"/>
      <c r="P2117" s="212"/>
      <c r="Q2117" s="209"/>
      <c r="R2117" s="211"/>
      <c r="S2117" s="206"/>
      <c r="T2117" s="206"/>
      <c r="U2117" s="210"/>
      <c r="V2117" s="211"/>
      <c r="W2117" s="213"/>
      <c r="X2117" s="213"/>
    </row>
    <row r="2118" spans="1:24" ht="18" customHeight="1" x14ac:dyDescent="0.25">
      <c r="A2118" s="214"/>
      <c r="B2118" s="206"/>
      <c r="C2118" s="207"/>
      <c r="D2118" s="208"/>
      <c r="E2118" s="209"/>
      <c r="F2118" s="206"/>
      <c r="G2118" s="209"/>
      <c r="H2118" s="210"/>
      <c r="I2118" s="209"/>
      <c r="J2118" s="209"/>
      <c r="K2118" s="209"/>
      <c r="L2118" s="210"/>
      <c r="M2118" s="206"/>
      <c r="N2118" s="211"/>
      <c r="O2118" s="210"/>
      <c r="P2118" s="212"/>
      <c r="Q2118" s="209"/>
      <c r="R2118" s="211"/>
      <c r="S2118" s="206"/>
      <c r="T2118" s="206"/>
      <c r="U2118" s="210"/>
      <c r="V2118" s="211"/>
      <c r="W2118" s="213"/>
      <c r="X2118" s="213"/>
    </row>
    <row r="2119" spans="1:24" ht="18" customHeight="1" x14ac:dyDescent="0.25">
      <c r="A2119" s="214"/>
      <c r="B2119" s="206"/>
      <c r="C2119" s="207"/>
      <c r="D2119" s="208"/>
      <c r="E2119" s="209"/>
      <c r="F2119" s="206"/>
      <c r="G2119" s="209"/>
      <c r="H2119" s="210"/>
      <c r="I2119" s="209"/>
      <c r="J2119" s="209"/>
      <c r="K2119" s="209"/>
      <c r="L2119" s="210"/>
      <c r="M2119" s="206"/>
      <c r="N2119" s="211"/>
      <c r="O2119" s="210"/>
      <c r="P2119" s="212"/>
      <c r="Q2119" s="209"/>
      <c r="R2119" s="211"/>
      <c r="S2119" s="206"/>
      <c r="T2119" s="206"/>
      <c r="U2119" s="210"/>
      <c r="V2119" s="211"/>
      <c r="W2119" s="213"/>
      <c r="X2119" s="213"/>
    </row>
    <row r="2120" spans="1:24" ht="18" customHeight="1" x14ac:dyDescent="0.25">
      <c r="A2120" s="214"/>
      <c r="B2120" s="206"/>
      <c r="C2120" s="207"/>
      <c r="D2120" s="208"/>
      <c r="E2120" s="209"/>
      <c r="F2120" s="206"/>
      <c r="G2120" s="209"/>
      <c r="H2120" s="210"/>
      <c r="I2120" s="209"/>
      <c r="J2120" s="209"/>
      <c r="K2120" s="209"/>
      <c r="L2120" s="210"/>
      <c r="M2120" s="206"/>
      <c r="N2120" s="211"/>
      <c r="O2120" s="210"/>
      <c r="P2120" s="212"/>
      <c r="Q2120" s="209"/>
      <c r="R2120" s="211"/>
      <c r="S2120" s="206"/>
      <c r="T2120" s="206"/>
      <c r="U2120" s="210"/>
      <c r="V2120" s="211"/>
      <c r="W2120" s="213"/>
      <c r="X2120" s="213"/>
    </row>
  </sheetData>
  <autoFilter ref="A9:X257"/>
  <dataConsolidate/>
  <mergeCells count="6">
    <mergeCell ref="C4:K4"/>
    <mergeCell ref="C5:K5"/>
    <mergeCell ref="C6:K6"/>
    <mergeCell ref="C7:K7"/>
    <mergeCell ref="W3:X3"/>
    <mergeCell ref="A3:V3"/>
  </mergeCells>
  <conditionalFormatting sqref="H2">
    <cfRule type="duplicateValues" dxfId="75" priority="146"/>
    <cfRule type="duplicateValues" dxfId="74" priority="147"/>
  </conditionalFormatting>
  <conditionalFormatting sqref="J2">
    <cfRule type="duplicateValues" dxfId="73" priority="142"/>
    <cfRule type="duplicateValues" dxfId="72" priority="143"/>
  </conditionalFormatting>
  <conditionalFormatting sqref="M2:N2">
    <cfRule type="duplicateValues" dxfId="71" priority="134"/>
    <cfRule type="duplicateValues" dxfId="70" priority="135"/>
  </conditionalFormatting>
  <conditionalFormatting sqref="B4:B9 B1:B2 B259:B1840 B2082:B1048576">
    <cfRule type="duplicateValues" dxfId="69" priority="464"/>
    <cfRule type="duplicateValues" dxfId="68" priority="465"/>
  </conditionalFormatting>
  <conditionalFormatting sqref="B1:B2 B4:B9 B259:B1840 B2082:B1048576">
    <cfRule type="duplicateValues" dxfId="67" priority="474"/>
  </conditionalFormatting>
  <conditionalFormatting sqref="B4:B9 B1:B2 B259:B1840 B2082:B1048576">
    <cfRule type="duplicateValues" dxfId="66" priority="479"/>
  </conditionalFormatting>
  <conditionalFormatting sqref="B266:B550">
    <cfRule type="duplicateValues" dxfId="65" priority="52"/>
    <cfRule type="duplicateValues" dxfId="64" priority="53"/>
  </conditionalFormatting>
  <conditionalFormatting sqref="B266:B550">
    <cfRule type="duplicateValues" dxfId="63" priority="51"/>
  </conditionalFormatting>
  <conditionalFormatting sqref="B266:B550">
    <cfRule type="duplicateValues" dxfId="62" priority="50"/>
  </conditionalFormatting>
  <conditionalFormatting sqref="B544">
    <cfRule type="duplicateValues" dxfId="61" priority="48"/>
    <cfRule type="duplicateValues" dxfId="60" priority="49"/>
  </conditionalFormatting>
  <conditionalFormatting sqref="B544">
    <cfRule type="duplicateValues" dxfId="59" priority="47"/>
  </conditionalFormatting>
  <conditionalFormatting sqref="B545:B550">
    <cfRule type="duplicateValues" dxfId="58" priority="45"/>
    <cfRule type="duplicateValues" dxfId="57" priority="46"/>
  </conditionalFormatting>
  <conditionalFormatting sqref="B545:B550">
    <cfRule type="duplicateValues" dxfId="56" priority="44"/>
  </conditionalFormatting>
  <conditionalFormatting sqref="B549">
    <cfRule type="duplicateValues" dxfId="55" priority="42"/>
    <cfRule type="duplicateValues" dxfId="54" priority="43"/>
  </conditionalFormatting>
  <conditionalFormatting sqref="B549">
    <cfRule type="duplicateValues" dxfId="53" priority="41"/>
  </conditionalFormatting>
  <conditionalFormatting sqref="B546">
    <cfRule type="duplicateValues" dxfId="52" priority="39"/>
    <cfRule type="duplicateValues" dxfId="51" priority="40"/>
  </conditionalFormatting>
  <conditionalFormatting sqref="B546">
    <cfRule type="duplicateValues" dxfId="50" priority="38"/>
  </conditionalFormatting>
  <conditionalFormatting sqref="B849:B856">
    <cfRule type="duplicateValues" dxfId="49" priority="28"/>
    <cfRule type="duplicateValues" dxfId="48" priority="29"/>
  </conditionalFormatting>
  <conditionalFormatting sqref="B849:B856">
    <cfRule type="duplicateValues" dxfId="47" priority="27"/>
  </conditionalFormatting>
  <conditionalFormatting sqref="B849:B856">
    <cfRule type="duplicateValues" dxfId="46" priority="26"/>
  </conditionalFormatting>
  <conditionalFormatting sqref="B551:B856">
    <cfRule type="duplicateValues" dxfId="45" priority="24"/>
    <cfRule type="duplicateValues" dxfId="44" priority="25"/>
  </conditionalFormatting>
  <conditionalFormatting sqref="B551:B856">
    <cfRule type="duplicateValues" dxfId="43" priority="23"/>
  </conditionalFormatting>
  <conditionalFormatting sqref="B857:B1200">
    <cfRule type="duplicateValues" dxfId="42" priority="21"/>
    <cfRule type="duplicateValues" dxfId="41" priority="22"/>
  </conditionalFormatting>
  <conditionalFormatting sqref="B857:B1200">
    <cfRule type="duplicateValues" dxfId="40" priority="20"/>
  </conditionalFormatting>
  <conditionalFormatting sqref="B857:B1200">
    <cfRule type="duplicateValues" dxfId="39" priority="19"/>
  </conditionalFormatting>
  <conditionalFormatting sqref="K906">
    <cfRule type="duplicateValues" dxfId="38" priority="17"/>
    <cfRule type="duplicateValues" dxfId="37" priority="18"/>
  </conditionalFormatting>
  <conditionalFormatting sqref="K906">
    <cfRule type="duplicateValues" dxfId="36" priority="16"/>
  </conditionalFormatting>
  <conditionalFormatting sqref="Q906">
    <cfRule type="duplicateValues" dxfId="35" priority="14"/>
    <cfRule type="duplicateValues" dxfId="34" priority="15"/>
  </conditionalFormatting>
  <conditionalFormatting sqref="Q906">
    <cfRule type="duplicateValues" dxfId="33" priority="13"/>
  </conditionalFormatting>
  <conditionalFormatting sqref="B1202:B1545">
    <cfRule type="duplicateValues" dxfId="32" priority="11"/>
    <cfRule type="duplicateValues" dxfId="31" priority="12"/>
  </conditionalFormatting>
  <conditionalFormatting sqref="B1202:B1545">
    <cfRule type="duplicateValues" dxfId="30" priority="10"/>
  </conditionalFormatting>
  <conditionalFormatting sqref="B1202:B1545">
    <cfRule type="duplicateValues" dxfId="29" priority="9"/>
  </conditionalFormatting>
  <conditionalFormatting sqref="B1201">
    <cfRule type="duplicateValues" dxfId="28" priority="7"/>
    <cfRule type="duplicateValues" dxfId="27" priority="8"/>
  </conditionalFormatting>
  <conditionalFormatting sqref="B1201">
    <cfRule type="duplicateValues" dxfId="26" priority="6"/>
  </conditionalFormatting>
  <conditionalFormatting sqref="B1201">
    <cfRule type="duplicateValues" dxfId="25" priority="5"/>
  </conditionalFormatting>
  <conditionalFormatting sqref="B1546:B1840 B2082:B2120">
    <cfRule type="duplicateValues" dxfId="24" priority="3"/>
    <cfRule type="duplicateValues" dxfId="23" priority="4"/>
  </conditionalFormatting>
  <conditionalFormatting sqref="B1546:B1840 B2082:B2120">
    <cfRule type="duplicateValues" dxfId="22" priority="2"/>
  </conditionalFormatting>
  <conditionalFormatting sqref="B1546:B1840 B2082:B2120">
    <cfRule type="duplicateValues" dxfId="21" priority="1"/>
  </conditionalFormatting>
  <hyperlinks>
    <hyperlink ref="U6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workbookViewId="0">
      <selection activeCell="A37" sqref="A36:A37"/>
    </sheetView>
  </sheetViews>
  <sheetFormatPr baseColWidth="10" defaultRowHeight="15.75" customHeight="1" x14ac:dyDescent="0.25"/>
  <cols>
    <col min="1" max="1" width="33.7109375" customWidth="1"/>
    <col min="2" max="2" width="13" customWidth="1"/>
    <col min="3" max="3" width="12.28515625" customWidth="1"/>
    <col min="4" max="4" width="19.140625" customWidth="1"/>
    <col min="8" max="8" width="14.28515625" customWidth="1"/>
  </cols>
  <sheetData>
    <row r="1" spans="1:10" ht="15.75" customHeight="1" x14ac:dyDescent="0.25">
      <c r="B1" s="2" t="s">
        <v>24</v>
      </c>
      <c r="C1" s="3" t="str">
        <f>MID(A1,14,5)</f>
        <v/>
      </c>
      <c r="D1" s="3" t="str">
        <f t="shared" ref="D1:D18" si="0">B1&amp;C1</f>
        <v>EXT-</v>
      </c>
      <c r="H1" s="2"/>
      <c r="I1" s="3"/>
    </row>
    <row r="2" spans="1:10" ht="15.75" customHeight="1" x14ac:dyDescent="0.25">
      <c r="A2" t="s">
        <v>77</v>
      </c>
      <c r="B2" s="2" t="s">
        <v>44</v>
      </c>
      <c r="C2" s="3" t="str">
        <f>MID(A2,17,5)</f>
        <v>11041</v>
      </c>
      <c r="D2" s="3" t="str">
        <f t="shared" si="0"/>
        <v>EXT-DRTSPA-11041</v>
      </c>
      <c r="H2" s="2" t="s">
        <v>28</v>
      </c>
      <c r="I2" s="3" t="str">
        <f>MID(G2,18,4)</f>
        <v/>
      </c>
      <c r="J2" t="s">
        <v>23</v>
      </c>
    </row>
    <row r="3" spans="1:10" ht="15.75" customHeight="1" x14ac:dyDescent="0.25">
      <c r="A3" t="s">
        <v>78</v>
      </c>
      <c r="B3" s="2" t="s">
        <v>24</v>
      </c>
      <c r="C3" s="3" t="str">
        <f t="shared" ref="C3:C19" si="1">MID(A3,14,5)</f>
        <v>98717</v>
      </c>
      <c r="D3" s="3" t="str">
        <f t="shared" si="0"/>
        <v>EXT-98717</v>
      </c>
      <c r="H3" s="2" t="s">
        <v>30</v>
      </c>
      <c r="I3" s="3" t="str">
        <f>MID(G3,17,5)</f>
        <v/>
      </c>
      <c r="J3" t="s">
        <v>17</v>
      </c>
    </row>
    <row r="4" spans="1:10" ht="15.75" customHeight="1" x14ac:dyDescent="0.25">
      <c r="A4" t="s">
        <v>79</v>
      </c>
      <c r="B4" s="2" t="s">
        <v>24</v>
      </c>
      <c r="C4" s="3" t="str">
        <f t="shared" si="1"/>
        <v>98734</v>
      </c>
      <c r="D4" s="3" t="str">
        <f t="shared" si="0"/>
        <v>EXT-98734</v>
      </c>
      <c r="H4" s="2" t="s">
        <v>29</v>
      </c>
      <c r="I4" s="3" t="str">
        <f>MID(G4,17,5)</f>
        <v/>
      </c>
      <c r="J4" t="s">
        <v>15</v>
      </c>
    </row>
    <row r="5" spans="1:10" ht="15.75" customHeight="1" x14ac:dyDescent="0.25">
      <c r="A5" t="s">
        <v>80</v>
      </c>
      <c r="B5" s="2" t="s">
        <v>24</v>
      </c>
      <c r="C5" s="3" t="str">
        <f t="shared" si="1"/>
        <v>98736</v>
      </c>
      <c r="D5" s="3" t="str">
        <f t="shared" si="0"/>
        <v>EXT-98736</v>
      </c>
      <c r="H5" s="2" t="s">
        <v>32</v>
      </c>
      <c r="I5" s="3" t="str">
        <f>MID(G5,19,4)</f>
        <v/>
      </c>
      <c r="J5" t="s">
        <v>27</v>
      </c>
    </row>
    <row r="6" spans="1:10" ht="15.75" customHeight="1" x14ac:dyDescent="0.25">
      <c r="A6" t="s">
        <v>81</v>
      </c>
      <c r="B6" s="2" t="s">
        <v>24</v>
      </c>
      <c r="C6" s="3" t="str">
        <f t="shared" si="1"/>
        <v>98756</v>
      </c>
      <c r="D6" s="3" t="str">
        <f t="shared" si="0"/>
        <v>EXT-98756</v>
      </c>
      <c r="H6" s="2" t="s">
        <v>33</v>
      </c>
      <c r="I6" s="3" t="str">
        <f>MID(G6,17,5)</f>
        <v/>
      </c>
      <c r="J6" t="s">
        <v>20</v>
      </c>
    </row>
    <row r="7" spans="1:10" ht="15.75" customHeight="1" x14ac:dyDescent="0.25">
      <c r="A7" t="s">
        <v>82</v>
      </c>
      <c r="B7" s="2" t="s">
        <v>24</v>
      </c>
      <c r="C7" s="3" t="str">
        <f t="shared" si="1"/>
        <v>98759</v>
      </c>
      <c r="D7" s="3" t="str">
        <f>B7&amp;C7</f>
        <v>EXT-98759</v>
      </c>
      <c r="H7" s="2" t="s">
        <v>34</v>
      </c>
      <c r="I7" s="3" t="str">
        <f>MID(G7,19,4)</f>
        <v/>
      </c>
      <c r="J7" t="s">
        <v>40</v>
      </c>
    </row>
    <row r="8" spans="1:10" ht="15.75" customHeight="1" x14ac:dyDescent="0.25">
      <c r="A8" t="s">
        <v>83</v>
      </c>
      <c r="B8" s="2" t="s">
        <v>24</v>
      </c>
      <c r="C8" s="3" t="str">
        <f t="shared" si="1"/>
        <v>98840</v>
      </c>
      <c r="D8" s="3" t="str">
        <f t="shared" si="0"/>
        <v>EXT-98840</v>
      </c>
      <c r="H8" s="2" t="s">
        <v>67</v>
      </c>
      <c r="I8" s="3" t="str">
        <f>MID(G8,17,5)</f>
        <v/>
      </c>
      <c r="J8" t="s">
        <v>21</v>
      </c>
    </row>
    <row r="9" spans="1:10" ht="15.75" customHeight="1" x14ac:dyDescent="0.25">
      <c r="A9" t="s">
        <v>84</v>
      </c>
      <c r="B9" s="2" t="s">
        <v>24</v>
      </c>
      <c r="C9" s="3" t="str">
        <f t="shared" si="1"/>
        <v>94966</v>
      </c>
      <c r="D9" s="3" t="str">
        <f t="shared" si="0"/>
        <v>EXT-94966</v>
      </c>
      <c r="H9" s="2" t="s">
        <v>35</v>
      </c>
      <c r="I9" s="3" t="str">
        <f>MID(G9,17,4)</f>
        <v/>
      </c>
      <c r="J9" t="s">
        <v>26</v>
      </c>
    </row>
    <row r="10" spans="1:10" ht="15.75" customHeight="1" x14ac:dyDescent="0.25">
      <c r="A10" t="s">
        <v>85</v>
      </c>
      <c r="B10" s="2" t="s">
        <v>24</v>
      </c>
      <c r="C10" s="3" t="str">
        <f t="shared" si="1"/>
        <v>98856</v>
      </c>
      <c r="D10" s="3" t="str">
        <f t="shared" si="0"/>
        <v>EXT-98856</v>
      </c>
      <c r="H10" s="2" t="s">
        <v>41</v>
      </c>
      <c r="I10" s="3"/>
      <c r="J10" t="s">
        <v>58</v>
      </c>
    </row>
    <row r="11" spans="1:10" ht="15.75" customHeight="1" x14ac:dyDescent="0.25">
      <c r="A11" t="s">
        <v>86</v>
      </c>
      <c r="B11" s="2" t="s">
        <v>24</v>
      </c>
      <c r="C11" s="3" t="str">
        <f t="shared" si="1"/>
        <v>98291</v>
      </c>
      <c r="D11" s="3" t="str">
        <f t="shared" si="0"/>
        <v>EXT-98291</v>
      </c>
      <c r="H11" s="2" t="s">
        <v>37</v>
      </c>
      <c r="I11" s="3" t="str">
        <f>MID(G11,19,4)</f>
        <v/>
      </c>
      <c r="J11" t="s">
        <v>16</v>
      </c>
    </row>
    <row r="12" spans="1:10" ht="15.75" customHeight="1" x14ac:dyDescent="0.25">
      <c r="A12" t="s">
        <v>87</v>
      </c>
      <c r="B12" s="2" t="s">
        <v>24</v>
      </c>
      <c r="C12" s="3" t="str">
        <f t="shared" si="1"/>
        <v>95812</v>
      </c>
      <c r="D12" s="3" t="str">
        <f t="shared" si="0"/>
        <v>EXT-95812</v>
      </c>
      <c r="H12" s="2" t="s">
        <v>39</v>
      </c>
      <c r="I12" s="3" t="str">
        <f>MID(G12,17,4)</f>
        <v/>
      </c>
      <c r="J12" t="s">
        <v>22</v>
      </c>
    </row>
    <row r="13" spans="1:10" ht="15.75" customHeight="1" x14ac:dyDescent="0.25">
      <c r="A13" t="s">
        <v>88</v>
      </c>
      <c r="B13" s="2" t="s">
        <v>24</v>
      </c>
      <c r="C13" s="3" t="str">
        <f t="shared" si="1"/>
        <v>98728</v>
      </c>
      <c r="D13" s="3" t="str">
        <f t="shared" si="0"/>
        <v>EXT-98728</v>
      </c>
      <c r="H13" s="2" t="s">
        <v>42</v>
      </c>
      <c r="I13" s="3" t="str">
        <f>MID(G13,18,4)</f>
        <v/>
      </c>
      <c r="J13" t="s">
        <v>73</v>
      </c>
    </row>
    <row r="14" spans="1:10" ht="15.75" customHeight="1" x14ac:dyDescent="0.25">
      <c r="A14" t="s">
        <v>89</v>
      </c>
      <c r="B14" s="2" t="s">
        <v>39</v>
      </c>
      <c r="C14" s="3" t="str">
        <f>MID(A14,17,4)</f>
        <v>6750</v>
      </c>
      <c r="D14" s="3" t="str">
        <f t="shared" si="0"/>
        <v>EXT-DRTSPI-6750</v>
      </c>
      <c r="H14" s="2" t="s">
        <v>43</v>
      </c>
      <c r="I14" s="3" t="str">
        <f>MID(G14,18,4)</f>
        <v/>
      </c>
      <c r="J14" t="s">
        <v>72</v>
      </c>
    </row>
    <row r="15" spans="1:10" ht="15.75" customHeight="1" x14ac:dyDescent="0.25">
      <c r="A15" t="s">
        <v>90</v>
      </c>
      <c r="B15" s="2" t="s">
        <v>29</v>
      </c>
      <c r="C15" s="3" t="str">
        <f>MID(A15,17,5)</f>
        <v>10158</v>
      </c>
      <c r="D15" s="3" t="str">
        <f t="shared" si="0"/>
        <v>EXT-DRTSPP-10158</v>
      </c>
      <c r="H15" s="2" t="s">
        <v>44</v>
      </c>
      <c r="I15" s="3" t="str">
        <f>MID(G15,17,5)</f>
        <v/>
      </c>
      <c r="J15" t="s">
        <v>18</v>
      </c>
    </row>
    <row r="16" spans="1:10" ht="15.75" customHeight="1" x14ac:dyDescent="0.25">
      <c r="B16" s="2" t="s">
        <v>24</v>
      </c>
      <c r="C16" s="3" t="str">
        <f t="shared" si="1"/>
        <v/>
      </c>
      <c r="D16" s="3" t="str">
        <f t="shared" si="0"/>
        <v>EXT-</v>
      </c>
      <c r="H16" s="2" t="s">
        <v>45</v>
      </c>
      <c r="I16" s="3" t="str">
        <f>MID(G16,18,4)</f>
        <v/>
      </c>
      <c r="J16" t="s">
        <v>46</v>
      </c>
    </row>
    <row r="17" spans="2:10" ht="15.75" customHeight="1" x14ac:dyDescent="0.25">
      <c r="B17" s="2" t="s">
        <v>24</v>
      </c>
      <c r="C17" s="3" t="str">
        <f t="shared" si="1"/>
        <v/>
      </c>
      <c r="D17" s="3" t="str">
        <f t="shared" si="0"/>
        <v>EXT-</v>
      </c>
      <c r="H17" s="2" t="s">
        <v>47</v>
      </c>
      <c r="I17" s="3" t="str">
        <f>MID(G17,19,4)</f>
        <v/>
      </c>
      <c r="J17" t="s">
        <v>51</v>
      </c>
    </row>
    <row r="18" spans="2:10" ht="15.75" customHeight="1" x14ac:dyDescent="0.25">
      <c r="B18" s="2" t="s">
        <v>24</v>
      </c>
      <c r="C18" s="3" t="str">
        <f t="shared" si="1"/>
        <v/>
      </c>
      <c r="D18" s="3" t="str">
        <f t="shared" si="0"/>
        <v>EXT-</v>
      </c>
      <c r="H18" s="2" t="s">
        <v>52</v>
      </c>
      <c r="I18" s="3" t="str">
        <f>MID(G18,18,4)</f>
        <v/>
      </c>
      <c r="J18" t="s">
        <v>25</v>
      </c>
    </row>
    <row r="19" spans="2:10" ht="15.75" customHeight="1" x14ac:dyDescent="0.25">
      <c r="B19" s="2" t="s">
        <v>24</v>
      </c>
      <c r="C19" s="3" t="str">
        <f t="shared" si="1"/>
        <v/>
      </c>
      <c r="D19" s="3" t="str">
        <f t="shared" ref="D19:D25" si="2">B19&amp;C19</f>
        <v>EXT-</v>
      </c>
      <c r="H19" s="2" t="s">
        <v>53</v>
      </c>
      <c r="I19" s="3" t="str">
        <f>MID(G19,17,4)</f>
        <v/>
      </c>
      <c r="J19" t="s">
        <v>56</v>
      </c>
    </row>
    <row r="20" spans="2:10" ht="15.75" customHeight="1" x14ac:dyDescent="0.25">
      <c r="B20" s="2" t="s">
        <v>24</v>
      </c>
      <c r="C20" s="3" t="str">
        <f t="shared" ref="C20:C27" si="3">MID(A20,14,5)</f>
        <v/>
      </c>
      <c r="D20" s="3" t="str">
        <f t="shared" si="2"/>
        <v>EXT-</v>
      </c>
      <c r="H20" s="2" t="s">
        <v>55</v>
      </c>
      <c r="I20" s="3" t="str">
        <f>MID(G20,19,4)</f>
        <v/>
      </c>
      <c r="J20" t="s">
        <v>57</v>
      </c>
    </row>
    <row r="21" spans="2:10" ht="15.75" customHeight="1" x14ac:dyDescent="0.25">
      <c r="B21" s="2" t="s">
        <v>24</v>
      </c>
      <c r="C21" s="3" t="str">
        <f t="shared" si="3"/>
        <v/>
      </c>
      <c r="D21" s="3" t="str">
        <f t="shared" si="2"/>
        <v>EXT-</v>
      </c>
      <c r="H21" s="2" t="s">
        <v>64</v>
      </c>
      <c r="I21" s="3" t="str">
        <f>MID(G21,19,4)</f>
        <v/>
      </c>
      <c r="J21" t="s">
        <v>68</v>
      </c>
    </row>
    <row r="22" spans="2:10" ht="15.75" customHeight="1" x14ac:dyDescent="0.25">
      <c r="B22" s="2" t="s">
        <v>24</v>
      </c>
      <c r="C22" s="3" t="str">
        <f t="shared" si="3"/>
        <v/>
      </c>
      <c r="D22" s="3" t="str">
        <f t="shared" si="2"/>
        <v>EXT-</v>
      </c>
      <c r="H22" s="2" t="s">
        <v>65</v>
      </c>
      <c r="I22" s="3" t="str">
        <f>MID(G22,18,4)</f>
        <v/>
      </c>
      <c r="J22" t="s">
        <v>66</v>
      </c>
    </row>
    <row r="23" spans="2:10" ht="15.75" customHeight="1" x14ac:dyDescent="0.25">
      <c r="B23" s="2" t="s">
        <v>24</v>
      </c>
      <c r="C23" s="3" t="str">
        <f t="shared" si="3"/>
        <v/>
      </c>
      <c r="D23" s="3" t="str">
        <f t="shared" si="2"/>
        <v>EXT-</v>
      </c>
      <c r="H23" s="2" t="s">
        <v>69</v>
      </c>
      <c r="I23" s="3" t="str">
        <f>MID(G23,18,4)</f>
        <v/>
      </c>
      <c r="J23" t="s">
        <v>38</v>
      </c>
    </row>
    <row r="24" spans="2:10" ht="15.75" customHeight="1" x14ac:dyDescent="0.25">
      <c r="B24" s="2" t="s">
        <v>24</v>
      </c>
      <c r="C24" s="3" t="str">
        <f t="shared" si="3"/>
        <v/>
      </c>
      <c r="D24" s="3" t="str">
        <f t="shared" si="2"/>
        <v>EXT-</v>
      </c>
      <c r="H24" s="2" t="s">
        <v>70</v>
      </c>
      <c r="I24" s="3" t="str">
        <f>MID(G24,19,4)</f>
        <v/>
      </c>
      <c r="J24" t="s">
        <v>71</v>
      </c>
    </row>
    <row r="25" spans="2:10" ht="15.75" customHeight="1" x14ac:dyDescent="0.25">
      <c r="B25" s="2" t="s">
        <v>24</v>
      </c>
      <c r="C25" s="3" t="str">
        <f t="shared" si="3"/>
        <v/>
      </c>
      <c r="D25" s="3" t="str">
        <f t="shared" si="2"/>
        <v>EXT-</v>
      </c>
      <c r="H25" s="2" t="s">
        <v>31</v>
      </c>
      <c r="I25" s="3" t="str">
        <f>MID(G25,17,4)</f>
        <v/>
      </c>
      <c r="J25" t="s">
        <v>19</v>
      </c>
    </row>
    <row r="26" spans="2:10" ht="15.75" customHeight="1" x14ac:dyDescent="0.25">
      <c r="B26" s="2" t="s">
        <v>24</v>
      </c>
      <c r="C26" s="3" t="str">
        <f t="shared" si="3"/>
        <v/>
      </c>
      <c r="D26" s="3" t="str">
        <f>B26&amp;C26</f>
        <v>EXT-</v>
      </c>
      <c r="H26" s="2" t="s">
        <v>36</v>
      </c>
      <c r="I26" s="3" t="str">
        <f>MID(G26,16,4)</f>
        <v/>
      </c>
    </row>
    <row r="27" spans="2:10" ht="15.75" customHeight="1" x14ac:dyDescent="0.25">
      <c r="B27" s="2" t="s">
        <v>24</v>
      </c>
      <c r="C27" s="3" t="str">
        <f t="shared" si="3"/>
        <v/>
      </c>
      <c r="D27" s="3" t="str">
        <f t="shared" ref="D27:D69" si="4">B27&amp;C27</f>
        <v>EXT-</v>
      </c>
      <c r="H27" s="2" t="s">
        <v>74</v>
      </c>
      <c r="I27" s="3" t="str">
        <f>MID(G27,19,4)</f>
        <v/>
      </c>
      <c r="J27" t="s">
        <v>54</v>
      </c>
    </row>
    <row r="28" spans="2:10" ht="15.75" customHeight="1" x14ac:dyDescent="0.25">
      <c r="B28" s="2" t="s">
        <v>24</v>
      </c>
      <c r="C28" s="3" t="str">
        <f t="shared" ref="C28:C66" si="5">MID(A28,14,5)</f>
        <v/>
      </c>
      <c r="D28" s="3" t="str">
        <f t="shared" si="4"/>
        <v>EXT-</v>
      </c>
      <c r="H28" s="2" t="s">
        <v>75</v>
      </c>
      <c r="I28" s="3" t="str">
        <f>MID(G28,17,4)</f>
        <v/>
      </c>
      <c r="J28" t="s">
        <v>76</v>
      </c>
    </row>
    <row r="29" spans="2:10" ht="15.75" customHeight="1" x14ac:dyDescent="0.25">
      <c r="B29" s="2" t="s">
        <v>24</v>
      </c>
      <c r="C29" s="3" t="str">
        <f t="shared" si="5"/>
        <v/>
      </c>
      <c r="D29" s="3" t="str">
        <f t="shared" si="4"/>
        <v>EXT-</v>
      </c>
    </row>
    <row r="30" spans="2:10" ht="15.75" customHeight="1" x14ac:dyDescent="0.25">
      <c r="B30" s="2" t="s">
        <v>24</v>
      </c>
      <c r="C30" s="3" t="str">
        <f t="shared" si="5"/>
        <v/>
      </c>
      <c r="D30" s="3" t="str">
        <f t="shared" si="4"/>
        <v>EXT-</v>
      </c>
    </row>
    <row r="31" spans="2:10" ht="15.75" customHeight="1" x14ac:dyDescent="0.25">
      <c r="B31" s="2" t="s">
        <v>24</v>
      </c>
      <c r="C31" s="3" t="str">
        <f t="shared" si="5"/>
        <v/>
      </c>
      <c r="D31" s="3" t="str">
        <f t="shared" si="4"/>
        <v>EXT-</v>
      </c>
    </row>
    <row r="32" spans="2:10" ht="15.75" customHeight="1" x14ac:dyDescent="0.25">
      <c r="B32" s="2" t="s">
        <v>24</v>
      </c>
      <c r="C32" s="3" t="str">
        <f t="shared" si="5"/>
        <v/>
      </c>
      <c r="D32" s="3" t="str">
        <f t="shared" si="4"/>
        <v>EXT-</v>
      </c>
    </row>
    <row r="33" spans="2:4" ht="15.75" customHeight="1" x14ac:dyDescent="0.25">
      <c r="B33" s="2" t="s">
        <v>24</v>
      </c>
      <c r="C33" s="3" t="str">
        <f t="shared" si="5"/>
        <v/>
      </c>
      <c r="D33" s="3" t="str">
        <f t="shared" si="4"/>
        <v>EXT-</v>
      </c>
    </row>
    <row r="34" spans="2:4" ht="15.75" customHeight="1" x14ac:dyDescent="0.25">
      <c r="B34" s="2" t="s">
        <v>24</v>
      </c>
      <c r="C34" s="3" t="str">
        <f t="shared" si="5"/>
        <v/>
      </c>
      <c r="D34" s="3" t="str">
        <f t="shared" si="4"/>
        <v>EXT-</v>
      </c>
    </row>
    <row r="35" spans="2:4" ht="15.75" customHeight="1" x14ac:dyDescent="0.25">
      <c r="B35" s="2" t="s">
        <v>24</v>
      </c>
      <c r="C35" s="3" t="str">
        <f t="shared" si="5"/>
        <v/>
      </c>
      <c r="D35" s="3" t="str">
        <f t="shared" si="4"/>
        <v>EXT-</v>
      </c>
    </row>
    <row r="36" spans="2:4" ht="15.75" customHeight="1" x14ac:dyDescent="0.25">
      <c r="B36" s="2" t="s">
        <v>24</v>
      </c>
      <c r="C36" s="3" t="str">
        <f t="shared" si="5"/>
        <v/>
      </c>
      <c r="D36" s="3" t="str">
        <f t="shared" si="4"/>
        <v>EXT-</v>
      </c>
    </row>
    <row r="37" spans="2:4" ht="15.75" customHeight="1" x14ac:dyDescent="0.25">
      <c r="B37" s="2" t="s">
        <v>24</v>
      </c>
      <c r="C37" s="3" t="str">
        <f t="shared" si="5"/>
        <v/>
      </c>
      <c r="D37" s="3" t="str">
        <f t="shared" si="4"/>
        <v>EXT-</v>
      </c>
    </row>
    <row r="38" spans="2:4" ht="15.75" customHeight="1" x14ac:dyDescent="0.25">
      <c r="B38" s="2" t="s">
        <v>24</v>
      </c>
      <c r="C38" s="3" t="str">
        <f t="shared" si="5"/>
        <v/>
      </c>
      <c r="D38" s="3" t="str">
        <f t="shared" si="4"/>
        <v>EXT-</v>
      </c>
    </row>
    <row r="39" spans="2:4" ht="15.75" customHeight="1" x14ac:dyDescent="0.25">
      <c r="B39" s="2" t="s">
        <v>24</v>
      </c>
      <c r="C39" s="3" t="str">
        <f t="shared" si="5"/>
        <v/>
      </c>
      <c r="D39" s="3" t="str">
        <f t="shared" si="4"/>
        <v>EXT-</v>
      </c>
    </row>
    <row r="40" spans="2:4" ht="15.75" customHeight="1" x14ac:dyDescent="0.25">
      <c r="B40" s="2" t="s">
        <v>24</v>
      </c>
      <c r="C40" s="3" t="str">
        <f t="shared" si="5"/>
        <v/>
      </c>
      <c r="D40" s="3" t="str">
        <f t="shared" si="4"/>
        <v>EXT-</v>
      </c>
    </row>
    <row r="41" spans="2:4" ht="15.75" customHeight="1" x14ac:dyDescent="0.25">
      <c r="B41" s="2" t="s">
        <v>24</v>
      </c>
      <c r="C41" s="3" t="str">
        <f t="shared" si="5"/>
        <v/>
      </c>
      <c r="D41" s="3" t="str">
        <f t="shared" si="4"/>
        <v>EXT-</v>
      </c>
    </row>
    <row r="42" spans="2:4" ht="15.75" customHeight="1" x14ac:dyDescent="0.25">
      <c r="B42" s="2" t="s">
        <v>24</v>
      </c>
      <c r="C42" s="3" t="str">
        <f t="shared" si="5"/>
        <v/>
      </c>
      <c r="D42" s="3" t="str">
        <f t="shared" si="4"/>
        <v>EXT-</v>
      </c>
    </row>
    <row r="43" spans="2:4" ht="15.75" customHeight="1" x14ac:dyDescent="0.25">
      <c r="B43" s="2" t="s">
        <v>24</v>
      </c>
      <c r="C43" s="3" t="str">
        <f t="shared" si="5"/>
        <v/>
      </c>
      <c r="D43" s="3" t="str">
        <f t="shared" si="4"/>
        <v>EXT-</v>
      </c>
    </row>
    <row r="44" spans="2:4" ht="15.75" customHeight="1" x14ac:dyDescent="0.25">
      <c r="B44" s="2" t="s">
        <v>24</v>
      </c>
      <c r="C44" s="3" t="str">
        <f t="shared" si="5"/>
        <v/>
      </c>
      <c r="D44" s="3" t="str">
        <f t="shared" si="4"/>
        <v>EXT-</v>
      </c>
    </row>
    <row r="45" spans="2:4" ht="15.75" customHeight="1" x14ac:dyDescent="0.25">
      <c r="B45" s="2" t="s">
        <v>24</v>
      </c>
      <c r="C45" s="3" t="str">
        <f t="shared" si="5"/>
        <v/>
      </c>
      <c r="D45" s="3" t="str">
        <f t="shared" si="4"/>
        <v>EXT-</v>
      </c>
    </row>
    <row r="46" spans="2:4" ht="15.75" customHeight="1" x14ac:dyDescent="0.25">
      <c r="B46" s="2" t="s">
        <v>24</v>
      </c>
      <c r="C46" s="3" t="str">
        <f t="shared" si="5"/>
        <v/>
      </c>
      <c r="D46" s="3" t="str">
        <f t="shared" si="4"/>
        <v>EXT-</v>
      </c>
    </row>
    <row r="47" spans="2:4" ht="15.75" customHeight="1" x14ac:dyDescent="0.25">
      <c r="B47" s="2" t="s">
        <v>24</v>
      </c>
      <c r="C47" s="3" t="str">
        <f t="shared" si="5"/>
        <v/>
      </c>
      <c r="D47" s="3" t="str">
        <f t="shared" si="4"/>
        <v>EXT-</v>
      </c>
    </row>
    <row r="48" spans="2:4" ht="15.75" customHeight="1" x14ac:dyDescent="0.25">
      <c r="B48" s="2" t="s">
        <v>24</v>
      </c>
      <c r="C48" s="3" t="str">
        <f t="shared" si="5"/>
        <v/>
      </c>
      <c r="D48" s="3" t="str">
        <f t="shared" si="4"/>
        <v>EXT-</v>
      </c>
    </row>
    <row r="49" spans="2:4" ht="15.75" customHeight="1" x14ac:dyDescent="0.25">
      <c r="B49" s="2" t="s">
        <v>24</v>
      </c>
      <c r="C49" s="3" t="str">
        <f t="shared" si="5"/>
        <v/>
      </c>
      <c r="D49" s="3" t="str">
        <f t="shared" si="4"/>
        <v>EXT-</v>
      </c>
    </row>
    <row r="50" spans="2:4" ht="15.75" customHeight="1" x14ac:dyDescent="0.25">
      <c r="B50" s="2" t="s">
        <v>24</v>
      </c>
      <c r="C50" s="3" t="str">
        <f t="shared" si="5"/>
        <v/>
      </c>
      <c r="D50" s="3" t="str">
        <f t="shared" si="4"/>
        <v>EXT-</v>
      </c>
    </row>
    <row r="51" spans="2:4" ht="15.75" customHeight="1" x14ac:dyDescent="0.25">
      <c r="B51" s="2" t="s">
        <v>24</v>
      </c>
      <c r="C51" s="3" t="str">
        <f t="shared" si="5"/>
        <v/>
      </c>
      <c r="D51" s="3" t="str">
        <f t="shared" si="4"/>
        <v>EXT-</v>
      </c>
    </row>
    <row r="52" spans="2:4" ht="15.75" customHeight="1" x14ac:dyDescent="0.25">
      <c r="B52" s="2" t="s">
        <v>24</v>
      </c>
      <c r="C52" s="3" t="str">
        <f t="shared" si="5"/>
        <v/>
      </c>
      <c r="D52" s="3" t="str">
        <f t="shared" si="4"/>
        <v>EXT-</v>
      </c>
    </row>
    <row r="53" spans="2:4" ht="15.75" customHeight="1" x14ac:dyDescent="0.25">
      <c r="B53" s="2" t="s">
        <v>24</v>
      </c>
      <c r="C53" s="3" t="str">
        <f t="shared" si="5"/>
        <v/>
      </c>
      <c r="D53" s="3" t="str">
        <f t="shared" si="4"/>
        <v>EXT-</v>
      </c>
    </row>
    <row r="54" spans="2:4" ht="15.75" customHeight="1" x14ac:dyDescent="0.25">
      <c r="B54" s="2" t="s">
        <v>24</v>
      </c>
      <c r="C54" s="3" t="str">
        <f t="shared" si="5"/>
        <v/>
      </c>
      <c r="D54" s="3" t="str">
        <f t="shared" si="4"/>
        <v>EXT-</v>
      </c>
    </row>
    <row r="55" spans="2:4" ht="15.75" customHeight="1" x14ac:dyDescent="0.25">
      <c r="B55" s="2" t="s">
        <v>24</v>
      </c>
      <c r="C55" s="3" t="str">
        <f t="shared" si="5"/>
        <v/>
      </c>
      <c r="D55" s="3" t="str">
        <f t="shared" si="4"/>
        <v>EXT-</v>
      </c>
    </row>
    <row r="56" spans="2:4" ht="15.75" customHeight="1" x14ac:dyDescent="0.25">
      <c r="B56" s="2" t="s">
        <v>24</v>
      </c>
      <c r="C56" s="3" t="str">
        <f t="shared" si="5"/>
        <v/>
      </c>
      <c r="D56" s="3" t="str">
        <f t="shared" si="4"/>
        <v>EXT-</v>
      </c>
    </row>
    <row r="57" spans="2:4" ht="15.75" customHeight="1" x14ac:dyDescent="0.25">
      <c r="B57" s="2" t="s">
        <v>24</v>
      </c>
      <c r="C57" s="3" t="str">
        <f t="shared" si="5"/>
        <v/>
      </c>
      <c r="D57" s="3" t="str">
        <f t="shared" si="4"/>
        <v>EXT-</v>
      </c>
    </row>
    <row r="58" spans="2:4" ht="15.75" customHeight="1" x14ac:dyDescent="0.25">
      <c r="B58" s="2" t="s">
        <v>24</v>
      </c>
      <c r="C58" s="3" t="str">
        <f t="shared" si="5"/>
        <v/>
      </c>
      <c r="D58" s="3" t="str">
        <f t="shared" si="4"/>
        <v>EXT-</v>
      </c>
    </row>
    <row r="59" spans="2:4" ht="15.75" customHeight="1" x14ac:dyDescent="0.25">
      <c r="B59" s="2" t="s">
        <v>24</v>
      </c>
      <c r="C59" s="3" t="str">
        <f t="shared" si="5"/>
        <v/>
      </c>
      <c r="D59" s="3" t="str">
        <f t="shared" si="4"/>
        <v>EXT-</v>
      </c>
    </row>
    <row r="60" spans="2:4" ht="15.75" customHeight="1" x14ac:dyDescent="0.25">
      <c r="B60" s="2" t="s">
        <v>24</v>
      </c>
      <c r="C60" s="3" t="str">
        <f t="shared" si="5"/>
        <v/>
      </c>
      <c r="D60" s="3" t="str">
        <f t="shared" si="4"/>
        <v>EXT-</v>
      </c>
    </row>
    <row r="61" spans="2:4" ht="15.75" customHeight="1" x14ac:dyDescent="0.25">
      <c r="B61" s="2" t="s">
        <v>24</v>
      </c>
      <c r="C61" s="3" t="str">
        <f t="shared" si="5"/>
        <v/>
      </c>
      <c r="D61" s="3" t="str">
        <f t="shared" si="4"/>
        <v>EXT-</v>
      </c>
    </row>
    <row r="62" spans="2:4" ht="15.75" customHeight="1" x14ac:dyDescent="0.25">
      <c r="B62" s="2" t="s">
        <v>24</v>
      </c>
      <c r="C62" s="3" t="str">
        <f t="shared" si="5"/>
        <v/>
      </c>
      <c r="D62" s="3" t="str">
        <f t="shared" si="4"/>
        <v>EXT-</v>
      </c>
    </row>
    <row r="63" spans="2:4" ht="15.75" customHeight="1" x14ac:dyDescent="0.25">
      <c r="B63" s="2" t="s">
        <v>24</v>
      </c>
      <c r="C63" s="3" t="str">
        <f t="shared" si="5"/>
        <v/>
      </c>
      <c r="D63" s="3" t="str">
        <f t="shared" si="4"/>
        <v>EXT-</v>
      </c>
    </row>
    <row r="64" spans="2:4" ht="15.75" customHeight="1" x14ac:dyDescent="0.25">
      <c r="B64" s="2" t="s">
        <v>24</v>
      </c>
      <c r="C64" s="3" t="str">
        <f t="shared" si="5"/>
        <v/>
      </c>
      <c r="D64" s="3" t="str">
        <f t="shared" si="4"/>
        <v>EXT-</v>
      </c>
    </row>
    <row r="65" spans="1:4" ht="15.75" customHeight="1" x14ac:dyDescent="0.25">
      <c r="B65" s="2" t="s">
        <v>24</v>
      </c>
      <c r="C65" s="3" t="str">
        <f t="shared" si="5"/>
        <v/>
      </c>
      <c r="D65" s="3" t="str">
        <f t="shared" si="4"/>
        <v>EXT-</v>
      </c>
    </row>
    <row r="66" spans="1:4" ht="15.75" customHeight="1" x14ac:dyDescent="0.25">
      <c r="B66" s="2" t="s">
        <v>24</v>
      </c>
      <c r="C66" s="3" t="str">
        <f t="shared" si="5"/>
        <v/>
      </c>
      <c r="D66" s="3" t="str">
        <f t="shared" si="4"/>
        <v>EXT-</v>
      </c>
    </row>
    <row r="67" spans="1:4" ht="15.75" customHeight="1" x14ac:dyDescent="0.25">
      <c r="B67" s="2" t="s">
        <v>24</v>
      </c>
      <c r="C67" s="3" t="str">
        <f t="shared" ref="C67:C78" si="6">MID(A67,14,5)</f>
        <v/>
      </c>
      <c r="D67" s="3" t="str">
        <f t="shared" si="4"/>
        <v>EXT-</v>
      </c>
    </row>
    <row r="68" spans="1:4" ht="15.75" customHeight="1" x14ac:dyDescent="0.25">
      <c r="B68" s="2" t="s">
        <v>24</v>
      </c>
      <c r="C68" s="3" t="str">
        <f t="shared" si="6"/>
        <v/>
      </c>
      <c r="D68" s="3" t="str">
        <f t="shared" si="4"/>
        <v>EXT-</v>
      </c>
    </row>
    <row r="69" spans="1:4" ht="15.75" customHeight="1" x14ac:dyDescent="0.25">
      <c r="B69" s="2" t="s">
        <v>24</v>
      </c>
      <c r="C69" s="3" t="str">
        <f t="shared" si="6"/>
        <v/>
      </c>
      <c r="D69" s="3" t="str">
        <f t="shared" si="4"/>
        <v>EXT-</v>
      </c>
    </row>
    <row r="70" spans="1:4" ht="15.75" customHeight="1" x14ac:dyDescent="0.25">
      <c r="B70" s="2" t="s">
        <v>24</v>
      </c>
      <c r="C70" s="3" t="str">
        <f t="shared" si="6"/>
        <v/>
      </c>
      <c r="D70" s="3" t="str">
        <f t="shared" ref="D70:D133" si="7">B70&amp;C70</f>
        <v>EXT-</v>
      </c>
    </row>
    <row r="71" spans="1:4" ht="15.75" customHeight="1" x14ac:dyDescent="0.25">
      <c r="B71" s="2" t="s">
        <v>24</v>
      </c>
      <c r="C71" s="3" t="str">
        <f t="shared" si="6"/>
        <v/>
      </c>
      <c r="D71" s="3" t="str">
        <f t="shared" si="7"/>
        <v>EXT-</v>
      </c>
    </row>
    <row r="72" spans="1:4" ht="15.75" customHeight="1" x14ac:dyDescent="0.25">
      <c r="B72" s="2" t="s">
        <v>24</v>
      </c>
      <c r="C72" s="3" t="str">
        <f t="shared" si="6"/>
        <v/>
      </c>
      <c r="D72" s="3" t="str">
        <f t="shared" si="7"/>
        <v>EXT-</v>
      </c>
    </row>
    <row r="73" spans="1:4" ht="15.75" customHeight="1" x14ac:dyDescent="0.25">
      <c r="B73" s="2" t="s">
        <v>24</v>
      </c>
      <c r="C73" s="3" t="str">
        <f t="shared" si="6"/>
        <v/>
      </c>
      <c r="D73" s="3" t="str">
        <f t="shared" si="7"/>
        <v>EXT-</v>
      </c>
    </row>
    <row r="74" spans="1:4" ht="15.75" customHeight="1" x14ac:dyDescent="0.25">
      <c r="B74" s="2" t="s">
        <v>24</v>
      </c>
      <c r="C74" s="3" t="str">
        <f t="shared" si="6"/>
        <v/>
      </c>
      <c r="D74" s="3" t="str">
        <f t="shared" si="7"/>
        <v>EXT-</v>
      </c>
    </row>
    <row r="75" spans="1:4" ht="15.75" customHeight="1" x14ac:dyDescent="0.25">
      <c r="B75" s="2" t="s">
        <v>24</v>
      </c>
      <c r="C75" s="3" t="str">
        <f t="shared" si="6"/>
        <v/>
      </c>
      <c r="D75" s="3" t="str">
        <f t="shared" si="7"/>
        <v>EXT-</v>
      </c>
    </row>
    <row r="76" spans="1:4" ht="15.75" customHeight="1" x14ac:dyDescent="0.25">
      <c r="B76" s="2" t="s">
        <v>24</v>
      </c>
      <c r="C76" s="3" t="str">
        <f t="shared" si="6"/>
        <v/>
      </c>
      <c r="D76" s="3" t="str">
        <f t="shared" si="7"/>
        <v>EXT-</v>
      </c>
    </row>
    <row r="77" spans="1:4" ht="15.75" customHeight="1" x14ac:dyDescent="0.25">
      <c r="B77" s="2" t="s">
        <v>24</v>
      </c>
      <c r="C77" s="3" t="str">
        <f t="shared" si="6"/>
        <v/>
      </c>
      <c r="D77" s="3" t="str">
        <f t="shared" si="7"/>
        <v>EXT-</v>
      </c>
    </row>
    <row r="78" spans="1:4" ht="15.75" customHeight="1" x14ac:dyDescent="0.25">
      <c r="B78" s="2" t="s">
        <v>24</v>
      </c>
      <c r="C78" s="3" t="str">
        <f t="shared" si="6"/>
        <v/>
      </c>
      <c r="D78" s="3" t="str">
        <f t="shared" si="7"/>
        <v>EXT-</v>
      </c>
    </row>
    <row r="79" spans="1:4" ht="15.75" customHeight="1" x14ac:dyDescent="0.25">
      <c r="A79" s="17"/>
      <c r="B79" s="2" t="s">
        <v>24</v>
      </c>
      <c r="C79" s="3" t="str">
        <f t="shared" ref="C79:C94" si="8">MID(A79,14,5)</f>
        <v/>
      </c>
      <c r="D79" s="3" t="str">
        <f t="shared" si="7"/>
        <v>EXT-</v>
      </c>
    </row>
    <row r="80" spans="1:4" ht="15.75" customHeight="1" x14ac:dyDescent="0.25">
      <c r="A80" s="17"/>
      <c r="B80" s="2" t="s">
        <v>24</v>
      </c>
      <c r="C80" s="3" t="str">
        <f t="shared" si="8"/>
        <v/>
      </c>
      <c r="D80" s="3" t="str">
        <f t="shared" si="7"/>
        <v>EXT-</v>
      </c>
    </row>
    <row r="81" spans="1:4" ht="15.75" customHeight="1" x14ac:dyDescent="0.25">
      <c r="A81" s="14"/>
      <c r="B81" s="2" t="s">
        <v>24</v>
      </c>
      <c r="C81" s="3" t="str">
        <f t="shared" si="8"/>
        <v/>
      </c>
      <c r="D81" s="3" t="str">
        <f t="shared" si="7"/>
        <v>EXT-</v>
      </c>
    </row>
    <row r="82" spans="1:4" ht="15.75" customHeight="1" x14ac:dyDescent="0.25">
      <c r="A82" s="17"/>
      <c r="B82" s="2" t="s">
        <v>24</v>
      </c>
      <c r="C82" s="3" t="str">
        <f t="shared" si="8"/>
        <v/>
      </c>
      <c r="D82" s="3" t="str">
        <f t="shared" si="7"/>
        <v>EXT-</v>
      </c>
    </row>
    <row r="83" spans="1:4" ht="15.75" customHeight="1" x14ac:dyDescent="0.25">
      <c r="A83" s="17"/>
      <c r="B83" s="2" t="s">
        <v>24</v>
      </c>
      <c r="C83" s="3" t="str">
        <f t="shared" si="8"/>
        <v/>
      </c>
      <c r="D83" s="3" t="str">
        <f t="shared" si="7"/>
        <v>EXT-</v>
      </c>
    </row>
    <row r="84" spans="1:4" ht="15.75" customHeight="1" x14ac:dyDescent="0.25">
      <c r="A84" s="17"/>
      <c r="B84" s="2" t="s">
        <v>24</v>
      </c>
      <c r="C84" s="3" t="str">
        <f t="shared" si="8"/>
        <v/>
      </c>
      <c r="D84" s="3" t="str">
        <f t="shared" si="7"/>
        <v>EXT-</v>
      </c>
    </row>
    <row r="85" spans="1:4" ht="15.75" customHeight="1" x14ac:dyDescent="0.25">
      <c r="A85" s="17"/>
      <c r="B85" s="2" t="s">
        <v>24</v>
      </c>
      <c r="C85" s="3" t="str">
        <f t="shared" si="8"/>
        <v/>
      </c>
      <c r="D85" s="3" t="str">
        <f t="shared" si="7"/>
        <v>EXT-</v>
      </c>
    </row>
    <row r="86" spans="1:4" ht="15.75" customHeight="1" x14ac:dyDescent="0.25">
      <c r="A86" s="17"/>
      <c r="B86" s="2" t="s">
        <v>24</v>
      </c>
      <c r="C86" s="3" t="str">
        <f t="shared" si="8"/>
        <v/>
      </c>
      <c r="D86" s="3" t="str">
        <f t="shared" si="7"/>
        <v>EXT-</v>
      </c>
    </row>
    <row r="87" spans="1:4" ht="15.75" customHeight="1" x14ac:dyDescent="0.25">
      <c r="B87" s="2" t="s">
        <v>24</v>
      </c>
      <c r="C87" s="3" t="str">
        <f t="shared" si="8"/>
        <v/>
      </c>
      <c r="D87" s="3" t="str">
        <f t="shared" si="7"/>
        <v>EXT-</v>
      </c>
    </row>
    <row r="88" spans="1:4" ht="15.75" customHeight="1" x14ac:dyDescent="0.25">
      <c r="B88" s="2" t="s">
        <v>24</v>
      </c>
      <c r="C88" s="3" t="str">
        <f t="shared" si="8"/>
        <v/>
      </c>
      <c r="D88" s="3" t="str">
        <f t="shared" si="7"/>
        <v>EXT-</v>
      </c>
    </row>
    <row r="89" spans="1:4" ht="15.75" customHeight="1" x14ac:dyDescent="0.25">
      <c r="B89" s="2" t="s">
        <v>24</v>
      </c>
      <c r="C89" s="3" t="str">
        <f t="shared" si="8"/>
        <v/>
      </c>
      <c r="D89" s="3" t="str">
        <f t="shared" si="7"/>
        <v>EXT-</v>
      </c>
    </row>
    <row r="90" spans="1:4" ht="15.75" customHeight="1" x14ac:dyDescent="0.25">
      <c r="B90" s="2" t="s">
        <v>24</v>
      </c>
      <c r="C90" s="3" t="str">
        <f t="shared" si="8"/>
        <v/>
      </c>
      <c r="D90" s="3" t="str">
        <f t="shared" si="7"/>
        <v>EXT-</v>
      </c>
    </row>
    <row r="91" spans="1:4" ht="15.75" customHeight="1" x14ac:dyDescent="0.25">
      <c r="B91" s="2" t="s">
        <v>24</v>
      </c>
      <c r="C91" s="3" t="str">
        <f t="shared" si="8"/>
        <v/>
      </c>
      <c r="D91" s="3" t="str">
        <f t="shared" si="7"/>
        <v>EXT-</v>
      </c>
    </row>
    <row r="92" spans="1:4" ht="15.75" customHeight="1" x14ac:dyDescent="0.25">
      <c r="B92" s="2" t="s">
        <v>24</v>
      </c>
      <c r="C92" s="3" t="str">
        <f t="shared" si="8"/>
        <v/>
      </c>
      <c r="D92" s="3" t="str">
        <f t="shared" si="7"/>
        <v>EXT-</v>
      </c>
    </row>
    <row r="93" spans="1:4" ht="15.75" customHeight="1" x14ac:dyDescent="0.25">
      <c r="B93" s="2" t="s">
        <v>24</v>
      </c>
      <c r="C93" s="3" t="str">
        <f t="shared" si="8"/>
        <v/>
      </c>
      <c r="D93" s="3" t="str">
        <f t="shared" si="7"/>
        <v>EXT-</v>
      </c>
    </row>
    <row r="94" spans="1:4" ht="15.75" customHeight="1" x14ac:dyDescent="0.25">
      <c r="B94" s="2" t="s">
        <v>24</v>
      </c>
      <c r="C94" s="3" t="str">
        <f t="shared" si="8"/>
        <v/>
      </c>
      <c r="D94" s="3" t="str">
        <f t="shared" si="7"/>
        <v>EXT-</v>
      </c>
    </row>
    <row r="95" spans="1:4" ht="15.75" customHeight="1" x14ac:dyDescent="0.25">
      <c r="B95" s="2" t="s">
        <v>24</v>
      </c>
      <c r="C95" s="3" t="str">
        <f t="shared" ref="C95:C107" si="9">MID(A95,14,5)</f>
        <v/>
      </c>
      <c r="D95" s="3" t="str">
        <f t="shared" si="7"/>
        <v>EXT-</v>
      </c>
    </row>
    <row r="96" spans="1:4" ht="15.75" customHeight="1" x14ac:dyDescent="0.25">
      <c r="B96" s="2" t="s">
        <v>24</v>
      </c>
      <c r="C96" s="3" t="str">
        <f t="shared" si="9"/>
        <v/>
      </c>
      <c r="D96" s="3" t="str">
        <f t="shared" si="7"/>
        <v>EXT-</v>
      </c>
    </row>
    <row r="97" spans="2:4" ht="15.75" customHeight="1" x14ac:dyDescent="0.25">
      <c r="B97" s="2" t="s">
        <v>24</v>
      </c>
      <c r="C97" s="3" t="str">
        <f t="shared" si="9"/>
        <v/>
      </c>
      <c r="D97" s="3" t="str">
        <f t="shared" si="7"/>
        <v>EXT-</v>
      </c>
    </row>
    <row r="98" spans="2:4" ht="15.75" customHeight="1" x14ac:dyDescent="0.25">
      <c r="B98" s="2" t="s">
        <v>24</v>
      </c>
      <c r="C98" s="3" t="str">
        <f t="shared" si="9"/>
        <v/>
      </c>
      <c r="D98" s="3" t="str">
        <f t="shared" si="7"/>
        <v>EXT-</v>
      </c>
    </row>
    <row r="99" spans="2:4" ht="15.75" customHeight="1" x14ac:dyDescent="0.25">
      <c r="B99" s="2" t="s">
        <v>24</v>
      </c>
      <c r="C99" s="3" t="str">
        <f t="shared" si="9"/>
        <v/>
      </c>
      <c r="D99" s="3" t="str">
        <f t="shared" si="7"/>
        <v>EXT-</v>
      </c>
    </row>
    <row r="100" spans="2:4" ht="15.75" customHeight="1" x14ac:dyDescent="0.25">
      <c r="B100" s="2" t="s">
        <v>24</v>
      </c>
      <c r="C100" s="3" t="str">
        <f t="shared" si="9"/>
        <v/>
      </c>
      <c r="D100" s="3" t="str">
        <f t="shared" si="7"/>
        <v>EXT-</v>
      </c>
    </row>
    <row r="101" spans="2:4" ht="15.75" customHeight="1" x14ac:dyDescent="0.25">
      <c r="B101" s="2" t="s">
        <v>24</v>
      </c>
      <c r="C101" s="3" t="str">
        <f t="shared" si="9"/>
        <v/>
      </c>
      <c r="D101" s="3" t="str">
        <f t="shared" si="7"/>
        <v>EXT-</v>
      </c>
    </row>
    <row r="102" spans="2:4" ht="15.75" customHeight="1" x14ac:dyDescent="0.25">
      <c r="B102" s="2" t="s">
        <v>24</v>
      </c>
      <c r="C102" s="3" t="str">
        <f t="shared" si="9"/>
        <v/>
      </c>
      <c r="D102" s="3" t="str">
        <f t="shared" si="7"/>
        <v>EXT-</v>
      </c>
    </row>
    <row r="103" spans="2:4" ht="15.75" customHeight="1" x14ac:dyDescent="0.25">
      <c r="B103" s="2" t="s">
        <v>24</v>
      </c>
      <c r="C103" s="3" t="str">
        <f t="shared" si="9"/>
        <v/>
      </c>
      <c r="D103" s="3" t="str">
        <f t="shared" si="7"/>
        <v>EXT-</v>
      </c>
    </row>
    <row r="104" spans="2:4" ht="15.75" customHeight="1" x14ac:dyDescent="0.25">
      <c r="B104" s="2" t="s">
        <v>24</v>
      </c>
      <c r="C104" s="3" t="str">
        <f t="shared" si="9"/>
        <v/>
      </c>
      <c r="D104" s="3" t="str">
        <f t="shared" si="7"/>
        <v>EXT-</v>
      </c>
    </row>
    <row r="105" spans="2:4" ht="15.75" customHeight="1" x14ac:dyDescent="0.25">
      <c r="B105" s="2" t="s">
        <v>24</v>
      </c>
      <c r="C105" s="3" t="str">
        <f t="shared" si="9"/>
        <v/>
      </c>
      <c r="D105" s="3" t="str">
        <f t="shared" si="7"/>
        <v>EXT-</v>
      </c>
    </row>
    <row r="106" spans="2:4" ht="15.75" customHeight="1" x14ac:dyDescent="0.25">
      <c r="B106" s="2" t="s">
        <v>24</v>
      </c>
      <c r="C106" s="3" t="str">
        <f t="shared" si="9"/>
        <v/>
      </c>
      <c r="D106" s="3" t="str">
        <f t="shared" si="7"/>
        <v>EXT-</v>
      </c>
    </row>
    <row r="107" spans="2:4" ht="15.75" customHeight="1" x14ac:dyDescent="0.25">
      <c r="B107" s="2" t="s">
        <v>24</v>
      </c>
      <c r="C107" s="3" t="str">
        <f t="shared" si="9"/>
        <v/>
      </c>
      <c r="D107" s="3" t="str">
        <f t="shared" si="7"/>
        <v>EXT-</v>
      </c>
    </row>
    <row r="108" spans="2:4" ht="15.75" customHeight="1" x14ac:dyDescent="0.25">
      <c r="B108" s="2" t="s">
        <v>24</v>
      </c>
      <c r="C108" s="3" t="str">
        <f t="shared" ref="C108:C126" si="10">MID(A108,14,5)</f>
        <v/>
      </c>
      <c r="D108" s="3" t="str">
        <f t="shared" si="7"/>
        <v>EXT-</v>
      </c>
    </row>
    <row r="109" spans="2:4" ht="15.75" customHeight="1" x14ac:dyDescent="0.25">
      <c r="B109" s="2" t="s">
        <v>24</v>
      </c>
      <c r="C109" s="3" t="str">
        <f t="shared" si="10"/>
        <v/>
      </c>
      <c r="D109" s="3" t="str">
        <f t="shared" si="7"/>
        <v>EXT-</v>
      </c>
    </row>
    <row r="110" spans="2:4" ht="15.75" customHeight="1" x14ac:dyDescent="0.25">
      <c r="B110" s="2" t="s">
        <v>24</v>
      </c>
      <c r="C110" s="3" t="str">
        <f t="shared" si="10"/>
        <v/>
      </c>
      <c r="D110" s="3" t="str">
        <f t="shared" si="7"/>
        <v>EXT-</v>
      </c>
    </row>
    <row r="111" spans="2:4" ht="15.75" customHeight="1" x14ac:dyDescent="0.25">
      <c r="B111" s="2" t="s">
        <v>24</v>
      </c>
      <c r="C111" s="3" t="str">
        <f t="shared" si="10"/>
        <v/>
      </c>
      <c r="D111" s="3" t="str">
        <f t="shared" si="7"/>
        <v>EXT-</v>
      </c>
    </row>
    <row r="112" spans="2:4" ht="15.75" customHeight="1" x14ac:dyDescent="0.25">
      <c r="B112" s="2" t="s">
        <v>24</v>
      </c>
      <c r="C112" s="3" t="str">
        <f t="shared" si="10"/>
        <v/>
      </c>
      <c r="D112" s="3" t="str">
        <f t="shared" si="7"/>
        <v>EXT-</v>
      </c>
    </row>
    <row r="113" spans="2:4" ht="15.75" customHeight="1" x14ac:dyDescent="0.25">
      <c r="B113" s="2" t="s">
        <v>24</v>
      </c>
      <c r="C113" s="3" t="str">
        <f t="shared" si="10"/>
        <v/>
      </c>
      <c r="D113" s="3" t="str">
        <f t="shared" si="7"/>
        <v>EXT-</v>
      </c>
    </row>
    <row r="114" spans="2:4" ht="15.75" customHeight="1" x14ac:dyDescent="0.25">
      <c r="B114" s="2" t="s">
        <v>24</v>
      </c>
      <c r="C114" s="3" t="str">
        <f t="shared" si="10"/>
        <v/>
      </c>
      <c r="D114" s="3" t="str">
        <f t="shared" si="7"/>
        <v>EXT-</v>
      </c>
    </row>
    <row r="115" spans="2:4" ht="15.75" customHeight="1" x14ac:dyDescent="0.25">
      <c r="B115" s="2" t="s">
        <v>24</v>
      </c>
      <c r="C115" s="3" t="str">
        <f t="shared" si="10"/>
        <v/>
      </c>
      <c r="D115" s="3" t="str">
        <f t="shared" si="7"/>
        <v>EXT-</v>
      </c>
    </row>
    <row r="116" spans="2:4" ht="15.75" customHeight="1" x14ac:dyDescent="0.25">
      <c r="B116" s="2" t="s">
        <v>24</v>
      </c>
      <c r="C116" s="3" t="str">
        <f t="shared" si="10"/>
        <v/>
      </c>
      <c r="D116" s="3" t="str">
        <f t="shared" si="7"/>
        <v>EXT-</v>
      </c>
    </row>
    <row r="117" spans="2:4" ht="15.75" customHeight="1" x14ac:dyDescent="0.25">
      <c r="B117" s="2" t="s">
        <v>24</v>
      </c>
      <c r="C117" s="3" t="str">
        <f t="shared" si="10"/>
        <v/>
      </c>
      <c r="D117" s="3" t="str">
        <f t="shared" si="7"/>
        <v>EXT-</v>
      </c>
    </row>
    <row r="118" spans="2:4" ht="15.75" customHeight="1" x14ac:dyDescent="0.25">
      <c r="B118" s="2" t="s">
        <v>24</v>
      </c>
      <c r="C118" s="3" t="str">
        <f t="shared" si="10"/>
        <v/>
      </c>
      <c r="D118" s="3" t="str">
        <f t="shared" si="7"/>
        <v>EXT-</v>
      </c>
    </row>
    <row r="119" spans="2:4" ht="15.75" customHeight="1" x14ac:dyDescent="0.25">
      <c r="B119" s="2" t="s">
        <v>24</v>
      </c>
      <c r="C119" s="3" t="str">
        <f t="shared" si="10"/>
        <v/>
      </c>
      <c r="D119" s="3" t="str">
        <f t="shared" si="7"/>
        <v>EXT-</v>
      </c>
    </row>
    <row r="120" spans="2:4" ht="15.75" customHeight="1" x14ac:dyDescent="0.25">
      <c r="B120" s="2" t="s">
        <v>24</v>
      </c>
      <c r="C120" s="3" t="str">
        <f t="shared" si="10"/>
        <v/>
      </c>
      <c r="D120" s="3" t="str">
        <f t="shared" si="7"/>
        <v>EXT-</v>
      </c>
    </row>
    <row r="121" spans="2:4" ht="15.75" customHeight="1" x14ac:dyDescent="0.25">
      <c r="B121" s="2" t="s">
        <v>24</v>
      </c>
      <c r="C121" s="3" t="str">
        <f t="shared" si="10"/>
        <v/>
      </c>
      <c r="D121" s="3" t="str">
        <f t="shared" si="7"/>
        <v>EXT-</v>
      </c>
    </row>
    <row r="122" spans="2:4" ht="15.75" customHeight="1" x14ac:dyDescent="0.25">
      <c r="B122" s="2" t="s">
        <v>24</v>
      </c>
      <c r="C122" s="3" t="str">
        <f t="shared" si="10"/>
        <v/>
      </c>
      <c r="D122" s="3" t="str">
        <f t="shared" si="7"/>
        <v>EXT-</v>
      </c>
    </row>
    <row r="123" spans="2:4" ht="15.75" customHeight="1" x14ac:dyDescent="0.25">
      <c r="B123" s="2" t="s">
        <v>24</v>
      </c>
      <c r="C123" s="3" t="str">
        <f t="shared" si="10"/>
        <v/>
      </c>
      <c r="D123" s="3" t="str">
        <f t="shared" si="7"/>
        <v>EXT-</v>
      </c>
    </row>
    <row r="124" spans="2:4" ht="15.75" customHeight="1" x14ac:dyDescent="0.25">
      <c r="B124" s="2" t="s">
        <v>24</v>
      </c>
      <c r="C124" s="3" t="str">
        <f t="shared" si="10"/>
        <v/>
      </c>
      <c r="D124" s="3" t="str">
        <f t="shared" si="7"/>
        <v>EXT-</v>
      </c>
    </row>
    <row r="125" spans="2:4" ht="15.75" customHeight="1" x14ac:dyDescent="0.25">
      <c r="B125" s="2" t="s">
        <v>24</v>
      </c>
      <c r="C125" s="3" t="str">
        <f t="shared" si="10"/>
        <v/>
      </c>
      <c r="D125" s="3" t="str">
        <f t="shared" si="7"/>
        <v>EXT-</v>
      </c>
    </row>
    <row r="126" spans="2:4" ht="15.75" customHeight="1" x14ac:dyDescent="0.25">
      <c r="B126" s="2" t="s">
        <v>24</v>
      </c>
      <c r="C126" s="3" t="str">
        <f t="shared" si="10"/>
        <v/>
      </c>
      <c r="D126" s="3" t="str">
        <f t="shared" si="7"/>
        <v>EXT-</v>
      </c>
    </row>
    <row r="127" spans="2:4" ht="15.75" customHeight="1" x14ac:dyDescent="0.25">
      <c r="B127" s="2" t="s">
        <v>24</v>
      </c>
      <c r="C127" s="3" t="str">
        <f t="shared" ref="C127:C144" si="11">MID(A127,14,5)</f>
        <v/>
      </c>
      <c r="D127" s="3" t="str">
        <f t="shared" si="7"/>
        <v>EXT-</v>
      </c>
    </row>
    <row r="128" spans="2:4" ht="15.75" customHeight="1" x14ac:dyDescent="0.25">
      <c r="B128" s="2" t="s">
        <v>24</v>
      </c>
      <c r="C128" s="3" t="str">
        <f t="shared" si="11"/>
        <v/>
      </c>
      <c r="D128" s="3" t="str">
        <f t="shared" si="7"/>
        <v>EXT-</v>
      </c>
    </row>
    <row r="129" spans="2:4" ht="15.75" customHeight="1" x14ac:dyDescent="0.25">
      <c r="B129" s="2" t="s">
        <v>24</v>
      </c>
      <c r="C129" s="3" t="str">
        <f t="shared" si="11"/>
        <v/>
      </c>
      <c r="D129" s="3" t="str">
        <f t="shared" si="7"/>
        <v>EXT-</v>
      </c>
    </row>
    <row r="130" spans="2:4" ht="15.75" customHeight="1" x14ac:dyDescent="0.25">
      <c r="B130" s="2" t="s">
        <v>24</v>
      </c>
      <c r="C130" s="3" t="str">
        <f t="shared" si="11"/>
        <v/>
      </c>
      <c r="D130" s="3" t="str">
        <f t="shared" si="7"/>
        <v>EXT-</v>
      </c>
    </row>
    <row r="131" spans="2:4" ht="15.75" customHeight="1" x14ac:dyDescent="0.25">
      <c r="B131" s="2" t="s">
        <v>24</v>
      </c>
      <c r="C131" s="3" t="str">
        <f t="shared" si="11"/>
        <v/>
      </c>
      <c r="D131" s="3" t="str">
        <f t="shared" si="7"/>
        <v>EXT-</v>
      </c>
    </row>
    <row r="132" spans="2:4" ht="15.75" customHeight="1" x14ac:dyDescent="0.25">
      <c r="B132" s="2" t="s">
        <v>24</v>
      </c>
      <c r="C132" s="3" t="str">
        <f t="shared" si="11"/>
        <v/>
      </c>
      <c r="D132" s="3" t="str">
        <f t="shared" si="7"/>
        <v>EXT-</v>
      </c>
    </row>
    <row r="133" spans="2:4" ht="15.75" customHeight="1" x14ac:dyDescent="0.25">
      <c r="B133" s="2" t="s">
        <v>24</v>
      </c>
      <c r="C133" s="3" t="str">
        <f t="shared" si="11"/>
        <v/>
      </c>
      <c r="D133" s="3" t="str">
        <f t="shared" si="7"/>
        <v>EXT-</v>
      </c>
    </row>
    <row r="134" spans="2:4" ht="15.75" customHeight="1" x14ac:dyDescent="0.25">
      <c r="B134" s="2" t="s">
        <v>24</v>
      </c>
      <c r="C134" s="3" t="str">
        <f t="shared" si="11"/>
        <v/>
      </c>
      <c r="D134" s="3" t="str">
        <f t="shared" ref="D134:D145" si="12">B134&amp;C134</f>
        <v>EXT-</v>
      </c>
    </row>
    <row r="135" spans="2:4" ht="15.75" customHeight="1" x14ac:dyDescent="0.25">
      <c r="B135" s="2" t="s">
        <v>24</v>
      </c>
      <c r="C135" s="3" t="str">
        <f t="shared" si="11"/>
        <v/>
      </c>
      <c r="D135" s="3" t="str">
        <f t="shared" si="12"/>
        <v>EXT-</v>
      </c>
    </row>
    <row r="136" spans="2:4" ht="15.75" customHeight="1" x14ac:dyDescent="0.25">
      <c r="B136" s="2" t="s">
        <v>24</v>
      </c>
      <c r="C136" s="3" t="str">
        <f t="shared" si="11"/>
        <v/>
      </c>
      <c r="D136" s="3" t="str">
        <f t="shared" si="12"/>
        <v>EXT-</v>
      </c>
    </row>
    <row r="137" spans="2:4" ht="15.75" customHeight="1" x14ac:dyDescent="0.25">
      <c r="B137" s="2" t="s">
        <v>24</v>
      </c>
      <c r="C137" s="3" t="str">
        <f t="shared" si="11"/>
        <v/>
      </c>
      <c r="D137" s="3" t="str">
        <f t="shared" si="12"/>
        <v>EXT-</v>
      </c>
    </row>
    <row r="138" spans="2:4" ht="15.75" customHeight="1" x14ac:dyDescent="0.25">
      <c r="B138" s="2" t="s">
        <v>24</v>
      </c>
      <c r="C138" s="3" t="str">
        <f t="shared" si="11"/>
        <v/>
      </c>
      <c r="D138" s="3" t="str">
        <f t="shared" si="12"/>
        <v>EXT-</v>
      </c>
    </row>
    <row r="139" spans="2:4" ht="15.75" customHeight="1" x14ac:dyDescent="0.25">
      <c r="B139" s="2" t="s">
        <v>24</v>
      </c>
      <c r="C139" s="3" t="str">
        <f t="shared" si="11"/>
        <v/>
      </c>
      <c r="D139" s="3" t="str">
        <f t="shared" si="12"/>
        <v>EXT-</v>
      </c>
    </row>
    <row r="140" spans="2:4" ht="15.75" customHeight="1" x14ac:dyDescent="0.25">
      <c r="B140" s="2" t="s">
        <v>24</v>
      </c>
      <c r="C140" s="3" t="str">
        <f t="shared" si="11"/>
        <v/>
      </c>
      <c r="D140" s="3" t="str">
        <f t="shared" si="12"/>
        <v>EXT-</v>
      </c>
    </row>
    <row r="141" spans="2:4" ht="15.75" customHeight="1" x14ac:dyDescent="0.25">
      <c r="B141" s="2" t="s">
        <v>24</v>
      </c>
      <c r="C141" s="3" t="str">
        <f t="shared" si="11"/>
        <v/>
      </c>
      <c r="D141" s="3" t="str">
        <f t="shared" si="12"/>
        <v>EXT-</v>
      </c>
    </row>
    <row r="142" spans="2:4" ht="15.75" customHeight="1" x14ac:dyDescent="0.25">
      <c r="B142" s="2" t="s">
        <v>24</v>
      </c>
      <c r="C142" s="3" t="str">
        <f t="shared" si="11"/>
        <v/>
      </c>
      <c r="D142" s="3" t="str">
        <f t="shared" si="12"/>
        <v>EXT-</v>
      </c>
    </row>
    <row r="143" spans="2:4" ht="15.75" customHeight="1" x14ac:dyDescent="0.25">
      <c r="B143" s="2" t="s">
        <v>24</v>
      </c>
      <c r="C143" s="3" t="str">
        <f t="shared" si="11"/>
        <v/>
      </c>
      <c r="D143" s="3" t="str">
        <f t="shared" si="12"/>
        <v>EXT-</v>
      </c>
    </row>
    <row r="144" spans="2:4" ht="15.75" customHeight="1" x14ac:dyDescent="0.25">
      <c r="B144" s="2" t="s">
        <v>24</v>
      </c>
      <c r="C144" s="3" t="str">
        <f t="shared" si="11"/>
        <v/>
      </c>
      <c r="D144" s="3" t="str">
        <f t="shared" si="12"/>
        <v>EXT-</v>
      </c>
    </row>
    <row r="145" spans="2:4" ht="15.75" customHeight="1" x14ac:dyDescent="0.25">
      <c r="B145" s="2" t="s">
        <v>24</v>
      </c>
      <c r="C145" s="3" t="str">
        <f>MID(A145,14,5)</f>
        <v/>
      </c>
      <c r="D145" s="3" t="str">
        <f t="shared" si="12"/>
        <v>EXT-</v>
      </c>
    </row>
    <row r="146" spans="2:4" ht="15.75" customHeight="1" x14ac:dyDescent="0.25">
      <c r="B146" s="2" t="s">
        <v>24</v>
      </c>
      <c r="C146" s="3" t="str">
        <f>MID(A146,14,5)</f>
        <v/>
      </c>
      <c r="D146" s="3" t="str">
        <f>B146&amp;C146</f>
        <v>EXT-</v>
      </c>
    </row>
    <row r="147" spans="2:4" ht="15.75" customHeight="1" x14ac:dyDescent="0.25">
      <c r="B147" s="2" t="s">
        <v>24</v>
      </c>
      <c r="C147" s="3" t="str">
        <f>MID(A147,14,5)</f>
        <v/>
      </c>
      <c r="D147" s="3" t="str">
        <f>B147&amp;C147</f>
        <v>EXT-</v>
      </c>
    </row>
    <row r="148" spans="2:4" ht="15.75" customHeight="1" x14ac:dyDescent="0.25">
      <c r="B148" s="2" t="s">
        <v>24</v>
      </c>
      <c r="C148" s="3" t="str">
        <f>MID(A148,14,5)</f>
        <v/>
      </c>
      <c r="D148" s="3" t="str">
        <f>B148&amp;C148</f>
        <v>EXT-</v>
      </c>
    </row>
    <row r="149" spans="2:4" ht="15.75" customHeight="1" x14ac:dyDescent="0.25">
      <c r="B149" s="2" t="s">
        <v>24</v>
      </c>
      <c r="C149" s="3" t="str">
        <f>MID(A149,14,5)</f>
        <v/>
      </c>
      <c r="D149" s="3" t="str">
        <f>B149&amp;C149</f>
        <v>EXT-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86"/>
  <sheetViews>
    <sheetView topLeftCell="A64" workbookViewId="0">
      <selection activeCell="B91" sqref="B91"/>
    </sheetView>
  </sheetViews>
  <sheetFormatPr baseColWidth="10" defaultRowHeight="15" x14ac:dyDescent="0.25"/>
  <cols>
    <col min="2" max="2" width="20.140625" customWidth="1"/>
    <col min="3" max="3" width="16.5703125" customWidth="1"/>
    <col min="4" max="4" width="14" customWidth="1"/>
    <col min="5" max="5" width="21.5703125" customWidth="1"/>
    <col min="6" max="6" width="18.140625" customWidth="1"/>
  </cols>
  <sheetData>
    <row r="2" spans="1:6" ht="45" customHeight="1" x14ac:dyDescent="0.25">
      <c r="B2" s="233" t="s">
        <v>135</v>
      </c>
      <c r="C2" s="233"/>
      <c r="D2" s="233"/>
      <c r="E2" s="233"/>
    </row>
    <row r="3" spans="1:6" x14ac:dyDescent="0.25">
      <c r="C3" s="17"/>
      <c r="D3" s="17"/>
      <c r="E3" s="17"/>
      <c r="F3" s="17"/>
    </row>
    <row r="4" spans="1:6" ht="31.5" x14ac:dyDescent="0.25">
      <c r="B4" s="60" t="s">
        <v>125</v>
      </c>
      <c r="C4" s="61" t="s">
        <v>126</v>
      </c>
      <c r="D4" s="65" t="s">
        <v>128</v>
      </c>
      <c r="E4" s="65" t="s">
        <v>133</v>
      </c>
      <c r="F4" s="44"/>
    </row>
    <row r="5" spans="1:6" ht="30" x14ac:dyDescent="0.25">
      <c r="B5" s="54" t="s">
        <v>98</v>
      </c>
      <c r="C5" s="63">
        <v>42010</v>
      </c>
      <c r="D5" s="62" t="s">
        <v>127</v>
      </c>
      <c r="E5" s="60" t="s">
        <v>134</v>
      </c>
      <c r="F5" s="44"/>
    </row>
    <row r="6" spans="1:6" ht="30" x14ac:dyDescent="0.25">
      <c r="B6" s="54" t="s">
        <v>102</v>
      </c>
      <c r="C6" s="63">
        <v>42012</v>
      </c>
      <c r="D6" s="64" t="s">
        <v>129</v>
      </c>
      <c r="E6" s="60" t="s">
        <v>134</v>
      </c>
      <c r="F6" s="17"/>
    </row>
    <row r="7" spans="1:6" ht="30" x14ac:dyDescent="0.25">
      <c r="B7" s="54" t="s">
        <v>109</v>
      </c>
      <c r="C7" s="63">
        <v>42023</v>
      </c>
      <c r="D7" s="62" t="s">
        <v>130</v>
      </c>
      <c r="E7" s="60" t="s">
        <v>134</v>
      </c>
      <c r="F7" s="40"/>
    </row>
    <row r="8" spans="1:6" ht="30" x14ac:dyDescent="0.25">
      <c r="B8" s="54" t="s">
        <v>131</v>
      </c>
      <c r="C8" s="63">
        <v>42026</v>
      </c>
      <c r="D8" s="62" t="s">
        <v>132</v>
      </c>
      <c r="E8" s="60" t="s">
        <v>134</v>
      </c>
      <c r="F8" s="42"/>
    </row>
    <row r="9" spans="1:6" x14ac:dyDescent="0.25">
      <c r="A9" s="17"/>
      <c r="B9" s="17"/>
      <c r="C9" s="17"/>
      <c r="D9" s="41"/>
      <c r="E9" s="41"/>
      <c r="F9" s="42"/>
    </row>
    <row r="10" spans="1:6" x14ac:dyDescent="0.25">
      <c r="A10" s="17"/>
      <c r="B10" s="17"/>
      <c r="C10" s="17"/>
      <c r="D10" s="41"/>
      <c r="E10" s="41"/>
      <c r="F10" s="42"/>
    </row>
    <row r="11" spans="1:6" x14ac:dyDescent="0.25">
      <c r="A11" s="17"/>
      <c r="B11" s="17"/>
      <c r="C11" s="17"/>
      <c r="D11" s="41"/>
      <c r="E11" s="41"/>
      <c r="F11" s="42"/>
    </row>
    <row r="12" spans="1:6" x14ac:dyDescent="0.25">
      <c r="A12" s="17"/>
      <c r="B12" s="17"/>
      <c r="C12" s="17"/>
      <c r="D12" s="41"/>
      <c r="E12" s="41"/>
      <c r="F12" s="42"/>
    </row>
    <row r="13" spans="1:6" x14ac:dyDescent="0.25">
      <c r="A13" s="17"/>
      <c r="B13" s="17"/>
      <c r="C13" s="17"/>
      <c r="D13" s="41"/>
      <c r="E13" s="41"/>
      <c r="F13" s="42"/>
    </row>
    <row r="14" spans="1:6" ht="31.5" x14ac:dyDescent="0.25">
      <c r="A14" s="17"/>
      <c r="B14" s="60" t="s">
        <v>125</v>
      </c>
      <c r="C14" s="61" t="s">
        <v>126</v>
      </c>
      <c r="D14" s="65" t="s">
        <v>128</v>
      </c>
      <c r="E14" s="65" t="s">
        <v>133</v>
      </c>
      <c r="F14" s="42"/>
    </row>
    <row r="15" spans="1:6" ht="30" x14ac:dyDescent="0.25">
      <c r="A15" s="17"/>
      <c r="B15" s="58" t="s">
        <v>121</v>
      </c>
      <c r="C15" s="63">
        <v>42031</v>
      </c>
      <c r="D15" s="62" t="s">
        <v>138</v>
      </c>
      <c r="E15" s="66" t="s">
        <v>137</v>
      </c>
      <c r="F15" s="42"/>
    </row>
    <row r="16" spans="1:6" ht="30" x14ac:dyDescent="0.25">
      <c r="A16" s="17"/>
      <c r="B16" s="57" t="s">
        <v>136</v>
      </c>
      <c r="C16" s="63">
        <v>42031</v>
      </c>
      <c r="D16" s="62" t="s">
        <v>138</v>
      </c>
      <c r="E16" s="60" t="s">
        <v>134</v>
      </c>
      <c r="F16" s="42"/>
    </row>
    <row r="17" spans="1:7" x14ac:dyDescent="0.25">
      <c r="A17" s="17"/>
      <c r="B17" s="54"/>
      <c r="C17" s="63"/>
      <c r="D17" s="62"/>
      <c r="E17" s="60"/>
      <c r="F17" s="42"/>
    </row>
    <row r="18" spans="1:7" x14ac:dyDescent="0.25">
      <c r="A18" s="17"/>
      <c r="B18" s="54"/>
      <c r="C18" s="63"/>
      <c r="D18" s="62"/>
      <c r="E18" s="60"/>
      <c r="F18" s="42"/>
    </row>
    <row r="19" spans="1:7" x14ac:dyDescent="0.25">
      <c r="C19" s="17"/>
      <c r="D19" s="41"/>
      <c r="E19" s="41"/>
      <c r="F19" s="42"/>
    </row>
    <row r="20" spans="1:7" x14ac:dyDescent="0.25">
      <c r="C20" s="17"/>
      <c r="D20" s="41"/>
      <c r="E20" s="41"/>
      <c r="F20" s="42"/>
    </row>
    <row r="21" spans="1:7" ht="31.5" x14ac:dyDescent="0.25">
      <c r="B21" s="60" t="s">
        <v>125</v>
      </c>
      <c r="C21" s="61" t="s">
        <v>126</v>
      </c>
      <c r="D21" s="65" t="s">
        <v>128</v>
      </c>
      <c r="E21" s="65" t="s">
        <v>133</v>
      </c>
      <c r="F21" s="42"/>
    </row>
    <row r="22" spans="1:7" ht="30" x14ac:dyDescent="0.25">
      <c r="B22" s="57" t="s">
        <v>112</v>
      </c>
      <c r="C22" s="63">
        <v>42031</v>
      </c>
      <c r="D22" s="62" t="s">
        <v>141</v>
      </c>
      <c r="E22" s="60" t="s">
        <v>134</v>
      </c>
      <c r="F22" s="42"/>
    </row>
    <row r="23" spans="1:7" ht="30" x14ac:dyDescent="0.25">
      <c r="B23" s="57" t="s">
        <v>113</v>
      </c>
      <c r="C23" s="63">
        <v>42031</v>
      </c>
      <c r="D23" s="62" t="s">
        <v>141</v>
      </c>
      <c r="E23" s="60" t="s">
        <v>115</v>
      </c>
      <c r="F23" s="42"/>
    </row>
    <row r="24" spans="1:7" ht="30" x14ac:dyDescent="0.25">
      <c r="B24" s="57" t="s">
        <v>114</v>
      </c>
      <c r="C24" s="63">
        <v>42033</v>
      </c>
      <c r="D24" s="62" t="s">
        <v>142</v>
      </c>
      <c r="E24" s="60" t="s">
        <v>134</v>
      </c>
      <c r="F24" s="42"/>
    </row>
    <row r="25" spans="1:7" ht="30" x14ac:dyDescent="0.25">
      <c r="B25" s="57" t="s">
        <v>117</v>
      </c>
      <c r="C25" s="69">
        <v>42033</v>
      </c>
      <c r="D25" s="74"/>
      <c r="E25" s="67"/>
      <c r="F25" s="42"/>
    </row>
    <row r="26" spans="1:7" x14ac:dyDescent="0.25">
      <c r="B26" s="39" t="s">
        <v>118</v>
      </c>
      <c r="C26" s="69">
        <v>42034</v>
      </c>
      <c r="D26" s="74"/>
      <c r="E26" s="68"/>
      <c r="F26" s="43"/>
    </row>
    <row r="27" spans="1:7" ht="22.5" x14ac:dyDescent="0.25">
      <c r="B27" s="75" t="s">
        <v>123</v>
      </c>
      <c r="C27" s="76">
        <v>42038</v>
      </c>
      <c r="D27" s="77" t="s">
        <v>144</v>
      </c>
      <c r="E27" s="78" t="s">
        <v>134</v>
      </c>
      <c r="F27" s="79" t="s">
        <v>146</v>
      </c>
      <c r="G27" s="80"/>
    </row>
    <row r="28" spans="1:7" ht="30" x14ac:dyDescent="0.25">
      <c r="B28" s="81" t="s">
        <v>98</v>
      </c>
      <c r="C28" s="82">
        <v>42010</v>
      </c>
      <c r="D28" s="77" t="s">
        <v>145</v>
      </c>
      <c r="E28" s="78" t="s">
        <v>134</v>
      </c>
      <c r="F28" s="79" t="s">
        <v>146</v>
      </c>
      <c r="G28" s="80"/>
    </row>
    <row r="29" spans="1:7" x14ac:dyDescent="0.25">
      <c r="B29" s="39"/>
      <c r="C29" s="70"/>
      <c r="D29" s="39"/>
      <c r="E29" s="39"/>
    </row>
    <row r="30" spans="1:7" x14ac:dyDescent="0.25">
      <c r="C30" s="71"/>
    </row>
    <row r="31" spans="1:7" x14ac:dyDescent="0.25">
      <c r="C31" s="71"/>
    </row>
    <row r="32" spans="1:7" ht="31.5" x14ac:dyDescent="0.25">
      <c r="B32" s="60" t="s">
        <v>125</v>
      </c>
      <c r="C32" s="61" t="s">
        <v>126</v>
      </c>
      <c r="D32" s="65" t="s">
        <v>157</v>
      </c>
      <c r="E32" s="65" t="s">
        <v>133</v>
      </c>
    </row>
    <row r="33" spans="1:5" ht="30" x14ac:dyDescent="0.25">
      <c r="B33" s="54" t="s">
        <v>116</v>
      </c>
      <c r="C33" s="63">
        <v>42041</v>
      </c>
      <c r="D33" s="62" t="s">
        <v>148</v>
      </c>
      <c r="E33" s="66" t="s">
        <v>149</v>
      </c>
    </row>
    <row r="34" spans="1:5" ht="30" x14ac:dyDescent="0.25">
      <c r="B34" s="54" t="s">
        <v>107</v>
      </c>
      <c r="C34" s="63">
        <v>42018</v>
      </c>
      <c r="D34" s="62" t="s">
        <v>150</v>
      </c>
      <c r="E34" s="60" t="s">
        <v>119</v>
      </c>
    </row>
    <row r="35" spans="1:5" ht="30" x14ac:dyDescent="0.25">
      <c r="B35" s="54" t="s">
        <v>110</v>
      </c>
      <c r="C35" s="63">
        <v>42024</v>
      </c>
      <c r="D35" s="62" t="s">
        <v>151</v>
      </c>
      <c r="E35" s="60" t="s">
        <v>111</v>
      </c>
    </row>
    <row r="36" spans="1:5" ht="30" x14ac:dyDescent="0.25">
      <c r="B36" s="54" t="s">
        <v>121</v>
      </c>
      <c r="C36" s="63">
        <v>42031</v>
      </c>
      <c r="D36" s="62" t="s">
        <v>152</v>
      </c>
      <c r="E36" s="83" t="s">
        <v>153</v>
      </c>
    </row>
    <row r="37" spans="1:5" ht="30" x14ac:dyDescent="0.25">
      <c r="B37" s="35" t="s">
        <v>113</v>
      </c>
      <c r="C37" s="63">
        <v>42031</v>
      </c>
      <c r="D37" s="70" t="s">
        <v>152</v>
      </c>
      <c r="E37" s="84" t="s">
        <v>115</v>
      </c>
    </row>
    <row r="38" spans="1:5" x14ac:dyDescent="0.25">
      <c r="B38" s="59" t="s">
        <v>118</v>
      </c>
      <c r="C38" s="63">
        <v>42034</v>
      </c>
      <c r="D38" s="70" t="s">
        <v>154</v>
      </c>
      <c r="E38" s="84" t="s">
        <v>149</v>
      </c>
    </row>
    <row r="39" spans="1:5" ht="22.5" x14ac:dyDescent="0.25">
      <c r="B39" s="56" t="s">
        <v>139</v>
      </c>
      <c r="C39" s="63">
        <v>42044</v>
      </c>
      <c r="D39" s="70" t="s">
        <v>158</v>
      </c>
      <c r="E39" s="84" t="s">
        <v>149</v>
      </c>
    </row>
    <row r="40" spans="1:5" ht="22.5" x14ac:dyDescent="0.25">
      <c r="B40" s="56" t="s">
        <v>140</v>
      </c>
      <c r="C40" s="63">
        <v>42045</v>
      </c>
      <c r="D40" s="70" t="s">
        <v>155</v>
      </c>
      <c r="E40" s="85" t="s">
        <v>156</v>
      </c>
    </row>
    <row r="41" spans="1:5" ht="30" x14ac:dyDescent="0.25">
      <c r="B41" s="58" t="s">
        <v>124</v>
      </c>
      <c r="C41" s="63">
        <v>42038</v>
      </c>
      <c r="D41" s="70" t="s">
        <v>159</v>
      </c>
      <c r="E41" s="86" t="s">
        <v>160</v>
      </c>
    </row>
    <row r="42" spans="1:5" ht="30" x14ac:dyDescent="0.25">
      <c r="B42" s="92" t="s">
        <v>122</v>
      </c>
      <c r="C42" s="89">
        <v>42037</v>
      </c>
      <c r="D42" s="90" t="s">
        <v>152</v>
      </c>
      <c r="E42" s="90" t="s">
        <v>119</v>
      </c>
    </row>
    <row r="43" spans="1:5" ht="23.25" x14ac:dyDescent="0.25">
      <c r="B43" s="52" t="s">
        <v>96</v>
      </c>
      <c r="C43" s="63">
        <v>41969</v>
      </c>
      <c r="D43" s="70" t="s">
        <v>161</v>
      </c>
      <c r="E43" s="70" t="s">
        <v>115</v>
      </c>
    </row>
    <row r="44" spans="1:5" x14ac:dyDescent="0.25">
      <c r="A44" s="17"/>
      <c r="B44" s="91"/>
      <c r="C44" s="91"/>
      <c r="D44" s="91"/>
      <c r="E44" s="91"/>
    </row>
    <row r="45" spans="1:5" ht="15.75" x14ac:dyDescent="0.25">
      <c r="A45" s="17"/>
      <c r="B45" s="234" t="s">
        <v>163</v>
      </c>
      <c r="C45" s="234"/>
      <c r="D45" s="234"/>
      <c r="E45" s="234"/>
    </row>
    <row r="46" spans="1:5" x14ac:dyDescent="0.25">
      <c r="A46" s="17"/>
      <c r="B46" s="91"/>
      <c r="C46" s="91"/>
      <c r="D46" s="91"/>
      <c r="E46" s="91"/>
    </row>
    <row r="47" spans="1:5" ht="31.5" x14ac:dyDescent="0.25">
      <c r="A47" s="17"/>
      <c r="B47" s="60" t="s">
        <v>125</v>
      </c>
      <c r="C47" s="61" t="s">
        <v>126</v>
      </c>
      <c r="D47" s="65" t="s">
        <v>157</v>
      </c>
      <c r="E47" s="65" t="s">
        <v>133</v>
      </c>
    </row>
    <row r="48" spans="1:5" ht="24" x14ac:dyDescent="0.25">
      <c r="A48" s="17"/>
      <c r="B48" s="97" t="s">
        <v>95</v>
      </c>
      <c r="C48" s="93">
        <v>41997</v>
      </c>
      <c r="D48" s="94" t="s">
        <v>164</v>
      </c>
      <c r="E48" s="95" t="s">
        <v>165</v>
      </c>
    </row>
    <row r="49" spans="1:6" ht="24.75" x14ac:dyDescent="0.25">
      <c r="A49" s="17"/>
      <c r="B49" s="98" t="s">
        <v>96</v>
      </c>
      <c r="C49" s="93">
        <v>41969</v>
      </c>
      <c r="D49" s="94" t="s">
        <v>166</v>
      </c>
      <c r="E49" s="94" t="s">
        <v>115</v>
      </c>
    </row>
    <row r="50" spans="1:6" ht="23.25" x14ac:dyDescent="0.25">
      <c r="A50" s="17"/>
      <c r="B50" s="55" t="s">
        <v>105</v>
      </c>
      <c r="C50" s="93">
        <v>42017</v>
      </c>
      <c r="D50" s="94" t="s">
        <v>167</v>
      </c>
      <c r="E50" s="94" t="s">
        <v>119</v>
      </c>
    </row>
    <row r="51" spans="1:6" ht="23.25" x14ac:dyDescent="0.25">
      <c r="A51" s="17"/>
      <c r="B51" s="55" t="s">
        <v>107</v>
      </c>
      <c r="C51" s="93">
        <v>42018</v>
      </c>
      <c r="D51" s="94" t="s">
        <v>168</v>
      </c>
      <c r="E51" s="95" t="s">
        <v>119</v>
      </c>
    </row>
    <row r="52" spans="1:6" ht="24" x14ac:dyDescent="0.25">
      <c r="A52" s="17"/>
      <c r="B52" s="88" t="s">
        <v>108</v>
      </c>
      <c r="C52" s="93"/>
      <c r="D52" s="94"/>
      <c r="E52" s="95" t="s">
        <v>169</v>
      </c>
    </row>
    <row r="53" spans="1:6" ht="24.75" x14ac:dyDescent="0.25">
      <c r="A53" s="17"/>
      <c r="B53" s="96" t="s">
        <v>110</v>
      </c>
      <c r="C53" s="93"/>
      <c r="D53" s="94"/>
      <c r="E53" s="94" t="s">
        <v>170</v>
      </c>
    </row>
    <row r="54" spans="1:6" x14ac:dyDescent="0.25">
      <c r="A54" s="17"/>
      <c r="B54" s="99"/>
      <c r="C54" s="100"/>
      <c r="D54" s="101"/>
      <c r="E54" s="102"/>
    </row>
    <row r="55" spans="1:6" x14ac:dyDescent="0.25">
      <c r="A55" s="17"/>
      <c r="B55" s="99"/>
      <c r="C55" s="100"/>
      <c r="D55" s="101"/>
      <c r="E55" s="103"/>
    </row>
    <row r="56" spans="1:6" x14ac:dyDescent="0.25">
      <c r="A56" s="17"/>
      <c r="B56" s="104"/>
      <c r="C56" s="105"/>
      <c r="D56" s="101"/>
      <c r="E56" s="106"/>
    </row>
    <row r="57" spans="1:6" x14ac:dyDescent="0.25">
      <c r="A57" s="17"/>
      <c r="B57" s="235" t="s">
        <v>175</v>
      </c>
      <c r="C57" s="235"/>
      <c r="D57" s="235"/>
      <c r="E57" s="235"/>
    </row>
    <row r="58" spans="1:6" x14ac:dyDescent="0.25">
      <c r="A58" s="17"/>
      <c r="B58" s="104"/>
      <c r="C58" s="100"/>
      <c r="D58" s="101"/>
      <c r="E58" s="101"/>
    </row>
    <row r="59" spans="1:6" ht="31.5" x14ac:dyDescent="0.25">
      <c r="A59" s="17"/>
      <c r="B59" s="60" t="s">
        <v>125</v>
      </c>
      <c r="C59" s="61" t="s">
        <v>126</v>
      </c>
      <c r="D59" s="65" t="s">
        <v>157</v>
      </c>
      <c r="E59" s="113" t="s">
        <v>133</v>
      </c>
      <c r="F59" s="65" t="s">
        <v>176</v>
      </c>
    </row>
    <row r="60" spans="1:6" ht="30" x14ac:dyDescent="0.25">
      <c r="B60" s="112" t="s">
        <v>139</v>
      </c>
      <c r="C60" s="93">
        <v>42045</v>
      </c>
      <c r="D60" s="94" t="s">
        <v>152</v>
      </c>
      <c r="E60" s="3" t="s">
        <v>174</v>
      </c>
      <c r="F60" s="57" t="s">
        <v>106</v>
      </c>
    </row>
    <row r="61" spans="1:6" ht="23.25" x14ac:dyDescent="0.25">
      <c r="B61" s="88" t="s">
        <v>143</v>
      </c>
      <c r="C61" s="93">
        <v>42048</v>
      </c>
      <c r="D61" s="94" t="s">
        <v>154</v>
      </c>
      <c r="E61" s="6" t="s">
        <v>100</v>
      </c>
      <c r="F61" s="39" t="s">
        <v>99</v>
      </c>
    </row>
    <row r="62" spans="1:6" x14ac:dyDescent="0.25">
      <c r="B62" s="55"/>
      <c r="C62" s="93"/>
      <c r="D62" s="94"/>
      <c r="E62" s="114"/>
      <c r="F62" s="39"/>
    </row>
    <row r="63" spans="1:6" x14ac:dyDescent="0.25">
      <c r="B63" s="55"/>
      <c r="C63" s="93"/>
      <c r="D63" s="94"/>
      <c r="E63" s="115"/>
      <c r="F63" s="39"/>
    </row>
    <row r="64" spans="1:6" x14ac:dyDescent="0.25">
      <c r="B64" s="88"/>
      <c r="C64" s="93"/>
      <c r="D64" s="94"/>
      <c r="E64" s="115"/>
      <c r="F64" s="39"/>
    </row>
    <row r="65" spans="2:12" x14ac:dyDescent="0.25">
      <c r="B65" s="96"/>
      <c r="C65" s="93"/>
      <c r="D65" s="94"/>
      <c r="E65" s="114"/>
      <c r="F65" s="39"/>
    </row>
    <row r="68" spans="2:12" x14ac:dyDescent="0.25">
      <c r="B68" s="236" t="s">
        <v>177</v>
      </c>
      <c r="C68" s="236"/>
      <c r="D68" s="236"/>
      <c r="E68" s="236"/>
      <c r="F68" s="236"/>
    </row>
    <row r="70" spans="2:12" ht="31.5" x14ac:dyDescent="0.25">
      <c r="B70" s="60" t="s">
        <v>125</v>
      </c>
      <c r="C70" s="61" t="s">
        <v>126</v>
      </c>
      <c r="D70" s="65" t="s">
        <v>157</v>
      </c>
      <c r="E70" s="113" t="s">
        <v>133</v>
      </c>
      <c r="F70" s="65" t="s">
        <v>176</v>
      </c>
    </row>
    <row r="71" spans="2:12" ht="90.75" x14ac:dyDescent="0.25">
      <c r="B71" s="3" t="s">
        <v>162</v>
      </c>
      <c r="C71" s="93">
        <v>42065</v>
      </c>
      <c r="D71" s="94" t="s">
        <v>180</v>
      </c>
      <c r="E71" s="3" t="s">
        <v>178</v>
      </c>
      <c r="F71" s="111" t="s">
        <v>99</v>
      </c>
      <c r="G71" s="117" t="s">
        <v>179</v>
      </c>
    </row>
    <row r="72" spans="2:12" ht="30" x14ac:dyDescent="0.25">
      <c r="B72" s="87" t="s">
        <v>147</v>
      </c>
      <c r="C72" s="93">
        <v>42058</v>
      </c>
      <c r="D72" s="94" t="s">
        <v>141</v>
      </c>
      <c r="E72" s="6" t="s">
        <v>115</v>
      </c>
      <c r="F72" s="57" t="s">
        <v>92</v>
      </c>
    </row>
    <row r="73" spans="2:12" x14ac:dyDescent="0.25">
      <c r="B73" s="55"/>
      <c r="C73" s="93"/>
      <c r="D73" s="94"/>
      <c r="E73" s="114"/>
      <c r="F73" s="39"/>
    </row>
    <row r="74" spans="2:12" x14ac:dyDescent="0.25">
      <c r="B74" s="55"/>
      <c r="C74" s="93"/>
      <c r="D74" s="94"/>
      <c r="E74" s="115"/>
      <c r="F74" s="39"/>
    </row>
    <row r="75" spans="2:12" x14ac:dyDescent="0.25">
      <c r="B75" s="88"/>
      <c r="C75" s="93"/>
      <c r="D75" s="94"/>
      <c r="E75" s="115"/>
      <c r="F75" s="39"/>
    </row>
    <row r="76" spans="2:12" x14ac:dyDescent="0.25">
      <c r="K76" s="120"/>
      <c r="L76" s="121"/>
    </row>
    <row r="79" spans="2:12" ht="18.75" x14ac:dyDescent="0.3">
      <c r="B79" s="237" t="s">
        <v>181</v>
      </c>
      <c r="C79" s="237"/>
      <c r="D79" s="237"/>
      <c r="E79" s="237"/>
      <c r="F79" s="237"/>
    </row>
    <row r="81" spans="2:6" ht="31.5" x14ac:dyDescent="0.25">
      <c r="B81" s="60" t="s">
        <v>125</v>
      </c>
      <c r="C81" s="61" t="s">
        <v>126</v>
      </c>
      <c r="D81" s="65" t="s">
        <v>157</v>
      </c>
      <c r="E81" s="113" t="s">
        <v>133</v>
      </c>
      <c r="F81" s="65" t="s">
        <v>176</v>
      </c>
    </row>
    <row r="82" spans="2:6" ht="30" x14ac:dyDescent="0.25">
      <c r="B82" s="118" t="s">
        <v>122</v>
      </c>
      <c r="C82" s="119">
        <v>42037</v>
      </c>
      <c r="D82" s="94" t="s">
        <v>182</v>
      </c>
      <c r="E82" s="3" t="s">
        <v>119</v>
      </c>
      <c r="F82" s="111" t="s">
        <v>92</v>
      </c>
    </row>
    <row r="83" spans="2:6" ht="23.25" x14ac:dyDescent="0.25">
      <c r="B83" s="118" t="s">
        <v>120</v>
      </c>
      <c r="C83" s="93">
        <v>42034</v>
      </c>
      <c r="D83" s="94" t="s">
        <v>183</v>
      </c>
      <c r="E83" s="6" t="s">
        <v>149</v>
      </c>
      <c r="F83" s="111" t="s">
        <v>99</v>
      </c>
    </row>
    <row r="84" spans="2:6" x14ac:dyDescent="0.25">
      <c r="B84" s="55"/>
      <c r="C84" s="93"/>
      <c r="D84" s="94"/>
      <c r="E84" s="114"/>
      <c r="F84" s="39"/>
    </row>
    <row r="85" spans="2:6" x14ac:dyDescent="0.25">
      <c r="B85" s="55"/>
      <c r="C85" s="93"/>
      <c r="D85" s="94"/>
      <c r="E85" s="115"/>
      <c r="F85" s="39"/>
    </row>
    <row r="86" spans="2:6" x14ac:dyDescent="0.25">
      <c r="B86" s="88"/>
      <c r="C86" s="93"/>
      <c r="D86" s="94"/>
      <c r="E86" s="115"/>
      <c r="F86" s="39"/>
    </row>
  </sheetData>
  <mergeCells count="5">
    <mergeCell ref="B2:E2"/>
    <mergeCell ref="B45:E45"/>
    <mergeCell ref="B57:E57"/>
    <mergeCell ref="B68:F68"/>
    <mergeCell ref="B79:F79"/>
  </mergeCells>
  <conditionalFormatting sqref="B27">
    <cfRule type="duplicateValues" dxfId="20" priority="46"/>
  </conditionalFormatting>
  <conditionalFormatting sqref="B33">
    <cfRule type="duplicateValues" dxfId="19" priority="45"/>
  </conditionalFormatting>
  <conditionalFormatting sqref="B34">
    <cfRule type="duplicateValues" dxfId="18" priority="44"/>
  </conditionalFormatting>
  <conditionalFormatting sqref="B35">
    <cfRule type="duplicateValues" dxfId="17" priority="42"/>
  </conditionalFormatting>
  <conditionalFormatting sqref="B36">
    <cfRule type="duplicateValues" dxfId="16" priority="40"/>
  </conditionalFormatting>
  <conditionalFormatting sqref="B38">
    <cfRule type="duplicateValues" dxfId="15" priority="39"/>
  </conditionalFormatting>
  <conditionalFormatting sqref="B43">
    <cfRule type="duplicateValues" dxfId="14" priority="38"/>
  </conditionalFormatting>
  <conditionalFormatting sqref="B48">
    <cfRule type="duplicateValues" dxfId="13" priority="36"/>
  </conditionalFormatting>
  <conditionalFormatting sqref="B49">
    <cfRule type="duplicateValues" dxfId="12" priority="35"/>
  </conditionalFormatting>
  <conditionalFormatting sqref="B50">
    <cfRule type="duplicateValues" dxfId="11" priority="33"/>
  </conditionalFormatting>
  <conditionalFormatting sqref="B51">
    <cfRule type="duplicateValues" dxfId="10" priority="31"/>
  </conditionalFormatting>
  <conditionalFormatting sqref="B58">
    <cfRule type="duplicateValues" dxfId="9" priority="29"/>
  </conditionalFormatting>
  <conditionalFormatting sqref="B62">
    <cfRule type="duplicateValues" dxfId="8" priority="17"/>
  </conditionalFormatting>
  <conditionalFormatting sqref="B63">
    <cfRule type="duplicateValues" dxfId="7" priority="16"/>
  </conditionalFormatting>
  <conditionalFormatting sqref="B73">
    <cfRule type="duplicateValues" dxfId="6" priority="7"/>
  </conditionalFormatting>
  <conditionalFormatting sqref="B74">
    <cfRule type="duplicateValues" dxfId="5" priority="6"/>
  </conditionalFormatting>
  <conditionalFormatting sqref="K76">
    <cfRule type="duplicateValues" dxfId="4" priority="5"/>
  </conditionalFormatting>
  <conditionalFormatting sqref="B84">
    <cfRule type="duplicateValues" dxfId="3" priority="4"/>
  </conditionalFormatting>
  <conditionalFormatting sqref="B85">
    <cfRule type="duplicateValues" dxfId="2" priority="3"/>
  </conditionalFormatting>
  <conditionalFormatting sqref="B82">
    <cfRule type="duplicateValues" dxfId="1" priority="2"/>
  </conditionalFormatting>
  <conditionalFormatting sqref="B83">
    <cfRule type="duplicateValues" dxfId="0" priority="1"/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CERTIFICACIONES</vt:lpstr>
      <vt:lpstr>FORMULA</vt:lpstr>
      <vt:lpstr>SEGUIMIENTO DE TRAMITES UCN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2023-06-28T18:37:20Z</dcterms:modified>
</cp:coreProperties>
</file>